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Graphs" sheetId="1" state="visible" r:id="rId3"/>
    <sheet name="Register" sheetId="2" state="visible" r:id="rId4"/>
    <sheet name="Asset Value" sheetId="3" state="visible" r:id="rId5"/>
    <sheet name="Rent" sheetId="4" state="visible" r:id="rId6"/>
    <sheet name="Sales" sheetId="5" state="visible" r:id="rId7"/>
    <sheet name="Partial Sales" sheetId="6" state="visible" r:id="rId8"/>
    <sheet name="Costs" sheetId="7" state="visible" r:id="rId9"/>
    <sheet name="Partial Purchases" sheetId="8" state="visible" r:id="rId10"/>
    <sheet name="PTAX" sheetId="9" state="visible" r:id="rId11"/>
    <sheet name="Returns" sheetId="10" state="visible" r:id="rId12"/>
  </sheets>
  <definedNames>
    <definedName function="false" hidden="false" localSheetId="0" name="_xlnm.Print_Area" vbProcedure="false">Graphs!$A$1:$O$82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<sst xmlns="http://schemas.openxmlformats.org/spreadsheetml/2006/main" count="848" uniqueCount="126">
  <si>
    <t xml:space="preserve">Painel - Terras agrícolas: preços, retornos e índice (estilo NCREIF)</t>
  </si>
  <si>
    <t xml:space="preserve">Todos os gráficos leem as fórmulas das abas Asset Value, Rent e Returns. Dados auxiliares dos gráficos estão abaixo (linha 84 em diante).</t>
  </si>
  <si>
    <t xml:space="preserve">DADOS DOS GRÁFICOS (fórmulas)</t>
  </si>
  <si>
    <t xml:space="preserve">Ano</t>
  </si>
  <si>
    <t xml:space="preserve">Preço médio da terra (R$/ha)</t>
  </si>
  <si>
    <t xml:space="preserve">Preço médio da terra (US$/ha)</t>
  </si>
  <si>
    <t xml:space="preserve">Valor de mercado do portfólio (R$ mm)</t>
  </si>
  <si>
    <t xml:space="preserve">Valor de mercado do portfólio (US$ mm)</t>
  </si>
  <si>
    <t xml:space="preserve">Nº de fazendas avaliadas</t>
  </si>
  <si>
    <t xml:space="preserve">PTAX na data da avaliação (R$/US$)</t>
  </si>
  <si>
    <t xml:space="preserve">PTAX em 31/dez (data do rent) (R$/US$)</t>
  </si>
  <si>
    <t xml:space="preserve">Preço da terra por fazenda (R$/ha) = Valor / Área</t>
  </si>
  <si>
    <t xml:space="preserve">Farm</t>
  </si>
  <si>
    <t xml:space="preserve">1º ano</t>
  </si>
  <si>
    <t xml:space="preserve">Último ano</t>
  </si>
  <si>
    <t xml:space="preserve">R$/ha 1º</t>
  </si>
  <si>
    <t xml:space="preserve">R$/ha último</t>
  </si>
  <si>
    <t xml:space="preserve">Valorização total</t>
  </si>
  <si>
    <t xml:space="preserve">CAGR a.a.</t>
  </si>
  <si>
    <t xml:space="preserve">Fazenda Pamplona</t>
  </si>
  <si>
    <t xml:space="preserve">Fazenda Planalto</t>
  </si>
  <si>
    <t xml:space="preserve">Fazenda Planeste</t>
  </si>
  <si>
    <t xml:space="preserve">Fazenda Panorama</t>
  </si>
  <si>
    <t xml:space="preserve">Fazenda Piratini</t>
  </si>
  <si>
    <t xml:space="preserve">Fazenda Palmares</t>
  </si>
  <si>
    <t xml:space="preserve">Fazenda Parnaíba</t>
  </si>
  <si>
    <t xml:space="preserve">Fazenda Paiaguás</t>
  </si>
  <si>
    <t xml:space="preserve">Fazenda Pejuçara</t>
  </si>
  <si>
    <t xml:space="preserve">Fazenda Parceiro</t>
  </si>
  <si>
    <t xml:space="preserve">Fazenda Perdizes</t>
  </si>
  <si>
    <t xml:space="preserve">Fazenda Planorte</t>
  </si>
  <si>
    <t xml:space="preserve">Fazenda Parnaguá</t>
  </si>
  <si>
    <t xml:space="preserve">Fazenda Paineira</t>
  </si>
  <si>
    <t xml:space="preserve">Fazenda Palmeira</t>
  </si>
  <si>
    <t xml:space="preserve">Obs.: o preço médio do portfólio muda também com a composição (entrada/saída de fazendas); use o gráfico por fazenda para comparar like-for-like.</t>
  </si>
  <si>
    <t xml:space="preserve">Obs.: CAGR de fazendas com poucos anos (Pejuçara 2012-13, Palmeira 2008-10) é só indicativo.</t>
  </si>
  <si>
    <t xml:space="preserve">FNP</t>
  </si>
  <si>
    <t xml:space="preserve">Farm Name</t>
  </si>
  <si>
    <t xml:space="preserve">State</t>
  </si>
  <si>
    <t xml:space="preserve">County</t>
  </si>
  <si>
    <t xml:space="preserve">(R$ 000)</t>
  </si>
  <si>
    <t xml:space="preserve">Goias</t>
  </si>
  <si>
    <t xml:space="preserve">Cristalina </t>
  </si>
  <si>
    <t xml:space="preserve">Asset Value</t>
  </si>
  <si>
    <t xml:space="preserve">%YoY</t>
  </si>
  <si>
    <t xml:space="preserve">Rent</t>
  </si>
  <si>
    <t xml:space="preserve">%Yield</t>
  </si>
  <si>
    <t xml:space="preserve">Mato Grosso Sul</t>
  </si>
  <si>
    <t xml:space="preserve">Costa Rica</t>
  </si>
  <si>
    <t xml:space="preserve">Maranhao</t>
  </si>
  <si>
    <t xml:space="preserve">Balsas</t>
  </si>
  <si>
    <t xml:space="preserve">Bahia</t>
  </si>
  <si>
    <t xml:space="preserve">Correntina </t>
  </si>
  <si>
    <t xml:space="preserve">Jaborandi</t>
  </si>
  <si>
    <t xml:space="preserve">Barreiras</t>
  </si>
  <si>
    <t xml:space="preserve">Tasso Fragoso</t>
  </si>
  <si>
    <t xml:space="preserve">Mato Grosso</t>
  </si>
  <si>
    <t xml:space="preserve">Diamantino</t>
  </si>
  <si>
    <t xml:space="preserve">Formosa do Rio Preto</t>
  </si>
  <si>
    <t xml:space="preserve">Fazenda Paladino</t>
  </si>
  <si>
    <t xml:space="preserve">Sao Desiderio </t>
  </si>
  <si>
    <t xml:space="preserve">Porto Dos Gauchos</t>
  </si>
  <si>
    <t xml:space="preserve">Sapezal</t>
  </si>
  <si>
    <t xml:space="preserve">Piaui</t>
  </si>
  <si>
    <t xml:space="preserve">Santa Filomena</t>
  </si>
  <si>
    <t xml:space="preserve">Monte Alegre</t>
  </si>
  <si>
    <t xml:space="preserve">Buriti</t>
  </si>
  <si>
    <t xml:space="preserve">Date</t>
  </si>
  <si>
    <t xml:space="preserve">Fazenda</t>
  </si>
  <si>
    <t xml:space="preserve">Area Agricultavel</t>
  </si>
  <si>
    <t xml:space="preserve">Valor (R$ 000)</t>
  </si>
  <si>
    <t xml:space="preserve">Valor (R$)</t>
  </si>
  <si>
    <t xml:space="preserve">(R$/ha)</t>
  </si>
  <si>
    <t xml:space="preserve">PTAX (R$/US$)</t>
  </si>
  <si>
    <t xml:space="preserve">Valor (US$)</t>
  </si>
  <si>
    <t xml:space="preserve">(US$/ha)</t>
  </si>
  <si>
    <t xml:space="preserve">PTAX = taxa de venda do Banco Central na data do Date (ou último dia útil anterior). Ver aba PTAX.</t>
  </si>
  <si>
    <t xml:space="preserve">Year</t>
  </si>
  <si>
    <t xml:space="preserve">R$/year</t>
  </si>
  <si>
    <t xml:space="preserve">US$/year</t>
  </si>
  <si>
    <t xml:space="preserve">PTAX = taxa de venda do Banco Central em 31/dez (ou último dia útil anterior). Ver aba PTAX.</t>
  </si>
  <si>
    <t xml:space="preserve">Value (R$)</t>
  </si>
  <si>
    <t xml:space="preserve">Value (US$)</t>
  </si>
  <si>
    <t xml:space="preserve">Venda total da fazenda (R$). No ano da venda, o Ending MV da fazenda = preço de venda; no ano seguinte ela sai do índice.</t>
  </si>
  <si>
    <t xml:space="preserve">Vendas parciais (R$). Aba vazia = 0. Preencher Date / Farm / Value (R$); PTAX e US$ são calculados.</t>
  </si>
  <si>
    <t xml:space="preserve">Capital Improvements (R$). Aba vazia = 0. Preencher Date / Farm / Value (R$); PTAX e US$ são calculados.</t>
  </si>
  <si>
    <t xml:space="preserve">Compras parciais / aquisições de área (R$). Aba vazia = 0. Preencher Date / Farm / Value (R$).</t>
  </si>
  <si>
    <t xml:space="preserve">PTAX venda (R$ por US$) - Banco Central do Brasil</t>
  </si>
  <si>
    <t xml:space="preserve">Fonte: BCB / SGS série 1 (Dólar americano - venda), https://api.bcb.gov.br/dados/serie/bcdata.sgs.1/dados. Dados diários, em ordem crescente de data.</t>
  </si>
  <si>
    <t xml:space="preserve">Farmland Returns Index (estilo NCREIF Farmland Property Index)</t>
  </si>
  <si>
    <t xml:space="preserve">Cada fazenda é um cluster. Retornos anuais 2009-2015 (base do índice = 100 em 2008). Valores em R$ mil / US$ mil nas tabelas de cálculo.</t>
  </si>
  <si>
    <t xml:space="preserve">Income Return = NOI / (Beginning MV + 1/2 x (Capital Improvements - Partial Sales + Partial Purchases - NOI))</t>
  </si>
  <si>
    <t xml:space="preserve">Capital (Appreciation) Return = (Ending MV - Beginning MV + Partial Sales - Capital Improvements - Partial Purchases) / (mesmo denominador)</t>
  </si>
  <si>
    <t xml:space="preserve">Total Return = Income Return + Capital Return.  Índices: encadeados (chain-linked) a partir de 100.  Total Farmland = soma dos numeradores / soma dos denominadores (ponderado por valor de mercado).</t>
  </si>
  <si>
    <t xml:space="preserve">Beginning MV = avaliação do ano anterior; Ending MV = avaliação do ano (0 se a fazenda foi vendida no ano); NOI = Rent do ano. Fazenda só entra no índice a partir do ano seguinte à 1ª avaliação e sai no ano seguinte à venda.</t>
  </si>
  <si>
    <t xml:space="preserve">Abas Costs / Partial Sales / Partial Purchases vazias = 0.  Venda total (aba Sales): Ending MV do ano da venda = preço de venda.  US$: cada valor convertido pela PTAX da própria data (avaliação, 31/dez do rent, data da venda).</t>
  </si>
  <si>
    <t xml:space="preserve">FARMLAND INDEX - R$ (NCREIF style)</t>
  </si>
  <si>
    <t xml:space="preserve">Returns</t>
  </si>
  <si>
    <t xml:space="preserve">Index Values (Dec 2008 = 100)</t>
  </si>
  <si>
    <t xml:space="preserve">Years</t>
  </si>
  <si>
    <t xml:space="preserve">Market Value (R$ mm, 2015)</t>
  </si>
  <si>
    <t xml:space="preserve">Cumulative</t>
  </si>
  <si>
    <t xml:space="preserve">Annualized</t>
  </si>
  <si>
    <t xml:space="preserve">Total Farmland</t>
  </si>
  <si>
    <t xml:space="preserve">Total:</t>
  </si>
  <si>
    <t xml:space="preserve">Appreciation:</t>
  </si>
  <si>
    <t xml:space="preserve">Income:</t>
  </si>
  <si>
    <t xml:space="preserve">Props:</t>
  </si>
  <si>
    <t xml:space="preserve">MV (R$ mm):</t>
  </si>
  <si>
    <t xml:space="preserve">FARMLAND INDEX - US$ (NCREIF style)</t>
  </si>
  <si>
    <t xml:space="preserve">Market Value (US$ mm, 2015)</t>
  </si>
  <si>
    <t xml:space="preserve">MV (US$ mm):</t>
  </si>
  <si>
    <t xml:space="preserve">CÁLCULO DOS COMPONENTES POR FAZENDA E ANO (R$ 000)</t>
  </si>
  <si>
    <t xml:space="preserve">Props</t>
  </si>
  <si>
    <t xml:space="preserve">Beginning MV</t>
  </si>
  <si>
    <t xml:space="preserve">Ending MV</t>
  </si>
  <si>
    <t xml:space="preserve">NOI (Rent)</t>
  </si>
  <si>
    <t xml:space="preserve">Capital Improv. (Costs)</t>
  </si>
  <si>
    <t xml:space="preserve">Partial Sales</t>
  </si>
  <si>
    <t xml:space="preserve">Partial Purchases</t>
  </si>
  <si>
    <t xml:space="preserve">Denominator</t>
  </si>
  <si>
    <t xml:space="preserve">Capital Gain</t>
  </si>
  <si>
    <t xml:space="preserve">Income Return</t>
  </si>
  <si>
    <t xml:space="preserve">Capital Return</t>
  </si>
  <si>
    <t xml:space="preserve">Total Return</t>
  </si>
  <si>
    <t xml:space="preserve">CÁLCULO DOS COMPONENTES POR FAZENDA E ANO (US$ 000)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</si>
</sst>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#,##0"/>
    <numFmt numFmtId="167" formatCode="0"/>
    <numFmt numFmtId="168" formatCode="0.00"/>
    <numFmt numFmtId="169" formatCode="0.00%"/>
    <numFmt numFmtId="170" formatCode="0%"/>
    <numFmt numFmtId="171" formatCode="m/d/yyyy"/>
    <numFmt numFmtId="172" formatCode="0.000"/>
    <numFmt numFmtId="173" formatCode="0.0000"/>
    <numFmt numFmtId="174" formatCode="dd/mm/yyyy"/>
    <numFmt numFmtId="175" formatCode="#,##0.0"/>
  </numFmts>
  <fonts count="1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ptos Narrow"/>
      <family val="0"/>
      <charset val="1"/>
    </font>
    <font>
      <i val="true"/>
      <sz val="10"/>
      <color rgb="FF595959"/>
      <name val="Aptos Narrow"/>
      <family val="0"/>
      <charset val="1"/>
    </font>
    <font>
      <b val="true"/>
      <sz val="11"/>
      <name val="Aptos Narrow"/>
      <family val="0"/>
      <charset val="1"/>
    </font>
    <font>
      <b val="true"/>
      <sz val="11"/>
      <color rgb="FF0000FF"/>
      <name val="Aptos Narrow"/>
      <family val="0"/>
      <charset val="1"/>
    </font>
    <font>
      <sz val="11"/>
      <name val="Aptos Narrow"/>
      <family val="0"/>
      <charset val="1"/>
    </font>
    <font>
      <b val="true"/>
      <sz val="18"/>
      <color rgb="FF000000"/>
      <name val="Aptos Narrow"/>
      <family val="2"/>
    </font>
    <font>
      <sz val="10"/>
      <color rgb="FF000000"/>
      <name val="Aptos Narrow"/>
      <family val="2"/>
    </font>
    <font>
      <b val="true"/>
      <sz val="11"/>
      <color theme="0"/>
      <name val="Aptos Narrow"/>
      <family val="2"/>
      <charset val="1"/>
    </font>
    <font>
      <i val="true"/>
      <sz val="9"/>
      <color theme="2" tint="-0.75"/>
      <name val="Aptos Narrow"/>
      <family val="2"/>
      <charset val="1"/>
    </font>
    <font>
      <b val="true"/>
      <sz val="12"/>
      <color rgb="FFFFFFFF"/>
      <name val="Aptos Narrow"/>
      <family val="0"/>
      <charset val="1"/>
    </font>
    <font>
      <sz val="11"/>
      <color rgb="FF0000FF"/>
      <name val="Aptos Narrow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theme="5"/>
        <bgColor rgb="FFFF7F0E"/>
      </patternFill>
    </fill>
    <fill>
      <patternFill patternType="solid">
        <fgColor rgb="FF8B4513"/>
        <bgColor rgb="FF8C564B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0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5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6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7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62728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467BD"/>
      <rgbColor rgb="FF8C564B"/>
      <rgbColor rgb="FFFFFFCC"/>
      <rgbColor rgb="FFCCFFFF"/>
      <rgbColor rgb="FF660066"/>
      <rgbColor rgb="FFE377C2"/>
      <rgbColor rgb="FF1F77B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17BECF"/>
      <rgbColor rgb="FFBCBD22"/>
      <rgbColor rgb="FFFFCC00"/>
      <rgbColor rgb="FFE97132"/>
      <rgbColor rgb="FFFF7F0E"/>
      <rgbColor rgb="FF595959"/>
      <rgbColor rgb="FF8B8B8B"/>
      <rgbColor rgb="FF003366"/>
      <rgbColor rgb="FF2CA02C"/>
      <rgbColor rgb="FF003300"/>
      <rgbColor rgb="FF333300"/>
      <rgbColor rgb="FF8B4513"/>
      <rgbColor rgb="FF993366"/>
      <rgbColor rgb="FF333399"/>
      <rgbColor rgb="FF3A3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Preço médio da terra do portfólio (R$/ha vs US$/ha)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"R$/ha (eixo esq.)"</c:f>
              <c:strCache>
                <c:ptCount val="1"/>
                <c:pt idx="0">
                  <c:v>R$/ha (eixo esq.)</c:v>
                </c:pt>
              </c:strCache>
            </c:strRef>
          </c:tx>
          <c:spPr>
            <a:solidFill>
              <a:srgbClr val="8b4513"/>
            </a:solidFill>
            <a:ln w="0">
              <a:solidFill>
                <a:srgbClr val="8b4513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Graphs!$B$86:$I$86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  <c:lvl>
                  <c:pt idx="0">
                    <c:v>2008</c:v>
                  </c:pt>
                </c:lvl>
              </c:multiLvlStrCache>
            </c:multiLvlStrRef>
          </c:cat>
          <c:val>
            <c:numRef>
              <c:f>Graphs!$B$87:$I$87</c:f>
              <c:numCache>
                <c:formatCode>#,##0</c:formatCode>
                <c:ptCount val="8"/>
                <c:pt idx="0">
                  <c:v>6546.94252763783</c:v>
                </c:pt>
                <c:pt idx="1">
                  <c:v>6865.21469717486</c:v>
                </c:pt>
                <c:pt idx="2">
                  <c:v>6530.6175809235</c:v>
                </c:pt>
                <c:pt idx="3">
                  <c:v>7875.18273706491</c:v>
                </c:pt>
                <c:pt idx="4">
                  <c:v>7836.63413247418</c:v>
                </c:pt>
                <c:pt idx="5">
                  <c:v>9206.38112128461</c:v>
                </c:pt>
                <c:pt idx="6">
                  <c:v>10488.3760706251</c:v>
                </c:pt>
                <c:pt idx="7">
                  <c:v>11019.2473389955</c:v>
                </c:pt>
              </c:numCache>
            </c:numRef>
          </c:val>
        </c:ser>
        <c:gapWidth val="60"/>
        <c:overlap val="0"/>
        <c:axId val="92908873"/>
        <c:axId val="40916391"/>
      </c:barChart>
      <c:lineChart>
        <c:grouping val="standard"/>
        <c:varyColors val="0"/>
        <c:ser>
          <c:idx val="1"/>
          <c:order val="1"/>
          <c:tx>
            <c:strRef>
              <c:f>"US$/ha (eixo dir.)"</c:f>
              <c:strCache>
                <c:ptCount val="1"/>
                <c:pt idx="0">
                  <c:v>US$/ha (eixo dir.)</c:v>
                </c:pt>
              </c:strCache>
            </c:strRef>
          </c:tx>
          <c:spPr>
            <a:solidFill>
              <a:srgbClr val="1f77b4"/>
            </a:solidFill>
            <a:ln w="21960">
              <a:solidFill>
                <a:srgbClr val="1f77b4"/>
              </a:solidFill>
              <a:round/>
            </a:ln>
          </c:spPr>
          <c:marker>
            <c:symbol val="circle"/>
            <c:size val="5"/>
            <c:spPr>
              <a:solidFill>
                <a:srgbClr val="1f77b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Graphs!$B$86:$I$86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  <c:lvl>
                  <c:pt idx="0">
                    <c:v>2008</c:v>
                  </c:pt>
                </c:lvl>
              </c:multiLvlStrCache>
            </c:multiLvlStrRef>
          </c:cat>
          <c:val>
            <c:numRef>
              <c:f>Graphs!$B$88:$I$88</c:f>
              <c:numCache>
                <c:formatCode>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4435185"/>
        <c:axId val="8059478"/>
      </c:lineChart>
      <c:catAx>
        <c:axId val="929088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40916391"/>
        <c:crosses val="autoZero"/>
        <c:auto val="1"/>
        <c:lblAlgn val="ctr"/>
        <c:lblOffset val="100"/>
        <c:noMultiLvlLbl val="0"/>
      </c:catAx>
      <c:valAx>
        <c:axId val="40916391"/>
        <c:scaling>
          <c:orientation val="minMax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92908873"/>
        <c:crosses val="autoZero"/>
        <c:crossBetween val="between"/>
      </c:valAx>
      <c:catAx>
        <c:axId val="84435185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8059478"/>
        <c:crosses val="autoZero"/>
        <c:auto val="1"/>
        <c:lblAlgn val="ctr"/>
        <c:lblOffset val="100"/>
        <c:noMultiLvlLbl val="0"/>
      </c:catAx>
      <c:valAx>
        <c:axId val="8059478"/>
        <c:scaling>
          <c:orientation val="minMax"/>
        </c:scaling>
        <c:delete val="0"/>
        <c:axPos val="r"/>
        <c:numFmt formatCode="#,##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8443518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Valorização da terra por fazenda (R$/ha, 2009-2015)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"Pamplona"</c:f>
              <c:strCache>
                <c:ptCount val="1"/>
                <c:pt idx="0">
                  <c:v>Pamplona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circle"/>
            <c:size val="5"/>
            <c:spPr>
              <a:solidFill>
                <a:srgbClr val="1f77b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Graphs!$C$86:$I$86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</c:multiLvlStrCache>
            </c:multiLvlStrRef>
          </c:cat>
          <c:val>
            <c:numRef>
              <c:f>Graphs!$C$97:$I$97</c:f>
              <c:numCache>
                <c:formatCode>#,##0</c:formatCode>
                <c:ptCount val="7"/>
                <c:pt idx="0">
                  <c:v>9255.87925587926</c:v>
                </c:pt>
                <c:pt idx="1">
                  <c:v>9608.04960804961</c:v>
                </c:pt>
                <c:pt idx="2">
                  <c:v>10504.8555048555</c:v>
                </c:pt>
                <c:pt idx="3">
                  <c:v>12403.2211676733</c:v>
                </c:pt>
                <c:pt idx="4">
                  <c:v>12904.3428242738</c:v>
                </c:pt>
                <c:pt idx="5">
                  <c:v>15526.0857060685</c:v>
                </c:pt>
                <c:pt idx="6">
                  <c:v>15994.0620189136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"Planalto"</c:f>
              <c:strCache>
                <c:ptCount val="1"/>
                <c:pt idx="0">
                  <c:v>Planalto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circle"/>
            <c:size val="5"/>
            <c:spPr>
              <a:solidFill>
                <a:srgbClr val="ff7f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Graphs!$C$86:$I$86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</c:multiLvlStrCache>
            </c:multiLvlStrRef>
          </c:cat>
          <c:val>
            <c:numRef>
              <c:f>Graphs!$C$98:$I$98</c:f>
              <c:numCache>
                <c:formatCode>#,##0</c:formatCode>
                <c:ptCount val="7"/>
                <c:pt idx="0">
                  <c:v>13426.1535822517</c:v>
                </c:pt>
                <c:pt idx="1">
                  <c:v>13825.6146369354</c:v>
                </c:pt>
                <c:pt idx="2">
                  <c:v>15709.1242759649</c:v>
                </c:pt>
                <c:pt idx="3">
                  <c:v>18485.9780925618</c:v>
                </c:pt>
                <c:pt idx="4">
                  <c:v>19023.4558697024</c:v>
                </c:pt>
                <c:pt idx="5">
                  <c:v>25994.0356712737</c:v>
                </c:pt>
                <c:pt idx="6">
                  <c:v>27157.7679646728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"Planeste"</c:f>
              <c:strCache>
                <c:ptCount val="1"/>
                <c:pt idx="0">
                  <c:v>Planeste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circle"/>
            <c:size val="5"/>
            <c:spPr>
              <a:solidFill>
                <a:srgbClr val="2ca02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Graphs!$C$86:$I$86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</c:multiLvlStrCache>
            </c:multiLvlStrRef>
          </c:cat>
          <c:val>
            <c:numRef>
              <c:f>Graphs!$C$99:$I$99</c:f>
              <c:numCache>
                <c:formatCode>#,##0</c:formatCode>
                <c:ptCount val="7"/>
                <c:pt idx="0">
                  <c:v>6465.819456617</c:v>
                </c:pt>
                <c:pt idx="1">
                  <c:v>6239.08368806776</c:v>
                </c:pt>
                <c:pt idx="2">
                  <c:v>7590.73155746698</c:v>
                </c:pt>
                <c:pt idx="3">
                  <c:v>8466.06645230439</c:v>
                </c:pt>
                <c:pt idx="4">
                  <c:v>9440.64308681672</c:v>
                </c:pt>
                <c:pt idx="5">
                  <c:v>9846.68810289389</c:v>
                </c:pt>
                <c:pt idx="6">
                  <c:v>10055.3030952585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"Panorama"</c:f>
              <c:strCache>
                <c:ptCount val="1"/>
                <c:pt idx="0">
                  <c:v>Panorama</c:v>
                </c:pt>
              </c:strCache>
            </c:strRef>
          </c:tx>
          <c:spPr>
            <a:solidFill>
              <a:srgbClr val="d62728"/>
            </a:solidFill>
            <a:ln w="19080">
              <a:solidFill>
                <a:srgbClr val="d62728"/>
              </a:solidFill>
              <a:round/>
            </a:ln>
          </c:spPr>
          <c:marker>
            <c:symbol val="circle"/>
            <c:size val="5"/>
            <c:spPr>
              <a:solidFill>
                <a:srgbClr val="d6272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Graphs!$C$86:$I$86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</c:multiLvlStrCache>
            </c:multiLvlStrRef>
          </c:cat>
          <c:val>
            <c:numRef>
              <c:f>Graphs!$C$100:$I$100</c:f>
              <c:numCache>
                <c:formatCode>#,##0</c:formatCode>
                <c:ptCount val="7"/>
                <c:pt idx="0">
                  <c:v>9366.59436008677</c:v>
                </c:pt>
                <c:pt idx="1">
                  <c:v>9910.35280508965</c:v>
                </c:pt>
                <c:pt idx="2">
                  <c:v>11301.0321984286</c:v>
                </c:pt>
                <c:pt idx="3">
                  <c:v>12899.1758453362</c:v>
                </c:pt>
                <c:pt idx="4">
                  <c:v>14021.2068633121</c:v>
                </c:pt>
                <c:pt idx="5">
                  <c:v>15071.3321765953</c:v>
                </c:pt>
                <c:pt idx="6">
                  <c:v>16042.9920956237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"Piratini"</c:f>
              <c:strCache>
                <c:ptCount val="1"/>
                <c:pt idx="0">
                  <c:v>Piratini</c:v>
                </c:pt>
              </c:strCache>
            </c:strRef>
          </c:tx>
          <c:spPr>
            <a:solidFill>
              <a:srgbClr val="9467bd"/>
            </a:solidFill>
            <a:ln w="19080">
              <a:solidFill>
                <a:srgbClr val="9467bd"/>
              </a:solidFill>
              <a:round/>
            </a:ln>
          </c:spPr>
          <c:marker>
            <c:symbol val="circle"/>
            <c:size val="5"/>
            <c:spPr>
              <a:solidFill>
                <a:srgbClr val="9467b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Graphs!$C$86:$I$86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</c:multiLvlStrCache>
            </c:multiLvlStrRef>
          </c:cat>
          <c:val>
            <c:numRef>
              <c:f>Graphs!$C$101:$I$101</c:f>
              <c:numCache>
                <c:formatCode>#,##0</c:formatCode>
                <c:ptCount val="7"/>
                <c:pt idx="0">
                  <c:v>3793.2965362771</c:v>
                </c:pt>
                <c:pt idx="1">
                  <c:v>3226.58252810097</c:v>
                </c:pt>
                <c:pt idx="2">
                  <c:v>4615.26326168409</c:v>
                </c:pt>
                <c:pt idx="3">
                  <c:v>5268.50719779136</c:v>
                </c:pt>
                <c:pt idx="4">
                  <c:v>6957.36541116151</c:v>
                </c:pt>
                <c:pt idx="5">
                  <c:v>7817.39301912838</c:v>
                </c:pt>
                <c:pt idx="6">
                  <c:v>8789.24120523742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"Palmares"</c:f>
              <c:strCache>
                <c:ptCount val="1"/>
                <c:pt idx="0">
                  <c:v>Palmares</c:v>
                </c:pt>
              </c:strCache>
            </c:strRef>
          </c:tx>
          <c:spPr>
            <a:solidFill>
              <a:srgbClr val="8c564b"/>
            </a:solidFill>
            <a:ln w="19080">
              <a:solidFill>
                <a:srgbClr val="8c564b"/>
              </a:solidFill>
              <a:round/>
            </a:ln>
          </c:spPr>
          <c:marker>
            <c:symbol val="circle"/>
            <c:size val="5"/>
            <c:spPr>
              <a:solidFill>
                <a:srgbClr val="8c564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Graphs!$C$86:$I$86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</c:multiLvlStrCache>
            </c:multiLvlStrRef>
          </c:cat>
          <c:val>
            <c:numRef>
              <c:f>Graphs!$C$102:$I$102</c:f>
              <c:numCache>
                <c:formatCode>#,##0</c:formatCode>
                <c:ptCount val="7"/>
                <c:pt idx="0">
                  <c:v>4314.39393939394</c:v>
                </c:pt>
                <c:pt idx="1">
                  <c:v>4078.90102148644</c:v>
                </c:pt>
                <c:pt idx="2">
                  <c:v>4955.74699079537</c:v>
                </c:pt>
                <c:pt idx="3">
                  <c:v>6033.75029502006</c:v>
                </c:pt>
                <c:pt idx="4">
                  <c:v>10218.6098654709</c:v>
                </c:pt>
                <c:pt idx="5">
                  <c:v>11324.5917862444</c:v>
                </c:pt>
                <c:pt idx="6">
                  <c:v>11603.8844559906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"Parnaíba"</c:f>
              <c:strCache>
                <c:ptCount val="1"/>
                <c:pt idx="0">
                  <c:v>Parnaíba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circle"/>
            <c:size val="5"/>
            <c:spPr>
              <a:solidFill>
                <a:srgbClr val="e377c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Graphs!$C$86:$I$86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</c:multiLvlStrCache>
            </c:multiLvlStrRef>
          </c:cat>
          <c:val>
            <c:numRef>
              <c:f>Graphs!$C$103:$I$103</c:f>
              <c:numCache>
                <c:formatCode>#,##0</c:formatCode>
                <c:ptCount val="7"/>
                <c:pt idx="0">
                  <c:v>6134.97840108882</c:v>
                </c:pt>
                <c:pt idx="1">
                  <c:v>5924.2900337938</c:v>
                </c:pt>
                <c:pt idx="2">
                  <c:v>6597.79450998992</c:v>
                </c:pt>
                <c:pt idx="3">
                  <c:v>7770.79504357621</c:v>
                </c:pt>
                <c:pt idx="4">
                  <c:v>9304.77177158876</c:v>
                </c:pt>
                <c:pt idx="5">
                  <c:v>8305.16993776927</c:v>
                </c:pt>
                <c:pt idx="6">
                  <c:v>8728.31635354669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"Paiaguás"</c:f>
              <c:strCache>
                <c:ptCount val="1"/>
                <c:pt idx="0">
                  <c:v>Paiaguás</c:v>
                </c:pt>
              </c:strCache>
            </c:strRef>
          </c:tx>
          <c:spPr>
            <a:solidFill>
              <a:srgbClr val="7f7f7f"/>
            </a:solidFill>
            <a:ln w="19080">
              <a:solidFill>
                <a:srgbClr val="7f7f7f"/>
              </a:solidFill>
              <a:round/>
            </a:ln>
          </c:spPr>
          <c:marker>
            <c:symbol val="circle"/>
            <c:size val="5"/>
            <c:spPr>
              <a:solidFill>
                <a:srgbClr val="7f7f7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Graphs!$C$86:$I$86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</c:multiLvlStrCache>
            </c:multiLvlStrRef>
          </c:cat>
          <c:val>
            <c:numRef>
              <c:f>Graphs!$C$104:$I$104</c:f>
              <c:numCache>
                <c:formatCode>#,##0</c:formatCode>
                <c:ptCount val="7"/>
                <c:pt idx="0">
                  <c:v>10094.4510035419</c:v>
                </c:pt>
                <c:pt idx="1">
                  <c:v>9290.85577179419</c:v>
                </c:pt>
                <c:pt idx="2">
                  <c:v>10647.446395247</c:v>
                </c:pt>
                <c:pt idx="3">
                  <c:v>12701.2850773669</c:v>
                </c:pt>
                <c:pt idx="4">
                  <c:v>13052.0587463939</c:v>
                </c:pt>
                <c:pt idx="5">
                  <c:v>16016.8716913585</c:v>
                </c:pt>
                <c:pt idx="6">
                  <c:v>17172.9443576951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"Planorte"</c:f>
              <c:strCache>
                <c:ptCount val="1"/>
                <c:pt idx="0">
                  <c:v>Planorte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circle"/>
            <c:size val="5"/>
            <c:spPr>
              <a:solidFill>
                <a:srgbClr val="bcbd2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Graphs!$C$86:$I$86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</c:multiLvlStrCache>
            </c:multiLvlStrRef>
          </c:cat>
          <c:val>
            <c:numRef>
              <c:f>Graphs!$C$108:$I$108</c:f>
              <c:numCache>
                <c:formatCode>#,##0</c:formatCode>
                <c:ptCount val="7"/>
                <c:pt idx="0">
                  <c:v>9791.96436076322</c:v>
                </c:pt>
                <c:pt idx="1">
                  <c:v>8407.93510696423</c:v>
                </c:pt>
                <c:pt idx="2">
                  <c:v>9216.57630395495</c:v>
                </c:pt>
                <c:pt idx="3">
                  <c:v>10718.2784852688</c:v>
                </c:pt>
                <c:pt idx="4">
                  <c:v>10794.1473259334</c:v>
                </c:pt>
                <c:pt idx="5">
                  <c:v>12960.0992263707</c:v>
                </c:pt>
                <c:pt idx="6">
                  <c:v>13476.2575195188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"Parnaguá"</c:f>
              <c:strCache>
                <c:ptCount val="1"/>
                <c:pt idx="0">
                  <c:v>Parnaguá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circle"/>
            <c:size val="5"/>
            <c:spPr>
              <a:solidFill>
                <a:srgbClr val="17bec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Graphs!$C$86:$I$86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</c:multiLvlStrCache>
            </c:multiLvlStrRef>
          </c:cat>
          <c:val>
            <c:numRef>
              <c:f>Graphs!$C$109:$I$109</c:f>
              <c:numCache>
                <c:formatCode>#,##0</c:formatCode>
                <c:ptCount val="7"/>
                <c:pt idx="0">
                  <c:v>1871.44354597185</c:v>
                </c:pt>
                <c:pt idx="1">
                  <c:v>1907.48186840029</c:v>
                </c:pt>
                <c:pt idx="2">
                  <c:v>2274.99906053888</c:v>
                </c:pt>
                <c:pt idx="3">
                  <c:v>2673.74273439474</c:v>
                </c:pt>
                <c:pt idx="4">
                  <c:v>3524.28565622079</c:v>
                </c:pt>
                <c:pt idx="5">
                  <c:v>5593.22033898305</c:v>
                </c:pt>
                <c:pt idx="6">
                  <c:v>6136.20836891546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824898"/>
        <c:axId val="54278646"/>
      </c:lineChart>
      <c:catAx>
        <c:axId val="78248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54278646"/>
        <c:crosses val="autoZero"/>
        <c:auto val="1"/>
        <c:lblAlgn val="ctr"/>
        <c:lblOffset val="100"/>
        <c:noMultiLvlLbl val="0"/>
      </c:catAx>
      <c:valAx>
        <c:axId val="54278646"/>
        <c:scaling>
          <c:orientation val="minMax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782489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Valorização anualizada do R$/ha por fazenda (1ª → última avaliação)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"CAGR do R$/ha"</c:f>
              <c:strCache>
                <c:ptCount val="1"/>
                <c:pt idx="0">
                  <c:v>CAGR do R$/ha</c:v>
                </c:pt>
              </c:strCache>
            </c:strRef>
          </c:tx>
          <c:spPr>
            <a:solidFill>
              <a:srgbClr val="8b4513"/>
            </a:solidFill>
            <a:ln w="0">
              <a:solidFill>
                <a:srgbClr val="8b4513"/>
              </a:solidFill>
            </a:ln>
          </c:spPr>
          <c:invertIfNegative val="0"/>
          <c:dLbls>
            <c:numFmt formatCode="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Graphs!$A$97:$A$111</c:f>
              <c:strCache>
                <c:ptCount val="15"/>
                <c:pt idx="0">
                  <c:v>Fazenda Pamplona</c:v>
                </c:pt>
                <c:pt idx="1">
                  <c:v>Fazenda Planalto</c:v>
                </c:pt>
                <c:pt idx="2">
                  <c:v>Fazenda Planeste</c:v>
                </c:pt>
                <c:pt idx="3">
                  <c:v>Fazenda Panorama</c:v>
                </c:pt>
                <c:pt idx="4">
                  <c:v>Fazenda Piratini</c:v>
                </c:pt>
                <c:pt idx="5">
                  <c:v>Fazenda Palmares</c:v>
                </c:pt>
                <c:pt idx="6">
                  <c:v>Fazenda Parnaíba</c:v>
                </c:pt>
                <c:pt idx="7">
                  <c:v>Fazenda Paiaguás</c:v>
                </c:pt>
                <c:pt idx="8">
                  <c:v>Fazenda Pejuçara</c:v>
                </c:pt>
                <c:pt idx="9">
                  <c:v>Fazenda Parceiro</c:v>
                </c:pt>
                <c:pt idx="10">
                  <c:v>Fazenda Perdizes</c:v>
                </c:pt>
                <c:pt idx="11">
                  <c:v>Fazenda Planorte</c:v>
                </c:pt>
                <c:pt idx="12">
                  <c:v>Fazenda Parnaguá</c:v>
                </c:pt>
                <c:pt idx="13">
                  <c:v>Fazenda Paineira</c:v>
                </c:pt>
                <c:pt idx="14">
                  <c:v>Fazenda Palmeira</c:v>
                </c:pt>
              </c:strCache>
            </c:strRef>
          </c:cat>
          <c:val>
            <c:numRef>
              <c:f>Graphs!$O$97:$O$111</c:f>
              <c:numCache>
                <c:formatCode>0.00%</c:formatCode>
                <c:ptCount val="15"/>
                <c:pt idx="0">
                  <c:v>0.0963403518371628</c:v>
                </c:pt>
                <c:pt idx="1">
                  <c:v>0.125419720074096</c:v>
                </c:pt>
                <c:pt idx="2">
                  <c:v>0.0802466912449047</c:v>
                </c:pt>
                <c:pt idx="3">
                  <c:v>0.101696644318031</c:v>
                </c:pt>
                <c:pt idx="4">
                  <c:v>0.206885860866377</c:v>
                </c:pt>
                <c:pt idx="5">
                  <c:v>0.179271853583611</c:v>
                </c:pt>
                <c:pt idx="6">
                  <c:v>0.0548540241423292</c:v>
                </c:pt>
                <c:pt idx="7">
                  <c:v>0.108796586117366</c:v>
                </c:pt>
                <c:pt idx="8">
                  <c:v>0.0246875</c:v>
                </c:pt>
                <c:pt idx="9">
                  <c:v>0.225178638524464</c:v>
                </c:pt>
                <c:pt idx="10">
                  <c:v>0.276319071754471</c:v>
                </c:pt>
                <c:pt idx="11">
                  <c:v>0.0727333620222623</c:v>
                </c:pt>
                <c:pt idx="12">
                  <c:v>0.218860196059455</c:v>
                </c:pt>
                <c:pt idx="13">
                  <c:v>0.150851937281397</c:v>
                </c:pt>
                <c:pt idx="14">
                  <c:v>0.113104449787179</c:v>
                </c:pt>
              </c:numCache>
            </c:numRef>
          </c:val>
        </c:ser>
        <c:gapWidth val="40"/>
        <c:overlap val="0"/>
        <c:axId val="36484364"/>
        <c:axId val="44677621"/>
      </c:barChart>
      <c:catAx>
        <c:axId val="364843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44677621"/>
        <c:crosses val="autoZero"/>
        <c:auto val="1"/>
        <c:lblAlgn val="ctr"/>
        <c:lblOffset val="100"/>
        <c:noMultiLvlLbl val="0"/>
      </c:catAx>
      <c:valAx>
        <c:axId val="44677621"/>
        <c:scaling>
          <c:orientation val="minMax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3648436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Índice Farmland (base 100 = 2008): Total, Appreciation e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"Total R$"</c:f>
              <c:strCache>
                <c:ptCount val="1"/>
                <c:pt idx="0">
                  <c:v>Total R$</c:v>
                </c:pt>
              </c:strCache>
            </c:strRef>
          </c:tx>
          <c:spPr>
            <a:solidFill>
              <a:srgbClr val="8b4513"/>
            </a:solidFill>
            <a:ln w="21960">
              <a:solidFill>
                <a:srgbClr val="8b4513"/>
              </a:solidFill>
              <a:round/>
            </a:ln>
          </c:spPr>
          <c:marker>
            <c:symbol val="circle"/>
            <c:size val="5"/>
            <c:spPr>
              <a:solidFill>
                <a:srgbClr val="8b451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Returns!$O$11:$V$11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  <c:lvl>
                  <c:pt idx="0">
                    <c:v>2008</c:v>
                  </c:pt>
                </c:lvl>
              </c:multiLvlStrCache>
            </c:multiLvlStrRef>
          </c:cat>
          <c:val>
            <c:numRef>
              <c:f>Returns!$O$12:$V$12</c:f>
              <c:numCache>
                <c:formatCode>#,##0.0</c:formatCode>
                <c:ptCount val="8"/>
                <c:pt idx="0">
                  <c:v>100</c:v>
                </c:pt>
                <c:pt idx="1">
                  <c:v>132.372509309328</c:v>
                </c:pt>
                <c:pt idx="2">
                  <c:v>135.652877082853</c:v>
                </c:pt>
                <c:pt idx="3">
                  <c:v>164.575090316104</c:v>
                </c:pt>
                <c:pt idx="4">
                  <c:v>193.742887921349</c:v>
                </c:pt>
                <c:pt idx="5">
                  <c:v>229.349205832086</c:v>
                </c:pt>
                <c:pt idx="6">
                  <c:v>279.287420490732</c:v>
                </c:pt>
                <c:pt idx="7">
                  <c:v>304.847233548067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"Appreciation R$"</c:f>
              <c:strCache>
                <c:ptCount val="1"/>
                <c:pt idx="0">
                  <c:v>Appreciation R$</c:v>
                </c:pt>
              </c:strCache>
            </c:strRef>
          </c:tx>
          <c:spPr>
            <a:solidFill>
              <a:srgbClr val="2ca02c"/>
            </a:solidFill>
            <a:ln w="21960">
              <a:solidFill>
                <a:srgbClr val="2ca02c"/>
              </a:solidFill>
              <a:round/>
            </a:ln>
          </c:spPr>
          <c:marker>
            <c:symbol val="circle"/>
            <c:size val="5"/>
            <c:spPr>
              <a:solidFill>
                <a:srgbClr val="2ca02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Returns!$O$11:$V$11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  <c:lvl>
                  <c:pt idx="0">
                    <c:v>2008</c:v>
                  </c:pt>
                </c:lvl>
              </c:multiLvlStrCache>
            </c:multiLvlStrRef>
          </c:cat>
          <c:val>
            <c:numRef>
              <c:f>Returns!$O$13:$V$13</c:f>
              <c:numCache>
                <c:formatCode>#,##0.0</c:formatCode>
                <c:ptCount val="8"/>
                <c:pt idx="0">
                  <c:v>100</c:v>
                </c:pt>
                <c:pt idx="1">
                  <c:v>130.078419929133</c:v>
                </c:pt>
                <c:pt idx="2">
                  <c:v>130.538976513163</c:v>
                </c:pt>
                <c:pt idx="3">
                  <c:v>155.797299260637</c:v>
                </c:pt>
                <c:pt idx="4">
                  <c:v>178.658681790022</c:v>
                </c:pt>
                <c:pt idx="5">
                  <c:v>207.017661513085</c:v>
                </c:pt>
                <c:pt idx="6">
                  <c:v>246.93555143288</c:v>
                </c:pt>
                <c:pt idx="7">
                  <c:v>263.633493537799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"Income R$"</c:f>
              <c:strCache>
                <c:ptCount val="1"/>
                <c:pt idx="0">
                  <c:v>Income R$</c:v>
                </c:pt>
              </c:strCache>
            </c:strRef>
          </c:tx>
          <c:spPr>
            <a:solidFill>
              <a:srgbClr val="ff7f0e"/>
            </a:solidFill>
            <a:ln w="21960">
              <a:solidFill>
                <a:srgbClr val="ff7f0e"/>
              </a:solidFill>
              <a:round/>
            </a:ln>
          </c:spPr>
          <c:marker>
            <c:symbol val="circle"/>
            <c:size val="5"/>
            <c:spPr>
              <a:solidFill>
                <a:srgbClr val="ff7f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Returns!$O$11:$V$11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  <c:lvl>
                  <c:pt idx="0">
                    <c:v>2008</c:v>
                  </c:pt>
                </c:lvl>
              </c:multiLvlStrCache>
            </c:multiLvlStrRef>
          </c:cat>
          <c:val>
            <c:numRef>
              <c:f>Returns!$O$14:$V$14</c:f>
              <c:numCache>
                <c:formatCode>#,##0.0</c:formatCode>
                <c:ptCount val="8"/>
                <c:pt idx="0">
                  <c:v>100</c:v>
                </c:pt>
                <c:pt idx="1">
                  <c:v>102.294089380195</c:v>
                </c:pt>
                <c:pt idx="2">
                  <c:v>104.466890506024</c:v>
                </c:pt>
                <c:pt idx="3">
                  <c:v>106.526449263123</c:v>
                </c:pt>
                <c:pt idx="4">
                  <c:v>109.774754734194</c:v>
                </c:pt>
                <c:pt idx="5">
                  <c:v>112.524454641144</c:v>
                </c:pt>
                <c:pt idx="6">
                  <c:v>115.328021346262</c:v>
                </c:pt>
                <c:pt idx="7">
                  <c:v>118.08405021402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"Total US$"</c:f>
              <c:strCache>
                <c:ptCount val="1"/>
                <c:pt idx="0">
                  <c:v>Total US$</c:v>
                </c:pt>
              </c:strCache>
            </c:strRef>
          </c:tx>
          <c:spPr>
            <a:solidFill>
              <a:srgbClr val="1f77b4"/>
            </a:solidFill>
            <a:ln w="21960">
              <a:solidFill>
                <a:srgbClr val="1f77b4"/>
              </a:solidFill>
              <a:round/>
            </a:ln>
          </c:spPr>
          <c:marker>
            <c:symbol val="circle"/>
            <c:size val="5"/>
            <c:spPr>
              <a:solidFill>
                <a:srgbClr val="1f77b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Returns!$O$11:$V$11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  <c:lvl>
                  <c:pt idx="0">
                    <c:v>2008</c:v>
                  </c:pt>
                </c:lvl>
              </c:multiLvlStrCache>
            </c:multiLvlStrRef>
          </c:cat>
          <c:val>
            <c:numRef>
              <c:f>Returns!$O$66:$V$66</c:f>
              <c:numCache>
                <c:formatCode>#,##0.0</c:formatCode>
                <c:ptCount val="8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3557834"/>
        <c:axId val="78108221"/>
      </c:lineChart>
      <c:catAx>
        <c:axId val="635578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78108221"/>
        <c:crosses val="autoZero"/>
        <c:auto val="1"/>
        <c:lblAlgn val="ctr"/>
        <c:lblOffset val="100"/>
        <c:noMultiLvlLbl val="0"/>
      </c:catAx>
      <c:valAx>
        <c:axId val="78108221"/>
        <c:scaling>
          <c:orientation val="minMax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6355783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Retorno total anual em R$ = Income + Capital (Total Farmland)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"Income Return"</c:f>
              <c:strCache>
                <c:ptCount val="1"/>
                <c:pt idx="0">
                  <c:v>Income Return</c:v>
                </c:pt>
              </c:strCache>
            </c:strRef>
          </c:tx>
          <c:spPr>
            <a:solidFill>
              <a:srgbClr val="ff7f0e"/>
            </a:solidFill>
            <a:ln w="0">
              <a:solidFill>
                <a:srgbClr val="ff7f0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Returns!$E$11:$K$11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</c:multiLvlStrCache>
            </c:multiLvlStrRef>
          </c:cat>
          <c:val>
            <c:numRef>
              <c:f>Returns!$E$14:$K$14</c:f>
              <c:numCache>
                <c:formatCode>0.00%</c:formatCode>
                <c:ptCount val="7"/>
                <c:pt idx="0">
                  <c:v>0.0229408938019528</c:v>
                </c:pt>
                <c:pt idx="1">
                  <c:v>0.0212407299287174</c:v>
                </c:pt>
                <c:pt idx="2">
                  <c:v>0.0197149426686543</c:v>
                </c:pt>
                <c:pt idx="3">
                  <c:v>0.0304929479349072</c:v>
                </c:pt>
                <c:pt idx="4">
                  <c:v>0.025048563429797</c:v>
                </c:pt>
                <c:pt idx="5">
                  <c:v>0.0249151770080507</c:v>
                </c:pt>
                <c:pt idx="6">
                  <c:v>0.02389730471039</c:v>
                </c:pt>
              </c:numCache>
            </c:numRef>
          </c:val>
        </c:ser>
        <c:ser>
          <c:idx val="1"/>
          <c:order val="1"/>
          <c:tx>
            <c:strRef>
              <c:f>"Capital Return"</c:f>
              <c:strCache>
                <c:ptCount val="1"/>
                <c:pt idx="0">
                  <c:v>Capital Return</c:v>
                </c:pt>
              </c:strCache>
            </c:strRef>
          </c:tx>
          <c:spPr>
            <a:solidFill>
              <a:srgbClr val="2ca02c"/>
            </a:solidFill>
            <a:ln w="0">
              <a:solidFill>
                <a:srgbClr val="2ca02c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Returns!$E$11:$K$11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</c:multiLvlStrCache>
            </c:multiLvlStrRef>
          </c:cat>
          <c:val>
            <c:numRef>
              <c:f>Returns!$E$13:$K$13</c:f>
              <c:numCache>
                <c:formatCode>0.00%</c:formatCode>
                <c:ptCount val="7"/>
                <c:pt idx="0">
                  <c:v>0.300784199291331</c:v>
                </c:pt>
                <c:pt idx="1">
                  <c:v>0.00354060715282795</c:v>
                </c:pt>
                <c:pt idx="2">
                  <c:v>0.193492575337663</c:v>
                </c:pt>
                <c:pt idx="3">
                  <c:v>0.146737989925869</c:v>
                </c:pt>
                <c:pt idx="4">
                  <c:v>0.158732726777826</c:v>
                </c:pt>
                <c:pt idx="5">
                  <c:v>0.19282359595813</c:v>
                </c:pt>
                <c:pt idx="6">
                  <c:v>0.0676206484162637</c:v>
                </c:pt>
              </c:numCache>
            </c:numRef>
          </c:val>
        </c:ser>
        <c:gapWidth val="150"/>
        <c:overlap val="100"/>
        <c:axId val="30801241"/>
        <c:axId val="40293540"/>
      </c:barChart>
      <c:lineChart>
        <c:grouping val="stacked"/>
        <c:varyColors val="0"/>
        <c:ser>
          <c:idx val="2"/>
          <c:order val="2"/>
          <c:tx>
            <c:strRef>
              <c:f>"Total Return"</c:f>
              <c:strCache>
                <c:ptCount val="1"/>
                <c:pt idx="0">
                  <c:v>Total Return</c:v>
                </c:pt>
              </c:strCache>
            </c:strRef>
          </c:tx>
          <c:spPr>
            <a:solidFill>
              <a:srgbClr val="000000"/>
            </a:solidFill>
            <a:ln w="21960">
              <a:solidFill>
                <a:srgbClr val="000000"/>
              </a:solidFill>
              <a:round/>
            </a:ln>
          </c:spPr>
          <c:marker>
            <c:symbol val="circle"/>
            <c:size val="5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Returns!$E$11:$K$11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</c:multiLvlStrCache>
            </c:multiLvlStrRef>
          </c:cat>
          <c:val>
            <c:numRef>
              <c:f>Returns!$E$12:$K$12</c:f>
              <c:numCache>
                <c:formatCode>0.00%</c:formatCode>
                <c:ptCount val="7"/>
                <c:pt idx="0">
                  <c:v>0.323725093093284</c:v>
                </c:pt>
                <c:pt idx="1">
                  <c:v>0.0247813370815453</c:v>
                </c:pt>
                <c:pt idx="2">
                  <c:v>0.213207518006317</c:v>
                </c:pt>
                <c:pt idx="3">
                  <c:v>0.177230937860776</c:v>
                </c:pt>
                <c:pt idx="4">
                  <c:v>0.183781290207623</c:v>
                </c:pt>
                <c:pt idx="5">
                  <c:v>0.217738772966181</c:v>
                </c:pt>
                <c:pt idx="6">
                  <c:v>0.0915179531266537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0801241"/>
        <c:axId val="40293540"/>
      </c:lineChart>
      <c:catAx>
        <c:axId val="308012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40293540"/>
        <c:crosses val="autoZero"/>
        <c:auto val="1"/>
        <c:lblAlgn val="ctr"/>
        <c:lblOffset val="100"/>
        <c:noMultiLvlLbl val="0"/>
      </c:catAx>
      <c:valAx>
        <c:axId val="40293540"/>
        <c:scaling>
          <c:orientation val="minMax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3080124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Retorno total anual: R$ vs US$ (Total Farmland)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"Total Return R$"</c:f>
              <c:strCache>
                <c:ptCount val="1"/>
                <c:pt idx="0">
                  <c:v>Total Return R$</c:v>
                </c:pt>
              </c:strCache>
            </c:strRef>
          </c:tx>
          <c:spPr>
            <a:solidFill>
              <a:srgbClr val="8b4513"/>
            </a:solidFill>
            <a:ln w="0">
              <a:solidFill>
                <a:srgbClr val="8b4513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Returns!$E$11:$K$11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</c:multiLvlStrCache>
            </c:multiLvlStrRef>
          </c:cat>
          <c:val>
            <c:numRef>
              <c:f>Returns!$E$12:$K$12</c:f>
              <c:numCache>
                <c:formatCode>0.00%</c:formatCode>
                <c:ptCount val="7"/>
                <c:pt idx="0">
                  <c:v>0.323725093093284</c:v>
                </c:pt>
                <c:pt idx="1">
                  <c:v>0.0247813370815453</c:v>
                </c:pt>
                <c:pt idx="2">
                  <c:v>0.213207518006317</c:v>
                </c:pt>
                <c:pt idx="3">
                  <c:v>0.177230937860776</c:v>
                </c:pt>
                <c:pt idx="4">
                  <c:v>0.183781290207623</c:v>
                </c:pt>
                <c:pt idx="5">
                  <c:v>0.217738772966181</c:v>
                </c:pt>
                <c:pt idx="6">
                  <c:v>0.0915179531266537</c:v>
                </c:pt>
              </c:numCache>
            </c:numRef>
          </c:val>
        </c:ser>
        <c:ser>
          <c:idx val="1"/>
          <c:order val="1"/>
          <c:tx>
            <c:strRef>
              <c:f>"Total Return US$"</c:f>
              <c:strCache>
                <c:ptCount val="1"/>
                <c:pt idx="0">
                  <c:v>Total Return US$</c:v>
                </c:pt>
              </c:strCache>
            </c:strRef>
          </c:tx>
          <c:spPr>
            <a:solidFill>
              <a:srgbClr val="1f77b4"/>
            </a:solidFill>
            <a:ln w="0">
              <a:solidFill>
                <a:srgbClr val="1f77b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Returns!$E$11:$K$11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</c:multiLvlStrCache>
            </c:multiLvlStrRef>
          </c:cat>
          <c:val>
            <c:numRef>
              <c:f>Returns!$E$66:$K$66</c:f>
              <c:numCache>
                <c:formatCode>General</c:formatCode>
                <c:ptCount val="7"/>
              </c:numCache>
            </c:numRef>
          </c:val>
        </c:ser>
        <c:gapWidth val="150"/>
        <c:overlap val="0"/>
        <c:axId val="15360229"/>
        <c:axId val="63438640"/>
      </c:barChart>
      <c:catAx>
        <c:axId val="153602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63438640"/>
        <c:crosses val="autoZero"/>
        <c:auto val="1"/>
        <c:lblAlgn val="ctr"/>
        <c:lblOffset val="100"/>
        <c:noMultiLvlLbl val="0"/>
      </c:catAx>
      <c:valAx>
        <c:axId val="63438640"/>
        <c:scaling>
          <c:orientation val="minMax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1536022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Valor de mercado do portfólio (milhões)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"R$ mm"</c:f>
              <c:strCache>
                <c:ptCount val="1"/>
                <c:pt idx="0">
                  <c:v>R$ mm</c:v>
                </c:pt>
              </c:strCache>
            </c:strRef>
          </c:tx>
          <c:spPr>
            <a:solidFill>
              <a:srgbClr val="8b4513"/>
            </a:solidFill>
            <a:ln w="0">
              <a:solidFill>
                <a:srgbClr val="8b4513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Graphs!$B$86:$I$86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  <c:lvl>
                  <c:pt idx="0">
                    <c:v>2008</c:v>
                  </c:pt>
                </c:lvl>
              </c:multiLvlStrCache>
            </c:multiLvlStrRef>
          </c:cat>
          <c:val>
            <c:numRef>
              <c:f>Graphs!$B$89:$I$89</c:f>
              <c:numCache>
                <c:formatCode>#,##0</c:formatCode>
                <c:ptCount val="8"/>
                <c:pt idx="0">
                  <c:v>1096.77</c:v>
                </c:pt>
                <c:pt idx="1">
                  <c:v>1495.69</c:v>
                </c:pt>
                <c:pt idx="2">
                  <c:v>1500.93</c:v>
                </c:pt>
                <c:pt idx="3">
                  <c:v>1756.15</c:v>
                </c:pt>
                <c:pt idx="4">
                  <c:v>2315.6</c:v>
                </c:pt>
                <c:pt idx="5">
                  <c:v>2678.615</c:v>
                </c:pt>
                <c:pt idx="6">
                  <c:v>3188.76</c:v>
                </c:pt>
                <c:pt idx="7">
                  <c:v>3401.84</c:v>
                </c:pt>
              </c:numCache>
            </c:numRef>
          </c:val>
        </c:ser>
        <c:ser>
          <c:idx val="1"/>
          <c:order val="1"/>
          <c:tx>
            <c:strRef>
              <c:f>"US$ mm"</c:f>
              <c:strCache>
                <c:ptCount val="1"/>
                <c:pt idx="0">
                  <c:v>US$ mm</c:v>
                </c:pt>
              </c:strCache>
            </c:strRef>
          </c:tx>
          <c:spPr>
            <a:solidFill>
              <a:srgbClr val="1f77b4"/>
            </a:solidFill>
            <a:ln w="0">
              <a:solidFill>
                <a:srgbClr val="1f77b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Graphs!$B$86:$I$86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  <c:lvl>
                  <c:pt idx="0">
                    <c:v>2008</c:v>
                  </c:pt>
                </c:lvl>
              </c:multiLvlStrCache>
            </c:multiLvlStrRef>
          </c:cat>
          <c:val>
            <c:numRef>
              <c:f>Graphs!$B$90:$I$90</c:f>
              <c:numCache>
                <c:formatCode>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66519981"/>
        <c:axId val="75187431"/>
      </c:barChart>
      <c:catAx>
        <c:axId val="665199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75187431"/>
        <c:crosses val="autoZero"/>
        <c:auto val="1"/>
        <c:lblAlgn val="ctr"/>
        <c:lblOffset val="100"/>
        <c:noMultiLvlLbl val="0"/>
      </c:catAx>
      <c:valAx>
        <c:axId val="75187431"/>
        <c:scaling>
          <c:orientation val="minMax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6651998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Câmbio usado na conversão (PTAX venda, R$/US$)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"PTAX na data da avaliação"</c:f>
              <c:strCache>
                <c:ptCount val="1"/>
                <c:pt idx="0">
                  <c:v>PTAX na data da avaliação</c:v>
                </c:pt>
              </c:strCache>
            </c:strRef>
          </c:tx>
          <c:spPr>
            <a:solidFill>
              <a:srgbClr val="8b4513"/>
            </a:solidFill>
            <a:ln w="21960">
              <a:solidFill>
                <a:srgbClr val="8b4513"/>
              </a:solidFill>
              <a:round/>
            </a:ln>
          </c:spPr>
          <c:marker>
            <c:symbol val="circle"/>
            <c:size val="5"/>
            <c:spPr>
              <a:solidFill>
                <a:srgbClr val="8b451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Graphs!$B$86:$I$86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  <c:lvl>
                  <c:pt idx="0">
                    <c:v>2008</c:v>
                  </c:pt>
                </c:lvl>
              </c:multiLvlStrCache>
            </c:multiLvlStrRef>
          </c:cat>
          <c:val>
            <c:numRef>
              <c:f>Graphs!$B$92:$I$92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"PTAX em 31/dez (rent)"</c:f>
              <c:strCache>
                <c:ptCount val="1"/>
                <c:pt idx="0">
                  <c:v>PTAX em 31/dez (rent)</c:v>
                </c:pt>
              </c:strCache>
            </c:strRef>
          </c:tx>
          <c:spPr>
            <a:solidFill>
              <a:srgbClr val="1f77b4"/>
            </a:solidFill>
            <a:ln w="21960">
              <a:solidFill>
                <a:srgbClr val="1f77b4"/>
              </a:solidFill>
              <a:round/>
            </a:ln>
          </c:spPr>
          <c:marker>
            <c:symbol val="circle"/>
            <c:size val="5"/>
            <c:spPr>
              <a:solidFill>
                <a:srgbClr val="1f77b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Graphs!$B$86:$I$86</c:f>
              <c:multiLvlStrCache>
                <c:ptCount val="1"/>
                <c:lvl>
                  <c:pt idx="0">
                    <c:v>2015</c:v>
                  </c:pt>
                </c:lvl>
                <c:lvl>
                  <c:pt idx="0">
                    <c:v>2014</c:v>
                  </c:pt>
                </c:lvl>
                <c:lvl>
                  <c:pt idx="0">
                    <c:v>2013</c:v>
                  </c:pt>
                </c:lvl>
                <c:lvl>
                  <c:pt idx="0">
                    <c:v>2012</c:v>
                  </c:pt>
                </c:lvl>
                <c:lvl>
                  <c:pt idx="0">
                    <c:v>2011</c:v>
                  </c:pt>
                </c:lvl>
                <c:lvl>
                  <c:pt idx="0">
                    <c:v>2010</c:v>
                  </c:pt>
                </c:lvl>
                <c:lvl>
                  <c:pt idx="0">
                    <c:v>2009</c:v>
                  </c:pt>
                </c:lvl>
                <c:lvl>
                  <c:pt idx="0">
                    <c:v>2008</c:v>
                  </c:pt>
                </c:lvl>
              </c:multiLvlStrCache>
            </c:multiLvlStrRef>
          </c:cat>
          <c:val>
            <c:numRef>
              <c:f>Graphs!$B$93:$I$93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1660102"/>
        <c:axId val="56550125"/>
      </c:lineChart>
      <c:catAx>
        <c:axId val="416601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56550125"/>
        <c:crosses val="autoZero"/>
        <c:auto val="1"/>
        <c:lblAlgn val="ctr"/>
        <c:lblOffset val="100"/>
        <c:noMultiLvlLbl val="0"/>
      </c:catAx>
      <c:valAx>
        <c:axId val="56550125"/>
        <c:scaling>
          <c:orientation val="minMax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4166010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131040</xdr:rowOff>
    </xdr:from>
    <xdr:to>
      <xdr:col>3</xdr:col>
      <xdr:colOff>709560</xdr:colOff>
      <xdr:row>18</xdr:row>
      <xdr:rowOff>34560</xdr:rowOff>
    </xdr:to>
    <xdr:graphicFrame>
      <xdr:nvGraphicFramePr>
        <xdr:cNvPr id="0" name="Chart 1"/>
        <xdr:cNvGraphicFramePr/>
      </xdr:nvGraphicFramePr>
      <xdr:xfrm>
        <a:off x="0" y="57168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</xdr:row>
      <xdr:rowOff>131040</xdr:rowOff>
    </xdr:from>
    <xdr:to>
      <xdr:col>12</xdr:col>
      <xdr:colOff>168480</xdr:colOff>
      <xdr:row>18</xdr:row>
      <xdr:rowOff>34560</xdr:rowOff>
    </xdr:to>
    <xdr:graphicFrame>
      <xdr:nvGraphicFramePr>
        <xdr:cNvPr id="1" name="Chart 2"/>
        <xdr:cNvGraphicFramePr/>
      </xdr:nvGraphicFramePr>
      <xdr:xfrm>
        <a:off x="8385840" y="57168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20</xdr:row>
      <xdr:rowOff>131040</xdr:rowOff>
    </xdr:from>
    <xdr:to>
      <xdr:col>3</xdr:col>
      <xdr:colOff>709560</xdr:colOff>
      <xdr:row>42</xdr:row>
      <xdr:rowOff>79560</xdr:rowOff>
    </xdr:to>
    <xdr:graphicFrame>
      <xdr:nvGraphicFramePr>
        <xdr:cNvPr id="2" name="Chart 3"/>
        <xdr:cNvGraphicFramePr/>
      </xdr:nvGraphicFramePr>
      <xdr:xfrm>
        <a:off x="0" y="4000680"/>
        <a:ext cx="6119640" cy="41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0</xdr:colOff>
      <xdr:row>20</xdr:row>
      <xdr:rowOff>131040</xdr:rowOff>
    </xdr:from>
    <xdr:to>
      <xdr:col>12</xdr:col>
      <xdr:colOff>168480</xdr:colOff>
      <xdr:row>42</xdr:row>
      <xdr:rowOff>79560</xdr:rowOff>
    </xdr:to>
    <xdr:graphicFrame>
      <xdr:nvGraphicFramePr>
        <xdr:cNvPr id="3" name="Chart 4"/>
        <xdr:cNvGraphicFramePr/>
      </xdr:nvGraphicFramePr>
      <xdr:xfrm>
        <a:off x="8385840" y="4000680"/>
        <a:ext cx="6119640" cy="41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44</xdr:row>
      <xdr:rowOff>131040</xdr:rowOff>
    </xdr:from>
    <xdr:to>
      <xdr:col>3</xdr:col>
      <xdr:colOff>709560</xdr:colOff>
      <xdr:row>60</xdr:row>
      <xdr:rowOff>34560</xdr:rowOff>
    </xdr:to>
    <xdr:graphicFrame>
      <xdr:nvGraphicFramePr>
        <xdr:cNvPr id="4" name="Chart 5"/>
        <xdr:cNvGraphicFramePr/>
      </xdr:nvGraphicFramePr>
      <xdr:xfrm>
        <a:off x="0" y="857268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44</xdr:row>
      <xdr:rowOff>131040</xdr:rowOff>
    </xdr:from>
    <xdr:to>
      <xdr:col>12</xdr:col>
      <xdr:colOff>168480</xdr:colOff>
      <xdr:row>60</xdr:row>
      <xdr:rowOff>34560</xdr:rowOff>
    </xdr:to>
    <xdr:graphicFrame>
      <xdr:nvGraphicFramePr>
        <xdr:cNvPr id="5" name="Chart 6"/>
        <xdr:cNvGraphicFramePr/>
      </xdr:nvGraphicFramePr>
      <xdr:xfrm>
        <a:off x="8385840" y="857268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62</xdr:row>
      <xdr:rowOff>131040</xdr:rowOff>
    </xdr:from>
    <xdr:to>
      <xdr:col>3</xdr:col>
      <xdr:colOff>709560</xdr:colOff>
      <xdr:row>78</xdr:row>
      <xdr:rowOff>34560</xdr:rowOff>
    </xdr:to>
    <xdr:graphicFrame>
      <xdr:nvGraphicFramePr>
        <xdr:cNvPr id="6" name="Chart 7"/>
        <xdr:cNvGraphicFramePr/>
      </xdr:nvGraphicFramePr>
      <xdr:xfrm>
        <a:off x="0" y="1200168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6</xdr:col>
      <xdr:colOff>0</xdr:colOff>
      <xdr:row>62</xdr:row>
      <xdr:rowOff>131040</xdr:rowOff>
    </xdr:from>
    <xdr:to>
      <xdr:col>12</xdr:col>
      <xdr:colOff>168480</xdr:colOff>
      <xdr:row>78</xdr:row>
      <xdr:rowOff>34560</xdr:rowOff>
    </xdr:to>
    <xdr:graphicFrame>
      <xdr:nvGraphicFramePr>
        <xdr:cNvPr id="7" name="Chart 8"/>
        <xdr:cNvGraphicFramePr/>
      </xdr:nvGraphicFramePr>
      <xdr:xfrm>
        <a:off x="8385840" y="1200168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8.5312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5" min="2" style="1" width="11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84" customFormat="false" ht="15" hidden="false" customHeight="false" outlineLevel="0" collapsed="false">
      <c r="A84" s="4" t="s">
        <v>2</v>
      </c>
    </row>
    <row r="86" customFormat="false" ht="15" hidden="false" customHeight="false" outlineLevel="0" collapsed="false">
      <c r="A86" s="5" t="s">
        <v>3</v>
      </c>
      <c r="B86" s="6" t="n">
        <v>2008</v>
      </c>
      <c r="C86" s="7" t="n">
        <f aca="false">B86+1</f>
        <v>2009</v>
      </c>
      <c r="D86" s="7" t="n">
        <f aca="false">C86+1</f>
        <v>2010</v>
      </c>
      <c r="E86" s="7" t="n">
        <f aca="false">D86+1</f>
        <v>2011</v>
      </c>
      <c r="F86" s="7" t="n">
        <f aca="false">E86+1</f>
        <v>2012</v>
      </c>
      <c r="G86" s="7" t="n">
        <f aca="false">F86+1</f>
        <v>2013</v>
      </c>
      <c r="H86" s="7" t="n">
        <f aca="false">G86+1</f>
        <v>2014</v>
      </c>
      <c r="I86" s="7" t="n">
        <f aca="false">H86+1</f>
        <v>2015</v>
      </c>
    </row>
    <row r="87" customFormat="false" ht="15" hidden="false" customHeight="false" outlineLevel="0" collapsed="false">
      <c r="A87" s="8" t="s">
        <v>4</v>
      </c>
      <c r="B87" s="9" t="n">
        <f aca="false">SUMIFS('Asset Value'!$F$4:$F$500,'Asset Value'!$B$4:$B$500,B$86)/SUMIFS('Asset Value'!$D$4:$D$500,'Asset Value'!$B$4:$B$500,B$86)</f>
        <v>6546.94252763783</v>
      </c>
      <c r="C87" s="9" t="n">
        <f aca="false">SUMIFS('Asset Value'!$F$4:$F$500,'Asset Value'!$B$4:$B$500,C$86)/SUMIFS('Asset Value'!$D$4:$D$500,'Asset Value'!$B$4:$B$500,C$86)</f>
        <v>6865.21469717486</v>
      </c>
      <c r="D87" s="9" t="n">
        <f aca="false">SUMIFS('Asset Value'!$F$4:$F$500,'Asset Value'!$B$4:$B$500,D$86)/SUMIFS('Asset Value'!$D$4:$D$500,'Asset Value'!$B$4:$B$500,D$86)</f>
        <v>6530.6175809235</v>
      </c>
      <c r="E87" s="9" t="n">
        <f aca="false">SUMIFS('Asset Value'!$F$4:$F$500,'Asset Value'!$B$4:$B$500,E$86)/SUMIFS('Asset Value'!$D$4:$D$500,'Asset Value'!$B$4:$B$500,E$86)</f>
        <v>7875.18273706491</v>
      </c>
      <c r="F87" s="9" t="n">
        <f aca="false">SUMIFS('Asset Value'!$F$4:$F$500,'Asset Value'!$B$4:$B$500,F$86)/SUMIFS('Asset Value'!$D$4:$D$500,'Asset Value'!$B$4:$B$500,F$86)</f>
        <v>7836.63413247418</v>
      </c>
      <c r="G87" s="9" t="n">
        <f aca="false">SUMIFS('Asset Value'!$F$4:$F$500,'Asset Value'!$B$4:$B$500,G$86)/SUMIFS('Asset Value'!$D$4:$D$500,'Asset Value'!$B$4:$B$500,G$86)</f>
        <v>9206.38112128461</v>
      </c>
      <c r="H87" s="9" t="n">
        <f aca="false">SUMIFS('Asset Value'!$F$4:$F$500,'Asset Value'!$B$4:$B$500,H$86)/SUMIFS('Asset Value'!$D$4:$D$500,'Asset Value'!$B$4:$B$500,H$86)</f>
        <v>10488.3760706251</v>
      </c>
      <c r="I87" s="9" t="n">
        <f aca="false">SUMIFS('Asset Value'!$F$4:$F$500,'Asset Value'!$B$4:$B$500,I$86)/SUMIFS('Asset Value'!$D$4:$D$500,'Asset Value'!$B$4:$B$500,I$86)</f>
        <v>11019.2473389955</v>
      </c>
    </row>
    <row r="88" customFormat="false" ht="15" hidden="false" customHeight="false" outlineLevel="0" collapsed="false">
      <c r="A88" s="8" t="s">
        <v>5</v>
      </c>
      <c r="B88" s="9" t="n">
        <f aca="false">SUMIFS('Asset Value'!$I$4:$I$500,'Asset Value'!$B$4:$B$500,B$86)/SUMIFS('Asset Value'!$D$4:$D$500,'Asset Value'!$B$4:$B$500,B$86)</f>
        <v>0</v>
      </c>
      <c r="C88" s="9" t="n">
        <f aca="false">SUMIFS('Asset Value'!$I$4:$I$500,'Asset Value'!$B$4:$B$500,C$86)/SUMIFS('Asset Value'!$D$4:$D$500,'Asset Value'!$B$4:$B$500,C$86)</f>
        <v>0</v>
      </c>
      <c r="D88" s="9" t="n">
        <f aca="false">SUMIFS('Asset Value'!$I$4:$I$500,'Asset Value'!$B$4:$B$500,D$86)/SUMIFS('Asset Value'!$D$4:$D$500,'Asset Value'!$B$4:$B$500,D$86)</f>
        <v>0</v>
      </c>
      <c r="E88" s="9" t="n">
        <f aca="false">SUMIFS('Asset Value'!$I$4:$I$500,'Asset Value'!$B$4:$B$500,E$86)/SUMIFS('Asset Value'!$D$4:$D$500,'Asset Value'!$B$4:$B$500,E$86)</f>
        <v>0</v>
      </c>
      <c r="F88" s="9" t="n">
        <f aca="false">SUMIFS('Asset Value'!$I$4:$I$500,'Asset Value'!$B$4:$B$500,F$86)/SUMIFS('Asset Value'!$D$4:$D$500,'Asset Value'!$B$4:$B$500,F$86)</f>
        <v>0</v>
      </c>
      <c r="G88" s="9" t="n">
        <f aca="false">SUMIFS('Asset Value'!$I$4:$I$500,'Asset Value'!$B$4:$B$500,G$86)/SUMIFS('Asset Value'!$D$4:$D$500,'Asset Value'!$B$4:$B$500,G$86)</f>
        <v>0</v>
      </c>
      <c r="H88" s="9" t="n">
        <f aca="false">SUMIFS('Asset Value'!$I$4:$I$500,'Asset Value'!$B$4:$B$500,H$86)/SUMIFS('Asset Value'!$D$4:$D$500,'Asset Value'!$B$4:$B$500,H$86)</f>
        <v>0</v>
      </c>
      <c r="I88" s="9" t="n">
        <f aca="false">SUMIFS('Asset Value'!$I$4:$I$500,'Asset Value'!$B$4:$B$500,I$86)/SUMIFS('Asset Value'!$D$4:$D$500,'Asset Value'!$B$4:$B$500,I$86)</f>
        <v>0</v>
      </c>
    </row>
    <row r="89" customFormat="false" ht="15" hidden="false" customHeight="false" outlineLevel="0" collapsed="false">
      <c r="A89" s="8" t="s">
        <v>6</v>
      </c>
      <c r="B89" s="9" t="n">
        <f aca="false">SUMIFS(Returns!$E$120:$E$239,Returns!$B$120:$B$239,B$86)/1000</f>
        <v>1096.77</v>
      </c>
      <c r="C89" s="9" t="n">
        <f aca="false">SUMIFS(Returns!$E$120:$E$239,Returns!$B$120:$B$239,C$86)/1000</f>
        <v>1495.69</v>
      </c>
      <c r="D89" s="9" t="n">
        <f aca="false">SUMIFS(Returns!$E$120:$E$239,Returns!$B$120:$B$239,D$86)/1000</f>
        <v>1500.93</v>
      </c>
      <c r="E89" s="9" t="n">
        <f aca="false">SUMIFS(Returns!$E$120:$E$239,Returns!$B$120:$B$239,E$86)/1000</f>
        <v>1756.15</v>
      </c>
      <c r="F89" s="9" t="n">
        <f aca="false">SUMIFS(Returns!$E$120:$E$239,Returns!$B$120:$B$239,F$86)/1000</f>
        <v>2315.6</v>
      </c>
      <c r="G89" s="9" t="n">
        <f aca="false">SUMIFS(Returns!$E$120:$E$239,Returns!$B$120:$B$239,G$86)/1000</f>
        <v>2678.615</v>
      </c>
      <c r="H89" s="9" t="n">
        <f aca="false">SUMIFS(Returns!$E$120:$E$239,Returns!$B$120:$B$239,H$86)/1000</f>
        <v>3188.76</v>
      </c>
      <c r="I89" s="9" t="n">
        <f aca="false">SUMIFS(Returns!$E$120:$E$239,Returns!$B$120:$B$239,I$86)/1000</f>
        <v>3401.84</v>
      </c>
    </row>
    <row r="90" customFormat="false" ht="15" hidden="false" customHeight="false" outlineLevel="0" collapsed="false">
      <c r="A90" s="8" t="s">
        <v>7</v>
      </c>
      <c r="B90" s="9" t="n">
        <f aca="false">SUMIFS(Returns!$E$244:$E$363,Returns!$B$244:$B$363,B$86)/1000</f>
        <v>0</v>
      </c>
      <c r="C90" s="9" t="n">
        <f aca="false">SUMIFS(Returns!$E$244:$E$363,Returns!$B$244:$B$363,C$86)/1000</f>
        <v>0</v>
      </c>
      <c r="D90" s="9" t="n">
        <f aca="false">SUMIFS(Returns!$E$244:$E$363,Returns!$B$244:$B$363,D$86)/1000</f>
        <v>0</v>
      </c>
      <c r="E90" s="9" t="n">
        <f aca="false">SUMIFS(Returns!$E$244:$E$363,Returns!$B$244:$B$363,E$86)/1000</f>
        <v>0</v>
      </c>
      <c r="F90" s="9" t="n">
        <f aca="false">SUMIFS(Returns!$E$244:$E$363,Returns!$B$244:$B$363,F$86)/1000</f>
        <v>0</v>
      </c>
      <c r="G90" s="9" t="n">
        <f aca="false">SUMIFS(Returns!$E$244:$E$363,Returns!$B$244:$B$363,G$86)/1000</f>
        <v>0</v>
      </c>
      <c r="H90" s="9" t="n">
        <f aca="false">SUMIFS(Returns!$E$244:$E$363,Returns!$B$244:$B$363,H$86)/1000</f>
        <v>0</v>
      </c>
      <c r="I90" s="9" t="n">
        <f aca="false">SUMIFS(Returns!$E$244:$E$363,Returns!$B$244:$B$363,I$86)/1000</f>
        <v>0</v>
      </c>
    </row>
    <row r="91" customFormat="false" ht="15" hidden="false" customHeight="false" outlineLevel="0" collapsed="false">
      <c r="A91" s="8" t="s">
        <v>8</v>
      </c>
      <c r="B91" s="10" t="n">
        <f aca="false">COUNTIFS(Returns!$B$120:$B$239,B$86,Returns!$E$120:$E$239,"&gt;0")</f>
        <v>9</v>
      </c>
      <c r="C91" s="10" t="n">
        <f aca="false">COUNTIFS(Returns!$B$120:$B$239,C$86,Returns!$E$120:$E$239,"&gt;0")</f>
        <v>11</v>
      </c>
      <c r="D91" s="10" t="n">
        <f aca="false">COUNTIFS(Returns!$B$120:$B$239,D$86,Returns!$E$120:$E$239,"&gt;0")</f>
        <v>11</v>
      </c>
      <c r="E91" s="10" t="n">
        <f aca="false">COUNTIFS(Returns!$B$120:$B$239,E$86,Returns!$E$120:$E$239,"&gt;0")</f>
        <v>10</v>
      </c>
      <c r="F91" s="10" t="n">
        <f aca="false">COUNTIFS(Returns!$B$120:$B$239,F$86,Returns!$E$120:$E$239,"&gt;0")</f>
        <v>14</v>
      </c>
      <c r="G91" s="10" t="n">
        <f aca="false">COUNTIFS(Returns!$B$120:$B$239,G$86,Returns!$E$120:$E$239,"&gt;0")</f>
        <v>14</v>
      </c>
      <c r="H91" s="10" t="n">
        <f aca="false">COUNTIFS(Returns!$B$120:$B$239,H$86,Returns!$E$120:$E$239,"&gt;0")</f>
        <v>13</v>
      </c>
      <c r="I91" s="10" t="n">
        <f aca="false">COUNTIFS(Returns!$B$120:$B$239,I$86,Returns!$E$120:$E$239,"&gt;0")</f>
        <v>13</v>
      </c>
    </row>
    <row r="92" customFormat="false" ht="15" hidden="false" customHeight="false" outlineLevel="0" collapsed="false">
      <c r="A92" s="8" t="s">
        <v>9</v>
      </c>
      <c r="B92" s="11" t="n">
        <f aca="false">IFERROR(AVERAGEIFS('Asset Value'!$H$4:$H$500,'Asset Value'!$B$4:$B$500,B$86),0)</f>
        <v>0</v>
      </c>
      <c r="C92" s="11" t="n">
        <f aca="false">IFERROR(AVERAGEIFS('Asset Value'!$H$4:$H$500,'Asset Value'!$B$4:$B$500,C$86),0)</f>
        <v>0</v>
      </c>
      <c r="D92" s="11" t="n">
        <f aca="false">IFERROR(AVERAGEIFS('Asset Value'!$H$4:$H$500,'Asset Value'!$B$4:$B$500,D$86),0)</f>
        <v>0</v>
      </c>
      <c r="E92" s="11" t="n">
        <f aca="false">IFERROR(AVERAGEIFS('Asset Value'!$H$4:$H$500,'Asset Value'!$B$4:$B$500,E$86),0)</f>
        <v>0</v>
      </c>
      <c r="F92" s="11" t="n">
        <f aca="false">IFERROR(AVERAGEIFS('Asset Value'!$H$4:$H$500,'Asset Value'!$B$4:$B$500,F$86),0)</f>
        <v>0</v>
      </c>
      <c r="G92" s="11" t="n">
        <f aca="false">IFERROR(AVERAGEIFS('Asset Value'!$H$4:$H$500,'Asset Value'!$B$4:$B$500,G$86),0)</f>
        <v>0</v>
      </c>
      <c r="H92" s="11" t="n">
        <f aca="false">IFERROR(AVERAGEIFS('Asset Value'!$H$4:$H$500,'Asset Value'!$B$4:$B$500,H$86),0)</f>
        <v>0</v>
      </c>
      <c r="I92" s="11" t="n">
        <f aca="false">IFERROR(AVERAGEIFS('Asset Value'!$H$4:$H$500,'Asset Value'!$B$4:$B$500,I$86),0)</f>
        <v>0</v>
      </c>
    </row>
    <row r="93" customFormat="false" ht="15" hidden="false" customHeight="false" outlineLevel="0" collapsed="false">
      <c r="A93" s="8" t="s">
        <v>10</v>
      </c>
      <c r="B93" s="11" t="n">
        <f aca="false">IFERROR(AVERAGEIFS(Rent!$F$3:$F$500,Rent!$C$3:$C$500,B$86),0)</f>
        <v>0</v>
      </c>
      <c r="C93" s="11" t="n">
        <f aca="false">IFERROR(AVERAGEIFS(Rent!$F$3:$F$500,Rent!$C$3:$C$500,C$86),0)</f>
        <v>0</v>
      </c>
      <c r="D93" s="11" t="n">
        <f aca="false">IFERROR(AVERAGEIFS(Rent!$F$3:$F$500,Rent!$C$3:$C$500,D$86),0)</f>
        <v>0</v>
      </c>
      <c r="E93" s="11" t="n">
        <f aca="false">IFERROR(AVERAGEIFS(Rent!$F$3:$F$500,Rent!$C$3:$C$500,E$86),0)</f>
        <v>0</v>
      </c>
      <c r="F93" s="11" t="n">
        <f aca="false">IFERROR(AVERAGEIFS(Rent!$F$3:$F$500,Rent!$C$3:$C$500,F$86),0)</f>
        <v>0</v>
      </c>
      <c r="G93" s="11" t="n">
        <f aca="false">IFERROR(AVERAGEIFS(Rent!$F$3:$F$500,Rent!$C$3:$C$500,G$86),0)</f>
        <v>0</v>
      </c>
      <c r="H93" s="11" t="n">
        <f aca="false">IFERROR(AVERAGEIFS(Rent!$F$3:$F$500,Rent!$C$3:$C$500,H$86),0)</f>
        <v>0</v>
      </c>
      <c r="I93" s="11" t="n">
        <f aca="false">IFERROR(AVERAGEIFS(Rent!$F$3:$F$500,Rent!$C$3:$C$500,I$86),0)</f>
        <v>0</v>
      </c>
    </row>
    <row r="95" customFormat="false" ht="15" hidden="false" customHeight="false" outlineLevel="0" collapsed="false">
      <c r="A95" s="4" t="s">
        <v>11</v>
      </c>
    </row>
    <row r="96" customFormat="false" ht="30" hidden="false" customHeight="true" outlineLevel="0" collapsed="false">
      <c r="A96" s="12" t="s">
        <v>12</v>
      </c>
      <c r="B96" s="12" t="n">
        <f aca="false">B86</f>
        <v>2008</v>
      </c>
      <c r="C96" s="12" t="n">
        <f aca="false">C86</f>
        <v>2009</v>
      </c>
      <c r="D96" s="12" t="n">
        <f aca="false">D86</f>
        <v>2010</v>
      </c>
      <c r="E96" s="12" t="n">
        <f aca="false">E86</f>
        <v>2011</v>
      </c>
      <c r="F96" s="12" t="n">
        <f aca="false">F86</f>
        <v>2012</v>
      </c>
      <c r="G96" s="12" t="n">
        <f aca="false">G86</f>
        <v>2013</v>
      </c>
      <c r="H96" s="12" t="n">
        <f aca="false">H86</f>
        <v>2014</v>
      </c>
      <c r="I96" s="12" t="n">
        <f aca="false">I86</f>
        <v>2015</v>
      </c>
      <c r="J96" s="12" t="s">
        <v>13</v>
      </c>
      <c r="K96" s="12" t="s">
        <v>14</v>
      </c>
      <c r="L96" s="12" t="s">
        <v>15</v>
      </c>
      <c r="M96" s="12" t="s">
        <v>16</v>
      </c>
      <c r="N96" s="12" t="s">
        <v>17</v>
      </c>
      <c r="O96" s="12" t="s">
        <v>18</v>
      </c>
    </row>
    <row r="97" customFormat="false" ht="15" hidden="false" customHeight="false" outlineLevel="0" collapsed="false">
      <c r="A97" s="8" t="s">
        <v>19</v>
      </c>
      <c r="B97" s="9" t="n">
        <f aca="false">IFERROR(SUMIFS('Asset Value'!$F$4:$F$500,'Asset Value'!$C$4:$C$500,$A97,'Asset Value'!$B$4:$B$500,B$96)/SUMIFS('Asset Value'!$D$4:$D$500,'Asset Value'!$C$4:$C$500,$A97,'Asset Value'!$B$4:$B$500,B$96),0)</f>
        <v>8401.1934011934</v>
      </c>
      <c r="C97" s="9" t="n">
        <f aca="false">IFERROR(SUMIFS('Asset Value'!$F$4:$F$500,'Asset Value'!$C$4:$C$500,$A97,'Asset Value'!$B$4:$B$500,C$96)/SUMIFS('Asset Value'!$D$4:$D$500,'Asset Value'!$C$4:$C$500,$A97,'Asset Value'!$B$4:$B$500,C$96),0)</f>
        <v>9255.87925587926</v>
      </c>
      <c r="D97" s="9" t="n">
        <f aca="false">IFERROR(SUMIFS('Asset Value'!$F$4:$F$500,'Asset Value'!$C$4:$C$500,$A97,'Asset Value'!$B$4:$B$500,D$96)/SUMIFS('Asset Value'!$D$4:$D$500,'Asset Value'!$C$4:$C$500,$A97,'Asset Value'!$B$4:$B$500,D$96),0)</f>
        <v>9608.04960804961</v>
      </c>
      <c r="E97" s="9" t="n">
        <f aca="false">IFERROR(SUMIFS('Asset Value'!$F$4:$F$500,'Asset Value'!$C$4:$C$500,$A97,'Asset Value'!$B$4:$B$500,E$96)/SUMIFS('Asset Value'!$D$4:$D$500,'Asset Value'!$C$4:$C$500,$A97,'Asset Value'!$B$4:$B$500,E$96),0)</f>
        <v>10504.8555048555</v>
      </c>
      <c r="F97" s="9" t="n">
        <f aca="false">IFERROR(SUMIFS('Asset Value'!$F$4:$F$500,'Asset Value'!$C$4:$C$500,$A97,'Asset Value'!$B$4:$B$500,F$96)/SUMIFS('Asset Value'!$D$4:$D$500,'Asset Value'!$C$4:$C$500,$A97,'Asset Value'!$B$4:$B$500,F$96),0)</f>
        <v>12403.2211676733</v>
      </c>
      <c r="G97" s="9" t="n">
        <f aca="false">IFERROR(SUMIFS('Asset Value'!$F$4:$F$500,'Asset Value'!$C$4:$C$500,$A97,'Asset Value'!$B$4:$B$500,G$96)/SUMIFS('Asset Value'!$D$4:$D$500,'Asset Value'!$C$4:$C$500,$A97,'Asset Value'!$B$4:$B$500,G$96),0)</f>
        <v>12904.3428242738</v>
      </c>
      <c r="H97" s="9" t="n">
        <f aca="false">IFERROR(SUMIFS('Asset Value'!$F$4:$F$500,'Asset Value'!$C$4:$C$500,$A97,'Asset Value'!$B$4:$B$500,H$96)/SUMIFS('Asset Value'!$D$4:$D$500,'Asset Value'!$C$4:$C$500,$A97,'Asset Value'!$B$4:$B$500,H$96),0)</f>
        <v>15526.0857060685</v>
      </c>
      <c r="I97" s="9" t="n">
        <f aca="false">IFERROR(SUMIFS('Asset Value'!$F$4:$F$500,'Asset Value'!$C$4:$C$500,$A97,'Asset Value'!$B$4:$B$500,I$96)/SUMIFS('Asset Value'!$D$4:$D$500,'Asset Value'!$C$4:$C$500,$A97,'Asset Value'!$B$4:$B$500,I$96),0)</f>
        <v>15994.0620189136</v>
      </c>
      <c r="J97" s="10" t="n">
        <f aca="false">_xlfn.MINIFS($B$86:$I$86,$B97:$I97,"&gt;0")</f>
        <v>2008</v>
      </c>
      <c r="K97" s="10" t="n">
        <f aca="false">_xlfn.MAXIFS($B$86:$I$86,$B97:$I97,"&gt;0")</f>
        <v>2015</v>
      </c>
      <c r="L97" s="9" t="n">
        <f aca="false">INDEX($B97:$I97,MATCH(J97,$B$86:$I$86,0))</f>
        <v>8401.1934011934</v>
      </c>
      <c r="M97" s="9" t="n">
        <f aca="false">INDEX($B97:$I97,MATCH(K97,$B$86:$I$86,0))</f>
        <v>15994.0620189136</v>
      </c>
      <c r="N97" s="13" t="n">
        <f aca="false">M97/L97-1</f>
        <v>0.903784528593473</v>
      </c>
      <c r="O97" s="13" t="n">
        <f aca="false">IF(K97&gt;J97,(M97/L97)^(1/(K97-J97))-1,"")</f>
        <v>0.0963403518371628</v>
      </c>
    </row>
    <row r="98" customFormat="false" ht="15" hidden="false" customHeight="false" outlineLevel="0" collapsed="false">
      <c r="A98" s="8" t="s">
        <v>20</v>
      </c>
      <c r="B98" s="9" t="n">
        <f aca="false">IFERROR(SUMIFS('Asset Value'!$F$4:$F$500,'Asset Value'!$C$4:$C$500,$A98,'Asset Value'!$B$4:$B$500,B$96)/SUMIFS('Asset Value'!$D$4:$D$500,'Asset Value'!$C$4:$C$500,$A98,'Asset Value'!$B$4:$B$500,B$96),0)</f>
        <v>11876.6081536966</v>
      </c>
      <c r="C98" s="9" t="n">
        <f aca="false">IFERROR(SUMIFS('Asset Value'!$F$4:$F$500,'Asset Value'!$C$4:$C$500,$A98,'Asset Value'!$B$4:$B$500,C$96)/SUMIFS('Asset Value'!$D$4:$D$500,'Asset Value'!$C$4:$C$500,$A98,'Asset Value'!$B$4:$B$500,C$96),0)</f>
        <v>13426.1535822517</v>
      </c>
      <c r="D98" s="9" t="n">
        <f aca="false">IFERROR(SUMIFS('Asset Value'!$F$4:$F$500,'Asset Value'!$C$4:$C$500,$A98,'Asset Value'!$B$4:$B$500,D$96)/SUMIFS('Asset Value'!$D$4:$D$500,'Asset Value'!$C$4:$C$500,$A98,'Asset Value'!$B$4:$B$500,D$96),0)</f>
        <v>13825.6146369354</v>
      </c>
      <c r="E98" s="9" t="n">
        <f aca="false">IFERROR(SUMIFS('Asset Value'!$F$4:$F$500,'Asset Value'!$C$4:$C$500,$A98,'Asset Value'!$B$4:$B$500,E$96)/SUMIFS('Asset Value'!$D$4:$D$500,'Asset Value'!$C$4:$C$500,$A98,'Asset Value'!$B$4:$B$500,E$96),0)</f>
        <v>15709.1242759649</v>
      </c>
      <c r="F98" s="9" t="n">
        <f aca="false">IFERROR(SUMIFS('Asset Value'!$F$4:$F$500,'Asset Value'!$C$4:$C$500,$A98,'Asset Value'!$B$4:$B$500,F$96)/SUMIFS('Asset Value'!$D$4:$D$500,'Asset Value'!$C$4:$C$500,$A98,'Asset Value'!$B$4:$B$500,F$96),0)</f>
        <v>18485.9780925618</v>
      </c>
      <c r="G98" s="9" t="n">
        <f aca="false">IFERROR(SUMIFS('Asset Value'!$F$4:$F$500,'Asset Value'!$C$4:$C$500,$A98,'Asset Value'!$B$4:$B$500,G$96)/SUMIFS('Asset Value'!$D$4:$D$500,'Asset Value'!$C$4:$C$500,$A98,'Asset Value'!$B$4:$B$500,G$96),0)</f>
        <v>19023.4558697024</v>
      </c>
      <c r="H98" s="9" t="n">
        <f aca="false">IFERROR(SUMIFS('Asset Value'!$F$4:$F$500,'Asset Value'!$C$4:$C$500,$A98,'Asset Value'!$B$4:$B$500,H$96)/SUMIFS('Asset Value'!$D$4:$D$500,'Asset Value'!$C$4:$C$500,$A98,'Asset Value'!$B$4:$B$500,H$96),0)</f>
        <v>25994.0356712737</v>
      </c>
      <c r="I98" s="9" t="n">
        <f aca="false">IFERROR(SUMIFS('Asset Value'!$F$4:$F$500,'Asset Value'!$C$4:$C$500,$A98,'Asset Value'!$B$4:$B$500,I$96)/SUMIFS('Asset Value'!$D$4:$D$500,'Asset Value'!$C$4:$C$500,$A98,'Asset Value'!$B$4:$B$500,I$96),0)</f>
        <v>27157.7679646728</v>
      </c>
      <c r="J98" s="10" t="n">
        <f aca="false">_xlfn.MINIFS($B$86:$I$86,$B98:$I98,"&gt;0")</f>
        <v>2008</v>
      </c>
      <c r="K98" s="10" t="n">
        <f aca="false">_xlfn.MAXIFS($B$86:$I$86,$B98:$I98,"&gt;0")</f>
        <v>2015</v>
      </c>
      <c r="L98" s="9" t="n">
        <f aca="false">INDEX($B98:$I98,MATCH(J98,$B$86:$I$86,0))</f>
        <v>11876.6081536966</v>
      </c>
      <c r="M98" s="9" t="n">
        <f aca="false">INDEX($B98:$I98,MATCH(K98,$B$86:$I$86,0))</f>
        <v>27157.7679646728</v>
      </c>
      <c r="N98" s="13" t="n">
        <f aca="false">M98/L98-1</f>
        <v>1.28666026640105</v>
      </c>
      <c r="O98" s="13" t="n">
        <f aca="false">IF(K98&gt;J98,(M98/L98)^(1/(K98-J98))-1,"")</f>
        <v>0.125419720074096</v>
      </c>
    </row>
    <row r="99" customFormat="false" ht="15" hidden="false" customHeight="false" outlineLevel="0" collapsed="false">
      <c r="A99" s="8" t="s">
        <v>21</v>
      </c>
      <c r="B99" s="9" t="n">
        <f aca="false">IFERROR(SUMIFS('Asset Value'!$F$4:$F$500,'Asset Value'!$C$4:$C$500,$A99,'Asset Value'!$B$4:$B$500,B$96)/SUMIFS('Asset Value'!$D$4:$D$500,'Asset Value'!$C$4:$C$500,$A99,'Asset Value'!$B$4:$B$500,B$96),0)</f>
        <v>5857.80017528484</v>
      </c>
      <c r="C99" s="9" t="n">
        <f aca="false">IFERROR(SUMIFS('Asset Value'!$F$4:$F$500,'Asset Value'!$C$4:$C$500,$A99,'Asset Value'!$B$4:$B$500,C$96)/SUMIFS('Asset Value'!$D$4:$D$500,'Asset Value'!$C$4:$C$500,$A99,'Asset Value'!$B$4:$B$500,C$96),0)</f>
        <v>6465.819456617</v>
      </c>
      <c r="D99" s="9" t="n">
        <f aca="false">IFERROR(SUMIFS('Asset Value'!$F$4:$F$500,'Asset Value'!$C$4:$C$500,$A99,'Asset Value'!$B$4:$B$500,D$96)/SUMIFS('Asset Value'!$D$4:$D$500,'Asset Value'!$C$4:$C$500,$A99,'Asset Value'!$B$4:$B$500,D$96),0)</f>
        <v>6239.08368806776</v>
      </c>
      <c r="E99" s="9" t="n">
        <f aca="false">IFERROR(SUMIFS('Asset Value'!$F$4:$F$500,'Asset Value'!$C$4:$C$500,$A99,'Asset Value'!$B$4:$B$500,E$96)/SUMIFS('Asset Value'!$D$4:$D$500,'Asset Value'!$C$4:$C$500,$A99,'Asset Value'!$B$4:$B$500,E$96),0)</f>
        <v>7590.73155746698</v>
      </c>
      <c r="F99" s="9" t="n">
        <f aca="false">IFERROR(SUMIFS('Asset Value'!$F$4:$F$500,'Asset Value'!$C$4:$C$500,$A99,'Asset Value'!$B$4:$B$500,F$96)/SUMIFS('Asset Value'!$D$4:$D$500,'Asset Value'!$C$4:$C$500,$A99,'Asset Value'!$B$4:$B$500,F$96),0)</f>
        <v>8466.06645230439</v>
      </c>
      <c r="G99" s="9" t="n">
        <f aca="false">IFERROR(SUMIFS('Asset Value'!$F$4:$F$500,'Asset Value'!$C$4:$C$500,$A99,'Asset Value'!$B$4:$B$500,G$96)/SUMIFS('Asset Value'!$D$4:$D$500,'Asset Value'!$C$4:$C$500,$A99,'Asset Value'!$B$4:$B$500,G$96),0)</f>
        <v>9440.64308681672</v>
      </c>
      <c r="H99" s="9" t="n">
        <f aca="false">IFERROR(SUMIFS('Asset Value'!$F$4:$F$500,'Asset Value'!$C$4:$C$500,$A99,'Asset Value'!$B$4:$B$500,H$96)/SUMIFS('Asset Value'!$D$4:$D$500,'Asset Value'!$C$4:$C$500,$A99,'Asset Value'!$B$4:$B$500,H$96),0)</f>
        <v>9846.68810289389</v>
      </c>
      <c r="I99" s="9" t="n">
        <f aca="false">IFERROR(SUMIFS('Asset Value'!$F$4:$F$500,'Asset Value'!$C$4:$C$500,$A99,'Asset Value'!$B$4:$B$500,I$96)/SUMIFS('Asset Value'!$D$4:$D$500,'Asset Value'!$C$4:$C$500,$A99,'Asset Value'!$B$4:$B$500,I$96),0)</f>
        <v>10055.3030952585</v>
      </c>
      <c r="J99" s="10" t="n">
        <f aca="false">_xlfn.MINIFS($B$86:$I$86,$B99:$I99,"&gt;0")</f>
        <v>2008</v>
      </c>
      <c r="K99" s="10" t="n">
        <f aca="false">_xlfn.MAXIFS($B$86:$I$86,$B99:$I99,"&gt;0")</f>
        <v>2015</v>
      </c>
      <c r="L99" s="9" t="n">
        <f aca="false">INDEX($B99:$I99,MATCH(J99,$B$86:$I$86,0))</f>
        <v>5857.80017528484</v>
      </c>
      <c r="M99" s="9" t="n">
        <f aca="false">INDEX($B99:$I99,MATCH(K99,$B$86:$I$86,0))</f>
        <v>10055.3030952585</v>
      </c>
      <c r="N99" s="13" t="n">
        <f aca="false">M99/L99-1</f>
        <v>0.716566423293804</v>
      </c>
      <c r="O99" s="13" t="n">
        <f aca="false">IF(K99&gt;J99,(M99/L99)^(1/(K99-J99))-1,"")</f>
        <v>0.0802466912449047</v>
      </c>
    </row>
    <row r="100" customFormat="false" ht="15" hidden="false" customHeight="false" outlineLevel="0" collapsed="false">
      <c r="A100" s="8" t="s">
        <v>22</v>
      </c>
      <c r="B100" s="9" t="n">
        <f aca="false">IFERROR(SUMIFS('Asset Value'!$F$4:$F$500,'Asset Value'!$C$4:$C$500,$A100,'Asset Value'!$B$4:$B$500,B$96)/SUMIFS('Asset Value'!$D$4:$D$500,'Asset Value'!$C$4:$C$500,$A100,'Asset Value'!$B$4:$B$500,B$96),0)</f>
        <v>8144.25162689805</v>
      </c>
      <c r="C100" s="9" t="n">
        <f aca="false">IFERROR(SUMIFS('Asset Value'!$F$4:$F$500,'Asset Value'!$C$4:$C$500,$A100,'Asset Value'!$B$4:$B$500,C$96)/SUMIFS('Asset Value'!$D$4:$D$500,'Asset Value'!$C$4:$C$500,$A100,'Asset Value'!$B$4:$B$500,C$96),0)</f>
        <v>9366.59436008677</v>
      </c>
      <c r="D100" s="9" t="n">
        <f aca="false">IFERROR(SUMIFS('Asset Value'!$F$4:$F$500,'Asset Value'!$C$4:$C$500,$A100,'Asset Value'!$B$4:$B$500,D$96)/SUMIFS('Asset Value'!$D$4:$D$500,'Asset Value'!$C$4:$C$500,$A100,'Asset Value'!$B$4:$B$500,D$96),0)</f>
        <v>9910.35280508965</v>
      </c>
      <c r="E100" s="9" t="n">
        <f aca="false">IFERROR(SUMIFS('Asset Value'!$F$4:$F$500,'Asset Value'!$C$4:$C$500,$A100,'Asset Value'!$B$4:$B$500,E$96)/SUMIFS('Asset Value'!$D$4:$D$500,'Asset Value'!$C$4:$C$500,$A100,'Asset Value'!$B$4:$B$500,E$96),0)</f>
        <v>11301.0321984286</v>
      </c>
      <c r="F100" s="9" t="n">
        <f aca="false">IFERROR(SUMIFS('Asset Value'!$F$4:$F$500,'Asset Value'!$C$4:$C$500,$A100,'Asset Value'!$B$4:$B$500,F$96)/SUMIFS('Asset Value'!$D$4:$D$500,'Asset Value'!$C$4:$C$500,$A100,'Asset Value'!$B$4:$B$500,F$96),0)</f>
        <v>12899.1758453362</v>
      </c>
      <c r="G100" s="9" t="n">
        <f aca="false">IFERROR(SUMIFS('Asset Value'!$F$4:$F$500,'Asset Value'!$C$4:$C$500,$A100,'Asset Value'!$B$4:$B$500,G$96)/SUMIFS('Asset Value'!$D$4:$D$500,'Asset Value'!$C$4:$C$500,$A100,'Asset Value'!$B$4:$B$500,G$96),0)</f>
        <v>14021.2068633121</v>
      </c>
      <c r="H100" s="9" t="n">
        <f aca="false">IFERROR(SUMIFS('Asset Value'!$F$4:$F$500,'Asset Value'!$C$4:$C$500,$A100,'Asset Value'!$B$4:$B$500,H$96)/SUMIFS('Asset Value'!$D$4:$D$500,'Asset Value'!$C$4:$C$500,$A100,'Asset Value'!$B$4:$B$500,H$96),0)</f>
        <v>15071.3321765953</v>
      </c>
      <c r="I100" s="9" t="n">
        <f aca="false">IFERROR(SUMIFS('Asset Value'!$F$4:$F$500,'Asset Value'!$C$4:$C$500,$A100,'Asset Value'!$B$4:$B$500,I$96)/SUMIFS('Asset Value'!$D$4:$D$500,'Asset Value'!$C$4:$C$500,$A100,'Asset Value'!$B$4:$B$500,I$96),0)</f>
        <v>16042.9920956237</v>
      </c>
      <c r="J100" s="10" t="n">
        <f aca="false">_xlfn.MINIFS($B$86:$I$86,$B100:$I100,"&gt;0")</f>
        <v>2008</v>
      </c>
      <c r="K100" s="10" t="n">
        <f aca="false">_xlfn.MAXIFS($B$86:$I$86,$B100:$I100,"&gt;0")</f>
        <v>2015</v>
      </c>
      <c r="L100" s="9" t="n">
        <f aca="false">INDEX($B100:$I100,MATCH(J100,$B$86:$I$86,0))</f>
        <v>8144.25162689805</v>
      </c>
      <c r="M100" s="9" t="n">
        <f aca="false">INDEX($B100:$I100,MATCH(K100,$B$86:$I$86,0))</f>
        <v>16042.9920956237</v>
      </c>
      <c r="N100" s="13" t="n">
        <f aca="false">M100/L100-1</f>
        <v>0.969854669352114</v>
      </c>
      <c r="O100" s="13" t="n">
        <f aca="false">IF(K100&gt;J100,(M100/L100)^(1/(K100-J100))-1,"")</f>
        <v>0.101696644318031</v>
      </c>
    </row>
    <row r="101" customFormat="false" ht="15" hidden="false" customHeight="false" outlineLevel="0" collapsed="false">
      <c r="A101" s="8" t="s">
        <v>23</v>
      </c>
      <c r="B101" s="9" t="n">
        <f aca="false">IFERROR(SUMIFS('Asset Value'!$F$4:$F$500,'Asset Value'!$C$4:$C$500,$A101,'Asset Value'!$B$4:$B$500,B$96)/SUMIFS('Asset Value'!$D$4:$D$500,'Asset Value'!$C$4:$C$500,$A101,'Asset Value'!$B$4:$B$500,B$96),0)</f>
        <v>2356.61147108231</v>
      </c>
      <c r="C101" s="9" t="n">
        <f aca="false">IFERROR(SUMIFS('Asset Value'!$F$4:$F$500,'Asset Value'!$C$4:$C$500,$A101,'Asset Value'!$B$4:$B$500,C$96)/SUMIFS('Asset Value'!$D$4:$D$500,'Asset Value'!$C$4:$C$500,$A101,'Asset Value'!$B$4:$B$500,C$96),0)</f>
        <v>3793.2965362771</v>
      </c>
      <c r="D101" s="9" t="n">
        <f aca="false">IFERROR(SUMIFS('Asset Value'!$F$4:$F$500,'Asset Value'!$C$4:$C$500,$A101,'Asset Value'!$B$4:$B$500,D$96)/SUMIFS('Asset Value'!$D$4:$D$500,'Asset Value'!$C$4:$C$500,$A101,'Asset Value'!$B$4:$B$500,D$96),0)</f>
        <v>3226.58252810097</v>
      </c>
      <c r="E101" s="9" t="n">
        <f aca="false">IFERROR(SUMIFS('Asset Value'!$F$4:$F$500,'Asset Value'!$C$4:$C$500,$A101,'Asset Value'!$B$4:$B$500,E$96)/SUMIFS('Asset Value'!$D$4:$D$500,'Asset Value'!$C$4:$C$500,$A101,'Asset Value'!$B$4:$B$500,E$96),0)</f>
        <v>4615.26326168409</v>
      </c>
      <c r="F101" s="9" t="n">
        <f aca="false">IFERROR(SUMIFS('Asset Value'!$F$4:$F$500,'Asset Value'!$C$4:$C$500,$A101,'Asset Value'!$B$4:$B$500,F$96)/SUMIFS('Asset Value'!$D$4:$D$500,'Asset Value'!$C$4:$C$500,$A101,'Asset Value'!$B$4:$B$500,F$96),0)</f>
        <v>5268.50719779136</v>
      </c>
      <c r="G101" s="9" t="n">
        <f aca="false">IFERROR(SUMIFS('Asset Value'!$F$4:$F$500,'Asset Value'!$C$4:$C$500,$A101,'Asset Value'!$B$4:$B$500,G$96)/SUMIFS('Asset Value'!$D$4:$D$500,'Asset Value'!$C$4:$C$500,$A101,'Asset Value'!$B$4:$B$500,G$96),0)</f>
        <v>6957.36541116151</v>
      </c>
      <c r="H101" s="9" t="n">
        <f aca="false">IFERROR(SUMIFS('Asset Value'!$F$4:$F$500,'Asset Value'!$C$4:$C$500,$A101,'Asset Value'!$B$4:$B$500,H$96)/SUMIFS('Asset Value'!$D$4:$D$500,'Asset Value'!$C$4:$C$500,$A101,'Asset Value'!$B$4:$B$500,H$96),0)</f>
        <v>7817.39301912838</v>
      </c>
      <c r="I101" s="9" t="n">
        <f aca="false">IFERROR(SUMIFS('Asset Value'!$F$4:$F$500,'Asset Value'!$C$4:$C$500,$A101,'Asset Value'!$B$4:$B$500,I$96)/SUMIFS('Asset Value'!$D$4:$D$500,'Asset Value'!$C$4:$C$500,$A101,'Asset Value'!$B$4:$B$500,I$96),0)</f>
        <v>8789.24120523742</v>
      </c>
      <c r="J101" s="10" t="n">
        <f aca="false">_xlfn.MINIFS($B$86:$I$86,$B101:$I101,"&gt;0")</f>
        <v>2008</v>
      </c>
      <c r="K101" s="10" t="n">
        <f aca="false">_xlfn.MAXIFS($B$86:$I$86,$B101:$I101,"&gt;0")</f>
        <v>2015</v>
      </c>
      <c r="L101" s="9" t="n">
        <f aca="false">INDEX($B101:$I101,MATCH(J101,$B$86:$I$86,0))</f>
        <v>2356.61147108231</v>
      </c>
      <c r="M101" s="9" t="n">
        <f aca="false">INDEX($B101:$I101,MATCH(K101,$B$86:$I$86,0))</f>
        <v>8789.24120523742</v>
      </c>
      <c r="N101" s="13" t="n">
        <f aca="false">M101/L101-1</f>
        <v>2.72960978637722</v>
      </c>
      <c r="O101" s="13" t="n">
        <f aca="false">IF(K101&gt;J101,(M101/L101)^(1/(K101-J101))-1,"")</f>
        <v>0.206885860866377</v>
      </c>
    </row>
    <row r="102" customFormat="false" ht="15" hidden="false" customHeight="false" outlineLevel="0" collapsed="false">
      <c r="A102" s="8" t="s">
        <v>24</v>
      </c>
      <c r="B102" s="9" t="n">
        <f aca="false">IFERROR(SUMIFS('Asset Value'!$F$4:$F$500,'Asset Value'!$C$4:$C$500,$A102,'Asset Value'!$B$4:$B$500,B$96)/SUMIFS('Asset Value'!$D$4:$D$500,'Asset Value'!$C$4:$C$500,$A102,'Asset Value'!$B$4:$B$500,B$96),0)</f>
        <v>0</v>
      </c>
      <c r="C102" s="9" t="n">
        <f aca="false">IFERROR(SUMIFS('Asset Value'!$F$4:$F$500,'Asset Value'!$C$4:$C$500,$A102,'Asset Value'!$B$4:$B$500,C$96)/SUMIFS('Asset Value'!$D$4:$D$500,'Asset Value'!$C$4:$C$500,$A102,'Asset Value'!$B$4:$B$500,C$96),0)</f>
        <v>4314.39393939394</v>
      </c>
      <c r="D102" s="9" t="n">
        <f aca="false">IFERROR(SUMIFS('Asset Value'!$F$4:$F$500,'Asset Value'!$C$4:$C$500,$A102,'Asset Value'!$B$4:$B$500,D$96)/SUMIFS('Asset Value'!$D$4:$D$500,'Asset Value'!$C$4:$C$500,$A102,'Asset Value'!$B$4:$B$500,D$96),0)</f>
        <v>4078.90102148644</v>
      </c>
      <c r="E102" s="9" t="n">
        <f aca="false">IFERROR(SUMIFS('Asset Value'!$F$4:$F$500,'Asset Value'!$C$4:$C$500,$A102,'Asset Value'!$B$4:$B$500,E$96)/SUMIFS('Asset Value'!$D$4:$D$500,'Asset Value'!$C$4:$C$500,$A102,'Asset Value'!$B$4:$B$500,E$96),0)</f>
        <v>4955.74699079537</v>
      </c>
      <c r="F102" s="9" t="n">
        <f aca="false">IFERROR(SUMIFS('Asset Value'!$F$4:$F$500,'Asset Value'!$C$4:$C$500,$A102,'Asset Value'!$B$4:$B$500,F$96)/SUMIFS('Asset Value'!$D$4:$D$500,'Asset Value'!$C$4:$C$500,$A102,'Asset Value'!$B$4:$B$500,F$96),0)</f>
        <v>6033.75029502006</v>
      </c>
      <c r="G102" s="9" t="n">
        <f aca="false">IFERROR(SUMIFS('Asset Value'!$F$4:$F$500,'Asset Value'!$C$4:$C$500,$A102,'Asset Value'!$B$4:$B$500,G$96)/SUMIFS('Asset Value'!$D$4:$D$500,'Asset Value'!$C$4:$C$500,$A102,'Asset Value'!$B$4:$B$500,G$96),0)</f>
        <v>10218.6098654709</v>
      </c>
      <c r="H102" s="9" t="n">
        <f aca="false">IFERROR(SUMIFS('Asset Value'!$F$4:$F$500,'Asset Value'!$C$4:$C$500,$A102,'Asset Value'!$B$4:$B$500,H$96)/SUMIFS('Asset Value'!$D$4:$D$500,'Asset Value'!$C$4:$C$500,$A102,'Asset Value'!$B$4:$B$500,H$96),0)</f>
        <v>11324.5917862444</v>
      </c>
      <c r="I102" s="9" t="n">
        <f aca="false">IFERROR(SUMIFS('Asset Value'!$F$4:$F$500,'Asset Value'!$C$4:$C$500,$A102,'Asset Value'!$B$4:$B$500,I$96)/SUMIFS('Asset Value'!$D$4:$D$500,'Asset Value'!$C$4:$C$500,$A102,'Asset Value'!$B$4:$B$500,I$96),0)</f>
        <v>11603.8844559906</v>
      </c>
      <c r="J102" s="10" t="n">
        <f aca="false">_xlfn.MINIFS($B$86:$I$86,$B102:$I102,"&gt;0")</f>
        <v>2009</v>
      </c>
      <c r="K102" s="10" t="n">
        <f aca="false">_xlfn.MAXIFS($B$86:$I$86,$B102:$I102,"&gt;0")</f>
        <v>2015</v>
      </c>
      <c r="L102" s="9" t="n">
        <f aca="false">INDEX($B102:$I102,MATCH(J102,$B$86:$I$86,0))</f>
        <v>4314.39393939394</v>
      </c>
      <c r="M102" s="9" t="n">
        <f aca="false">INDEX($B102:$I102,MATCH(K102,$B$86:$I$86,0))</f>
        <v>11603.8844559906</v>
      </c>
      <c r="N102" s="13" t="n">
        <f aca="false">M102/L102-1</f>
        <v>1.68957462368878</v>
      </c>
      <c r="O102" s="13" t="n">
        <f aca="false">IF(K102&gt;J102,(M102/L102)^(1/(K102-J102))-1,"")</f>
        <v>0.179271853583611</v>
      </c>
    </row>
    <row r="103" customFormat="false" ht="15" hidden="false" customHeight="false" outlineLevel="0" collapsed="false">
      <c r="A103" s="8" t="s">
        <v>25</v>
      </c>
      <c r="B103" s="9" t="n">
        <f aca="false">IFERROR(SUMIFS('Asset Value'!$F$4:$F$500,'Asset Value'!$C$4:$C$500,$A103,'Asset Value'!$B$4:$B$500,B$96)/SUMIFS('Asset Value'!$D$4:$D$500,'Asset Value'!$C$4:$C$500,$A103,'Asset Value'!$B$4:$B$500,B$96),0)</f>
        <v>6005.98067781015</v>
      </c>
      <c r="C103" s="9" t="n">
        <f aca="false">IFERROR(SUMIFS('Asset Value'!$F$4:$F$500,'Asset Value'!$C$4:$C$500,$A103,'Asset Value'!$B$4:$B$500,C$96)/SUMIFS('Asset Value'!$D$4:$D$500,'Asset Value'!$C$4:$C$500,$A103,'Asset Value'!$B$4:$B$500,C$96),0)</f>
        <v>6134.97840108882</v>
      </c>
      <c r="D103" s="9" t="n">
        <f aca="false">IFERROR(SUMIFS('Asset Value'!$F$4:$F$500,'Asset Value'!$C$4:$C$500,$A103,'Asset Value'!$B$4:$B$500,D$96)/SUMIFS('Asset Value'!$D$4:$D$500,'Asset Value'!$C$4:$C$500,$A103,'Asset Value'!$B$4:$B$500,D$96),0)</f>
        <v>5924.2900337938</v>
      </c>
      <c r="E103" s="9" t="n">
        <f aca="false">IFERROR(SUMIFS('Asset Value'!$F$4:$F$500,'Asset Value'!$C$4:$C$500,$A103,'Asset Value'!$B$4:$B$500,E$96)/SUMIFS('Asset Value'!$D$4:$D$500,'Asset Value'!$C$4:$C$500,$A103,'Asset Value'!$B$4:$B$500,E$96),0)</f>
        <v>6597.79450998992</v>
      </c>
      <c r="F103" s="9" t="n">
        <f aca="false">IFERROR(SUMIFS('Asset Value'!$F$4:$F$500,'Asset Value'!$C$4:$C$500,$A103,'Asset Value'!$B$4:$B$500,F$96)/SUMIFS('Asset Value'!$D$4:$D$500,'Asset Value'!$C$4:$C$500,$A103,'Asset Value'!$B$4:$B$500,F$96),0)</f>
        <v>7770.79504357621</v>
      </c>
      <c r="G103" s="9" t="n">
        <f aca="false">IFERROR(SUMIFS('Asset Value'!$F$4:$F$500,'Asset Value'!$C$4:$C$500,$A103,'Asset Value'!$B$4:$B$500,G$96)/SUMIFS('Asset Value'!$D$4:$D$500,'Asset Value'!$C$4:$C$500,$A103,'Asset Value'!$B$4:$B$500,G$96),0)</f>
        <v>9304.77177158876</v>
      </c>
      <c r="H103" s="9" t="n">
        <f aca="false">IFERROR(SUMIFS('Asset Value'!$F$4:$F$500,'Asset Value'!$C$4:$C$500,$A103,'Asset Value'!$B$4:$B$500,H$96)/SUMIFS('Asset Value'!$D$4:$D$500,'Asset Value'!$C$4:$C$500,$A103,'Asset Value'!$B$4:$B$500,H$96),0)</f>
        <v>8305.16993776927</v>
      </c>
      <c r="I103" s="9" t="n">
        <f aca="false">IFERROR(SUMIFS('Asset Value'!$F$4:$F$500,'Asset Value'!$C$4:$C$500,$A103,'Asset Value'!$B$4:$B$500,I$96)/SUMIFS('Asset Value'!$D$4:$D$500,'Asset Value'!$C$4:$C$500,$A103,'Asset Value'!$B$4:$B$500,I$96),0)</f>
        <v>8728.31635354669</v>
      </c>
      <c r="J103" s="10" t="n">
        <f aca="false">_xlfn.MINIFS($B$86:$I$86,$B103:$I103,"&gt;0")</f>
        <v>2008</v>
      </c>
      <c r="K103" s="10" t="n">
        <f aca="false">_xlfn.MAXIFS($B$86:$I$86,$B103:$I103,"&gt;0")</f>
        <v>2015</v>
      </c>
      <c r="L103" s="9" t="n">
        <f aca="false">INDEX($B103:$I103,MATCH(J103,$B$86:$I$86,0))</f>
        <v>6005.98067781015</v>
      </c>
      <c r="M103" s="9" t="n">
        <f aca="false">INDEX($B103:$I103,MATCH(K103,$B$86:$I$86,0))</f>
        <v>8728.31635354669</v>
      </c>
      <c r="N103" s="13" t="n">
        <f aca="false">M103/L103-1</f>
        <v>0.453270801518651</v>
      </c>
      <c r="O103" s="13" t="n">
        <f aca="false">IF(K103&gt;J103,(M103/L103)^(1/(K103-J103))-1,"")</f>
        <v>0.0548540241423292</v>
      </c>
    </row>
    <row r="104" customFormat="false" ht="15" hidden="false" customHeight="false" outlineLevel="0" collapsed="false">
      <c r="A104" s="8" t="s">
        <v>26</v>
      </c>
      <c r="B104" s="9" t="n">
        <f aca="false">IFERROR(SUMIFS('Asset Value'!$F$4:$F$500,'Asset Value'!$C$4:$C$500,$A104,'Asset Value'!$B$4:$B$500,B$96)/SUMIFS('Asset Value'!$D$4:$D$500,'Asset Value'!$C$4:$C$500,$A104,'Asset Value'!$B$4:$B$500,B$96),0)</f>
        <v>8334.53936093232</v>
      </c>
      <c r="C104" s="9" t="n">
        <f aca="false">IFERROR(SUMIFS('Asset Value'!$F$4:$F$500,'Asset Value'!$C$4:$C$500,$A104,'Asset Value'!$B$4:$B$500,C$96)/SUMIFS('Asset Value'!$D$4:$D$500,'Asset Value'!$C$4:$C$500,$A104,'Asset Value'!$B$4:$B$500,C$96),0)</f>
        <v>10094.4510035419</v>
      </c>
      <c r="D104" s="9" t="n">
        <f aca="false">IFERROR(SUMIFS('Asset Value'!$F$4:$F$500,'Asset Value'!$C$4:$C$500,$A104,'Asset Value'!$B$4:$B$500,D$96)/SUMIFS('Asset Value'!$D$4:$D$500,'Asset Value'!$C$4:$C$500,$A104,'Asset Value'!$B$4:$B$500,D$96),0)</f>
        <v>9290.85577179419</v>
      </c>
      <c r="E104" s="9" t="n">
        <f aca="false">IFERROR(SUMIFS('Asset Value'!$F$4:$F$500,'Asset Value'!$C$4:$C$500,$A104,'Asset Value'!$B$4:$B$500,E$96)/SUMIFS('Asset Value'!$D$4:$D$500,'Asset Value'!$C$4:$C$500,$A104,'Asset Value'!$B$4:$B$500,E$96),0)</f>
        <v>10647.446395247</v>
      </c>
      <c r="F104" s="9" t="n">
        <f aca="false">IFERROR(SUMIFS('Asset Value'!$F$4:$F$500,'Asset Value'!$C$4:$C$500,$A104,'Asset Value'!$B$4:$B$500,F$96)/SUMIFS('Asset Value'!$D$4:$D$500,'Asset Value'!$C$4:$C$500,$A104,'Asset Value'!$B$4:$B$500,F$96),0)</f>
        <v>12701.2850773669</v>
      </c>
      <c r="G104" s="9" t="n">
        <f aca="false">IFERROR(SUMIFS('Asset Value'!$F$4:$F$500,'Asset Value'!$C$4:$C$500,$A104,'Asset Value'!$B$4:$B$500,G$96)/SUMIFS('Asset Value'!$D$4:$D$500,'Asset Value'!$C$4:$C$500,$A104,'Asset Value'!$B$4:$B$500,G$96),0)</f>
        <v>13052.0587463939</v>
      </c>
      <c r="H104" s="9" t="n">
        <f aca="false">IFERROR(SUMIFS('Asset Value'!$F$4:$F$500,'Asset Value'!$C$4:$C$500,$A104,'Asset Value'!$B$4:$B$500,H$96)/SUMIFS('Asset Value'!$D$4:$D$500,'Asset Value'!$C$4:$C$500,$A104,'Asset Value'!$B$4:$B$500,H$96),0)</f>
        <v>16016.8716913585</v>
      </c>
      <c r="I104" s="9" t="n">
        <f aca="false">IFERROR(SUMIFS('Asset Value'!$F$4:$F$500,'Asset Value'!$C$4:$C$500,$A104,'Asset Value'!$B$4:$B$500,I$96)/SUMIFS('Asset Value'!$D$4:$D$500,'Asset Value'!$C$4:$C$500,$A104,'Asset Value'!$B$4:$B$500,I$96),0)</f>
        <v>17172.9443576951</v>
      </c>
      <c r="J104" s="10" t="n">
        <f aca="false">_xlfn.MINIFS($B$86:$I$86,$B104:$I104,"&gt;0")</f>
        <v>2008</v>
      </c>
      <c r="K104" s="10" t="n">
        <f aca="false">_xlfn.MAXIFS($B$86:$I$86,$B104:$I104,"&gt;0")</f>
        <v>2015</v>
      </c>
      <c r="L104" s="9" t="n">
        <f aca="false">INDEX($B104:$I104,MATCH(J104,$B$86:$I$86,0))</f>
        <v>8334.53936093232</v>
      </c>
      <c r="M104" s="9" t="n">
        <f aca="false">INDEX($B104:$I104,MATCH(K104,$B$86:$I$86,0))</f>
        <v>17172.9443576951</v>
      </c>
      <c r="N104" s="13" t="n">
        <f aca="false">M104/L104-1</f>
        <v>1.06045512703345</v>
      </c>
      <c r="O104" s="13" t="n">
        <f aca="false">IF(K104&gt;J104,(M104/L104)^(1/(K104-J104))-1,"")</f>
        <v>0.108796586117366</v>
      </c>
    </row>
    <row r="105" customFormat="false" ht="15" hidden="false" customHeight="false" outlineLevel="0" collapsed="false">
      <c r="A105" s="8" t="s">
        <v>27</v>
      </c>
      <c r="B105" s="9" t="n">
        <f aca="false">IFERROR(SUMIFS('Asset Value'!$F$4:$F$500,'Asset Value'!$C$4:$C$500,$A105,'Asset Value'!$B$4:$B$500,B$96)/SUMIFS('Asset Value'!$D$4:$D$500,'Asset Value'!$C$4:$C$500,$A105,'Asset Value'!$B$4:$B$500,B$96),0)</f>
        <v>0</v>
      </c>
      <c r="C105" s="9" t="n">
        <f aca="false">IFERROR(SUMIFS('Asset Value'!$F$4:$F$500,'Asset Value'!$C$4:$C$500,$A105,'Asset Value'!$B$4:$B$500,C$96)/SUMIFS('Asset Value'!$D$4:$D$500,'Asset Value'!$C$4:$C$500,$A105,'Asset Value'!$B$4:$B$500,C$96),0)</f>
        <v>0</v>
      </c>
      <c r="D105" s="9" t="n">
        <f aca="false">IFERROR(SUMIFS('Asset Value'!$F$4:$F$500,'Asset Value'!$C$4:$C$500,$A105,'Asset Value'!$B$4:$B$500,D$96)/SUMIFS('Asset Value'!$D$4:$D$500,'Asset Value'!$C$4:$C$500,$A105,'Asset Value'!$B$4:$B$500,D$96),0)</f>
        <v>0</v>
      </c>
      <c r="E105" s="9" t="n">
        <f aca="false">IFERROR(SUMIFS('Asset Value'!$F$4:$F$500,'Asset Value'!$C$4:$C$500,$A105,'Asset Value'!$B$4:$B$500,E$96)/SUMIFS('Asset Value'!$D$4:$D$500,'Asset Value'!$C$4:$C$500,$A105,'Asset Value'!$B$4:$B$500,E$96),0)</f>
        <v>0</v>
      </c>
      <c r="F105" s="9" t="n">
        <f aca="false">IFERROR(SUMIFS('Asset Value'!$F$4:$F$500,'Asset Value'!$C$4:$C$500,$A105,'Asset Value'!$B$4:$B$500,F$96)/SUMIFS('Asset Value'!$D$4:$D$500,'Asset Value'!$C$4:$C$500,$A105,'Asset Value'!$B$4:$B$500,F$96),0)</f>
        <v>12311.3347144125</v>
      </c>
      <c r="G105" s="9" t="n">
        <f aca="false">IFERROR(SUMIFS('Asset Value'!$F$4:$F$500,'Asset Value'!$C$4:$C$500,$A105,'Asset Value'!$B$4:$B$500,G$96)/SUMIFS('Asset Value'!$D$4:$D$500,'Asset Value'!$C$4:$C$500,$A105,'Asset Value'!$B$4:$B$500,G$96),0)</f>
        <v>12615.2707901746</v>
      </c>
      <c r="H105" s="9" t="n">
        <f aca="false">IFERROR(SUMIFS('Asset Value'!$F$4:$F$500,'Asset Value'!$C$4:$C$500,$A105,'Asset Value'!$B$4:$B$500,H$96)/SUMIFS('Asset Value'!$D$4:$D$500,'Asset Value'!$C$4:$C$500,$A105,'Asset Value'!$B$4:$B$500,H$96),0)</f>
        <v>0</v>
      </c>
      <c r="I105" s="9" t="n">
        <f aca="false">IFERROR(SUMIFS('Asset Value'!$F$4:$F$500,'Asset Value'!$C$4:$C$500,$A105,'Asset Value'!$B$4:$B$500,I$96)/SUMIFS('Asset Value'!$D$4:$D$500,'Asset Value'!$C$4:$C$500,$A105,'Asset Value'!$B$4:$B$500,I$96),0)</f>
        <v>0</v>
      </c>
      <c r="J105" s="10" t="n">
        <f aca="false">_xlfn.MINIFS($B$86:$I$86,$B105:$I105,"&gt;0")</f>
        <v>2012</v>
      </c>
      <c r="K105" s="10" t="n">
        <f aca="false">_xlfn.MAXIFS($B$86:$I$86,$B105:$I105,"&gt;0")</f>
        <v>2013</v>
      </c>
      <c r="L105" s="9" t="n">
        <f aca="false">INDEX($B105:$I105,MATCH(J105,$B$86:$I$86,0))</f>
        <v>12311.3347144125</v>
      </c>
      <c r="M105" s="9" t="n">
        <f aca="false">INDEX($B105:$I105,MATCH(K105,$B$86:$I$86,0))</f>
        <v>12615.2707901746</v>
      </c>
      <c r="N105" s="13" t="n">
        <f aca="false">M105/L105-1</f>
        <v>0.0246875</v>
      </c>
      <c r="O105" s="13" t="n">
        <f aca="false">IF(K105&gt;J105,(M105/L105)^(1/(K105-J105))-1,"")</f>
        <v>0.0246875</v>
      </c>
    </row>
    <row r="106" customFormat="false" ht="15" hidden="false" customHeight="false" outlineLevel="0" collapsed="false">
      <c r="A106" s="8" t="s">
        <v>28</v>
      </c>
      <c r="B106" s="9" t="n">
        <f aca="false">IFERROR(SUMIFS('Asset Value'!$F$4:$F$500,'Asset Value'!$C$4:$C$500,$A106,'Asset Value'!$B$4:$B$500,B$96)/SUMIFS('Asset Value'!$D$4:$D$500,'Asset Value'!$C$4:$C$500,$A106,'Asset Value'!$B$4:$B$500,B$96),0)</f>
        <v>0</v>
      </c>
      <c r="C106" s="9" t="n">
        <f aca="false">IFERROR(SUMIFS('Asset Value'!$F$4:$F$500,'Asset Value'!$C$4:$C$500,$A106,'Asset Value'!$B$4:$B$500,C$96)/SUMIFS('Asset Value'!$D$4:$D$500,'Asset Value'!$C$4:$C$500,$A106,'Asset Value'!$B$4:$B$500,C$96),0)</f>
        <v>0</v>
      </c>
      <c r="D106" s="9" t="n">
        <f aca="false">IFERROR(SUMIFS('Asset Value'!$F$4:$F$500,'Asset Value'!$C$4:$C$500,$A106,'Asset Value'!$B$4:$B$500,D$96)/SUMIFS('Asset Value'!$D$4:$D$500,'Asset Value'!$C$4:$C$500,$A106,'Asset Value'!$B$4:$B$500,D$96),0)</f>
        <v>0</v>
      </c>
      <c r="E106" s="9" t="n">
        <f aca="false">IFERROR(SUMIFS('Asset Value'!$F$4:$F$500,'Asset Value'!$C$4:$C$500,$A106,'Asset Value'!$B$4:$B$500,E$96)/SUMIFS('Asset Value'!$D$4:$D$500,'Asset Value'!$C$4:$C$500,$A106,'Asset Value'!$B$4:$B$500,E$96),0)</f>
        <v>0</v>
      </c>
      <c r="F106" s="9" t="n">
        <f aca="false">IFERROR(SUMIFS('Asset Value'!$F$4:$F$500,'Asset Value'!$C$4:$C$500,$A106,'Asset Value'!$B$4:$B$500,F$96)/SUMIFS('Asset Value'!$D$4:$D$500,'Asset Value'!$C$4:$C$500,$A106,'Asset Value'!$B$4:$B$500,F$96),0)</f>
        <v>3485.06825938567</v>
      </c>
      <c r="G106" s="9" t="n">
        <f aca="false">IFERROR(SUMIFS('Asset Value'!$F$4:$F$500,'Asset Value'!$C$4:$C$500,$A106,'Asset Value'!$B$4:$B$500,G$96)/SUMIFS('Asset Value'!$D$4:$D$500,'Asset Value'!$C$4:$C$500,$A106,'Asset Value'!$B$4:$B$500,G$96),0)</f>
        <v>5333.80934247271</v>
      </c>
      <c r="H106" s="9" t="n">
        <f aca="false">IFERROR(SUMIFS('Asset Value'!$F$4:$F$500,'Asset Value'!$C$4:$C$500,$A106,'Asset Value'!$B$4:$B$500,H$96)/SUMIFS('Asset Value'!$D$4:$D$500,'Asset Value'!$C$4:$C$500,$A106,'Asset Value'!$B$4:$B$500,H$96),0)</f>
        <v>6182.39096636936</v>
      </c>
      <c r="I106" s="9" t="n">
        <f aca="false">IFERROR(SUMIFS('Asset Value'!$F$4:$F$500,'Asset Value'!$C$4:$C$500,$A106,'Asset Value'!$B$4:$B$500,I$96)/SUMIFS('Asset Value'!$D$4:$D$500,'Asset Value'!$C$4:$C$500,$A106,'Asset Value'!$B$4:$B$500,I$96),0)</f>
        <v>6409.2843115863</v>
      </c>
      <c r="J106" s="10" t="n">
        <f aca="false">_xlfn.MINIFS($B$86:$I$86,$B106:$I106,"&gt;0")</f>
        <v>2012</v>
      </c>
      <c r="K106" s="10" t="n">
        <f aca="false">_xlfn.MAXIFS($B$86:$I$86,$B106:$I106,"&gt;0")</f>
        <v>2015</v>
      </c>
      <c r="L106" s="9" t="n">
        <f aca="false">INDEX($B106:$I106,MATCH(J106,$B$86:$I$86,0))</f>
        <v>3485.06825938567</v>
      </c>
      <c r="M106" s="9" t="n">
        <f aca="false">INDEX($B106:$I106,MATCH(K106,$B$86:$I$86,0))</f>
        <v>6409.2843115863</v>
      </c>
      <c r="N106" s="13" t="n">
        <f aca="false">M106/L106-1</f>
        <v>0.839069950588601</v>
      </c>
      <c r="O106" s="13" t="n">
        <f aca="false">IF(K106&gt;J106,(M106/L106)^(1/(K106-J106))-1,"")</f>
        <v>0.225178638524464</v>
      </c>
    </row>
    <row r="107" customFormat="false" ht="15" hidden="false" customHeight="false" outlineLevel="0" collapsed="false">
      <c r="A107" s="8" t="s">
        <v>29</v>
      </c>
      <c r="B107" s="9" t="n">
        <f aca="false">IFERROR(SUMIFS('Asset Value'!$F$4:$F$500,'Asset Value'!$C$4:$C$500,$A107,'Asset Value'!$B$4:$B$500,B$96)/SUMIFS('Asset Value'!$D$4:$D$500,'Asset Value'!$C$4:$C$500,$A107,'Asset Value'!$B$4:$B$500,B$96),0)</f>
        <v>0</v>
      </c>
      <c r="C107" s="9" t="n">
        <f aca="false">IFERROR(SUMIFS('Asset Value'!$F$4:$F$500,'Asset Value'!$C$4:$C$500,$A107,'Asset Value'!$B$4:$B$500,C$96)/SUMIFS('Asset Value'!$D$4:$D$500,'Asset Value'!$C$4:$C$500,$A107,'Asset Value'!$B$4:$B$500,C$96),0)</f>
        <v>0</v>
      </c>
      <c r="D107" s="9" t="n">
        <f aca="false">IFERROR(SUMIFS('Asset Value'!$F$4:$F$500,'Asset Value'!$C$4:$C$500,$A107,'Asset Value'!$B$4:$B$500,D$96)/SUMIFS('Asset Value'!$D$4:$D$500,'Asset Value'!$C$4:$C$500,$A107,'Asset Value'!$B$4:$B$500,D$96),0)</f>
        <v>0</v>
      </c>
      <c r="E107" s="9" t="n">
        <f aca="false">IFERROR(SUMIFS('Asset Value'!$F$4:$F$500,'Asset Value'!$C$4:$C$500,$A107,'Asset Value'!$B$4:$B$500,E$96)/SUMIFS('Asset Value'!$D$4:$D$500,'Asset Value'!$C$4:$C$500,$A107,'Asset Value'!$B$4:$B$500,E$96),0)</f>
        <v>0</v>
      </c>
      <c r="F107" s="9" t="n">
        <f aca="false">IFERROR(SUMIFS('Asset Value'!$F$4:$F$500,'Asset Value'!$C$4:$C$500,$A107,'Asset Value'!$B$4:$B$500,F$96)/SUMIFS('Asset Value'!$D$4:$D$500,'Asset Value'!$C$4:$C$500,$A107,'Asset Value'!$B$4:$B$500,F$96),0)</f>
        <v>2919.33973714325</v>
      </c>
      <c r="G107" s="9" t="n">
        <f aca="false">IFERROR(SUMIFS('Asset Value'!$F$4:$F$500,'Asset Value'!$C$4:$C$500,$A107,'Asset Value'!$B$4:$B$500,G$96)/SUMIFS('Asset Value'!$D$4:$D$500,'Asset Value'!$C$4:$C$500,$A107,'Asset Value'!$B$4:$B$500,G$96),0)</f>
        <v>5747.16510039186</v>
      </c>
      <c r="H107" s="9" t="n">
        <f aca="false">IFERROR(SUMIFS('Asset Value'!$F$4:$F$500,'Asset Value'!$C$4:$C$500,$A107,'Asset Value'!$B$4:$B$500,H$96)/SUMIFS('Asset Value'!$D$4:$D$500,'Asset Value'!$C$4:$C$500,$A107,'Asset Value'!$B$4:$B$500,H$96),0)</f>
        <v>5923.38080881589</v>
      </c>
      <c r="I107" s="9" t="n">
        <f aca="false">IFERROR(SUMIFS('Asset Value'!$F$4:$F$500,'Asset Value'!$C$4:$C$500,$A107,'Asset Value'!$B$4:$B$500,I$96)/SUMIFS('Asset Value'!$D$4:$D$500,'Asset Value'!$C$4:$C$500,$A107,'Asset Value'!$B$4:$B$500,I$96),0)</f>
        <v>6069.63276346361</v>
      </c>
      <c r="J107" s="10" t="n">
        <f aca="false">_xlfn.MINIFS($B$86:$I$86,$B107:$I107,"&gt;0")</f>
        <v>2012</v>
      </c>
      <c r="K107" s="10" t="n">
        <f aca="false">_xlfn.MAXIFS($B$86:$I$86,$B107:$I107,"&gt;0")</f>
        <v>2015</v>
      </c>
      <c r="L107" s="9" t="n">
        <f aca="false">INDEX($B107:$I107,MATCH(J107,$B$86:$I$86,0))</f>
        <v>2919.33973714325</v>
      </c>
      <c r="M107" s="9" t="n">
        <f aca="false">INDEX($B107:$I107,MATCH(K107,$B$86:$I$86,0))</f>
        <v>6069.63276346361</v>
      </c>
      <c r="N107" s="13" t="n">
        <f aca="false">M107/L107-1</f>
        <v>1.07911148066758</v>
      </c>
      <c r="O107" s="13" t="n">
        <f aca="false">IF(K107&gt;J107,(M107/L107)^(1/(K107-J107))-1,"")</f>
        <v>0.276319071754471</v>
      </c>
    </row>
    <row r="108" customFormat="false" ht="15" hidden="false" customHeight="false" outlineLevel="0" collapsed="false">
      <c r="A108" s="8" t="s">
        <v>30</v>
      </c>
      <c r="B108" s="9" t="n">
        <f aca="false">IFERROR(SUMIFS('Asset Value'!$F$4:$F$500,'Asset Value'!$C$4:$C$500,$A108,'Asset Value'!$B$4:$B$500,B$96)/SUMIFS('Asset Value'!$D$4:$D$500,'Asset Value'!$C$4:$C$500,$A108,'Asset Value'!$B$4:$B$500,B$96),0)</f>
        <v>8243.78752184816</v>
      </c>
      <c r="C108" s="9" t="n">
        <f aca="false">IFERROR(SUMIFS('Asset Value'!$F$4:$F$500,'Asset Value'!$C$4:$C$500,$A108,'Asset Value'!$B$4:$B$500,C$96)/SUMIFS('Asset Value'!$D$4:$D$500,'Asset Value'!$C$4:$C$500,$A108,'Asset Value'!$B$4:$B$500,C$96),0)</f>
        <v>9791.96436076322</v>
      </c>
      <c r="D108" s="9" t="n">
        <f aca="false">IFERROR(SUMIFS('Asset Value'!$F$4:$F$500,'Asset Value'!$C$4:$C$500,$A108,'Asset Value'!$B$4:$B$500,D$96)/SUMIFS('Asset Value'!$D$4:$D$500,'Asset Value'!$C$4:$C$500,$A108,'Asset Value'!$B$4:$B$500,D$96),0)</f>
        <v>8407.93510696423</v>
      </c>
      <c r="E108" s="9" t="n">
        <f aca="false">IFERROR(SUMIFS('Asset Value'!$F$4:$F$500,'Asset Value'!$C$4:$C$500,$A108,'Asset Value'!$B$4:$B$500,E$96)/SUMIFS('Asset Value'!$D$4:$D$500,'Asset Value'!$C$4:$C$500,$A108,'Asset Value'!$B$4:$B$500,E$96),0)</f>
        <v>9216.57630395495</v>
      </c>
      <c r="F108" s="9" t="n">
        <f aca="false">IFERROR(SUMIFS('Asset Value'!$F$4:$F$500,'Asset Value'!$C$4:$C$500,$A108,'Asset Value'!$B$4:$B$500,F$96)/SUMIFS('Asset Value'!$D$4:$D$500,'Asset Value'!$C$4:$C$500,$A108,'Asset Value'!$B$4:$B$500,F$96),0)</f>
        <v>10718.2784852688</v>
      </c>
      <c r="G108" s="9" t="n">
        <f aca="false">IFERROR(SUMIFS('Asset Value'!$F$4:$F$500,'Asset Value'!$C$4:$C$500,$A108,'Asset Value'!$B$4:$B$500,G$96)/SUMIFS('Asset Value'!$D$4:$D$500,'Asset Value'!$C$4:$C$500,$A108,'Asset Value'!$B$4:$B$500,G$96),0)</f>
        <v>10794.1473259334</v>
      </c>
      <c r="H108" s="9" t="n">
        <f aca="false">IFERROR(SUMIFS('Asset Value'!$F$4:$F$500,'Asset Value'!$C$4:$C$500,$A108,'Asset Value'!$B$4:$B$500,H$96)/SUMIFS('Asset Value'!$D$4:$D$500,'Asset Value'!$C$4:$C$500,$A108,'Asset Value'!$B$4:$B$500,H$96),0)</f>
        <v>12960.0992263707</v>
      </c>
      <c r="I108" s="9" t="n">
        <f aca="false">IFERROR(SUMIFS('Asset Value'!$F$4:$F$500,'Asset Value'!$C$4:$C$500,$A108,'Asset Value'!$B$4:$B$500,I$96)/SUMIFS('Asset Value'!$D$4:$D$500,'Asset Value'!$C$4:$C$500,$A108,'Asset Value'!$B$4:$B$500,I$96),0)</f>
        <v>13476.2575195188</v>
      </c>
      <c r="J108" s="10" t="n">
        <f aca="false">_xlfn.MINIFS($B$86:$I$86,$B108:$I108,"&gt;0")</f>
        <v>2008</v>
      </c>
      <c r="K108" s="10" t="n">
        <f aca="false">_xlfn.MAXIFS($B$86:$I$86,$B108:$I108,"&gt;0")</f>
        <v>2015</v>
      </c>
      <c r="L108" s="9" t="n">
        <f aca="false">INDEX($B108:$I108,MATCH(J108,$B$86:$I$86,0))</f>
        <v>8243.78752184816</v>
      </c>
      <c r="M108" s="9" t="n">
        <f aca="false">INDEX($B108:$I108,MATCH(K108,$B$86:$I$86,0))</f>
        <v>13476.2575195188</v>
      </c>
      <c r="N108" s="13" t="n">
        <f aca="false">M108/L108-1</f>
        <v>0.634716746859765</v>
      </c>
      <c r="O108" s="13" t="n">
        <f aca="false">IF(K108&gt;J108,(M108/L108)^(1/(K108-J108))-1,"")</f>
        <v>0.0727333620222623</v>
      </c>
    </row>
    <row r="109" customFormat="false" ht="15" hidden="false" customHeight="false" outlineLevel="0" collapsed="false">
      <c r="A109" s="8" t="s">
        <v>31</v>
      </c>
      <c r="B109" s="9" t="n">
        <f aca="false">IFERROR(SUMIFS('Asset Value'!$F$4:$F$500,'Asset Value'!$C$4:$C$500,$A109,'Asset Value'!$B$4:$B$500,B$96)/SUMIFS('Asset Value'!$D$4:$D$500,'Asset Value'!$C$4:$C$500,$A109,'Asset Value'!$B$4:$B$500,B$96),0)</f>
        <v>0</v>
      </c>
      <c r="C109" s="9" t="n">
        <f aca="false">IFERROR(SUMIFS('Asset Value'!$F$4:$F$500,'Asset Value'!$C$4:$C$500,$A109,'Asset Value'!$B$4:$B$500,C$96)/SUMIFS('Asset Value'!$D$4:$D$500,'Asset Value'!$C$4:$C$500,$A109,'Asset Value'!$B$4:$B$500,C$96),0)</f>
        <v>1871.44354597185</v>
      </c>
      <c r="D109" s="9" t="n">
        <f aca="false">IFERROR(SUMIFS('Asset Value'!$F$4:$F$500,'Asset Value'!$C$4:$C$500,$A109,'Asset Value'!$B$4:$B$500,D$96)/SUMIFS('Asset Value'!$D$4:$D$500,'Asset Value'!$C$4:$C$500,$A109,'Asset Value'!$B$4:$B$500,D$96),0)</f>
        <v>1907.48186840029</v>
      </c>
      <c r="E109" s="9" t="n">
        <f aca="false">IFERROR(SUMIFS('Asset Value'!$F$4:$F$500,'Asset Value'!$C$4:$C$500,$A109,'Asset Value'!$B$4:$B$500,E$96)/SUMIFS('Asset Value'!$D$4:$D$500,'Asset Value'!$C$4:$C$500,$A109,'Asset Value'!$B$4:$B$500,E$96),0)</f>
        <v>2274.99906053888</v>
      </c>
      <c r="F109" s="9" t="n">
        <f aca="false">IFERROR(SUMIFS('Asset Value'!$F$4:$F$500,'Asset Value'!$C$4:$C$500,$A109,'Asset Value'!$B$4:$B$500,F$96)/SUMIFS('Asset Value'!$D$4:$D$500,'Asset Value'!$C$4:$C$500,$A109,'Asset Value'!$B$4:$B$500,F$96),0)</f>
        <v>2673.74273439474</v>
      </c>
      <c r="G109" s="9" t="n">
        <f aca="false">IFERROR(SUMIFS('Asset Value'!$F$4:$F$500,'Asset Value'!$C$4:$C$500,$A109,'Asset Value'!$B$4:$B$500,G$96)/SUMIFS('Asset Value'!$D$4:$D$500,'Asset Value'!$C$4:$C$500,$A109,'Asset Value'!$B$4:$B$500,G$96),0)</f>
        <v>3524.28565622079</v>
      </c>
      <c r="H109" s="9" t="n">
        <f aca="false">IFERROR(SUMIFS('Asset Value'!$F$4:$F$500,'Asset Value'!$C$4:$C$500,$A109,'Asset Value'!$B$4:$B$500,H$96)/SUMIFS('Asset Value'!$D$4:$D$500,'Asset Value'!$C$4:$C$500,$A109,'Asset Value'!$B$4:$B$500,H$96),0)</f>
        <v>5593.22033898305</v>
      </c>
      <c r="I109" s="9" t="n">
        <f aca="false">IFERROR(SUMIFS('Asset Value'!$F$4:$F$500,'Asset Value'!$C$4:$C$500,$A109,'Asset Value'!$B$4:$B$500,I$96)/SUMIFS('Asset Value'!$D$4:$D$500,'Asset Value'!$C$4:$C$500,$A109,'Asset Value'!$B$4:$B$500,I$96),0)</f>
        <v>6136.20836891546</v>
      </c>
      <c r="J109" s="10" t="n">
        <f aca="false">_xlfn.MINIFS($B$86:$I$86,$B109:$I109,"&gt;0")</f>
        <v>2009</v>
      </c>
      <c r="K109" s="10" t="n">
        <f aca="false">_xlfn.MAXIFS($B$86:$I$86,$B109:$I109,"&gt;0")</f>
        <v>2015</v>
      </c>
      <c r="L109" s="9" t="n">
        <f aca="false">INDEX($B109:$I109,MATCH(J109,$B$86:$I$86,0))</f>
        <v>1871.44354597185</v>
      </c>
      <c r="M109" s="9" t="n">
        <f aca="false">INDEX($B109:$I109,MATCH(K109,$B$86:$I$86,0))</f>
        <v>6136.20836891546</v>
      </c>
      <c r="N109" s="13" t="n">
        <f aca="false">M109/L109-1</f>
        <v>2.27886373175574</v>
      </c>
      <c r="O109" s="13" t="n">
        <f aca="false">IF(K109&gt;J109,(M109/L109)^(1/(K109-J109))-1,"")</f>
        <v>0.218860196059455</v>
      </c>
    </row>
    <row r="110" customFormat="false" ht="15" hidden="false" customHeight="false" outlineLevel="0" collapsed="false">
      <c r="A110" s="8" t="s">
        <v>32</v>
      </c>
      <c r="B110" s="9" t="n">
        <f aca="false">IFERROR(SUMIFS('Asset Value'!$F$4:$F$500,'Asset Value'!$C$4:$C$500,$A110,'Asset Value'!$B$4:$B$500,B$96)/SUMIFS('Asset Value'!$D$4:$D$500,'Asset Value'!$C$4:$C$500,$A110,'Asset Value'!$B$4:$B$500,B$96),0)</f>
        <v>0</v>
      </c>
      <c r="C110" s="9" t="n">
        <f aca="false">IFERROR(SUMIFS('Asset Value'!$F$4:$F$500,'Asset Value'!$C$4:$C$500,$A110,'Asset Value'!$B$4:$B$500,C$96)/SUMIFS('Asset Value'!$D$4:$D$500,'Asset Value'!$C$4:$C$500,$A110,'Asset Value'!$B$4:$B$500,C$96),0)</f>
        <v>0</v>
      </c>
      <c r="D110" s="9" t="n">
        <f aca="false">IFERROR(SUMIFS('Asset Value'!$F$4:$F$500,'Asset Value'!$C$4:$C$500,$A110,'Asset Value'!$B$4:$B$500,D$96)/SUMIFS('Asset Value'!$D$4:$D$500,'Asset Value'!$C$4:$C$500,$A110,'Asset Value'!$B$4:$B$500,D$96),0)</f>
        <v>0</v>
      </c>
      <c r="E110" s="9" t="n">
        <f aca="false">IFERROR(SUMIFS('Asset Value'!$F$4:$F$500,'Asset Value'!$C$4:$C$500,$A110,'Asset Value'!$B$4:$B$500,E$96)/SUMIFS('Asset Value'!$D$4:$D$500,'Asset Value'!$C$4:$C$500,$A110,'Asset Value'!$B$4:$B$500,E$96),0)</f>
        <v>0</v>
      </c>
      <c r="F110" s="9" t="n">
        <f aca="false">IFERROR(SUMIFS('Asset Value'!$F$4:$F$500,'Asset Value'!$C$4:$C$500,$A110,'Asset Value'!$B$4:$B$500,F$96)/SUMIFS('Asset Value'!$D$4:$D$500,'Asset Value'!$C$4:$C$500,$A110,'Asset Value'!$B$4:$B$500,F$96),0)</f>
        <v>5086.62212554382</v>
      </c>
      <c r="G110" s="9" t="n">
        <f aca="false">IFERROR(SUMIFS('Asset Value'!$F$4:$F$500,'Asset Value'!$C$4:$C$500,$A110,'Asset Value'!$B$4:$B$500,G$96)/SUMIFS('Asset Value'!$D$4:$D$500,'Asset Value'!$C$4:$C$500,$A110,'Asset Value'!$B$4:$B$500,G$96),0)</f>
        <v>6776.89372412113</v>
      </c>
      <c r="H110" s="9" t="n">
        <f aca="false">IFERROR(SUMIFS('Asset Value'!$F$4:$F$500,'Asset Value'!$C$4:$C$500,$A110,'Asset Value'!$B$4:$B$500,H$96)/SUMIFS('Asset Value'!$D$4:$D$500,'Asset Value'!$C$4:$C$500,$A110,'Asset Value'!$B$4:$B$500,H$96),0)</f>
        <v>7247.25913621263</v>
      </c>
      <c r="I110" s="9" t="n">
        <f aca="false">IFERROR(SUMIFS('Asset Value'!$F$4:$F$500,'Asset Value'!$C$4:$C$500,$A110,'Asset Value'!$B$4:$B$500,I$96)/SUMIFS('Asset Value'!$D$4:$D$500,'Asset Value'!$C$4:$C$500,$A110,'Asset Value'!$B$4:$B$500,I$96),0)</f>
        <v>7753.32225913621</v>
      </c>
      <c r="J110" s="10" t="n">
        <f aca="false">_xlfn.MINIFS($B$86:$I$86,$B110:$I110,"&gt;0")</f>
        <v>2012</v>
      </c>
      <c r="K110" s="10" t="n">
        <f aca="false">_xlfn.MAXIFS($B$86:$I$86,$B110:$I110,"&gt;0")</f>
        <v>2015</v>
      </c>
      <c r="L110" s="9" t="n">
        <f aca="false">INDEX($B110:$I110,MATCH(J110,$B$86:$I$86,0))</f>
        <v>5086.62212554382</v>
      </c>
      <c r="M110" s="9" t="n">
        <f aca="false">INDEX($B110:$I110,MATCH(K110,$B$86:$I$86,0))</f>
        <v>7753.32225913621</v>
      </c>
      <c r="N110" s="13" t="n">
        <f aca="false">M110/L110-1</f>
        <v>0.52425756578238</v>
      </c>
      <c r="O110" s="13" t="n">
        <f aca="false">IF(K110&gt;J110,(M110/L110)^(1/(K110-J110))-1,"")</f>
        <v>0.150851937281397</v>
      </c>
    </row>
    <row r="111" customFormat="false" ht="15" hidden="false" customHeight="false" outlineLevel="0" collapsed="false">
      <c r="A111" s="8" t="s">
        <v>33</v>
      </c>
      <c r="B111" s="9" t="n">
        <f aca="false">IFERROR(SUMIFS('Asset Value'!$F$4:$F$500,'Asset Value'!$C$4:$C$500,$A111,'Asset Value'!$B$4:$B$500,B$96)/SUMIFS('Asset Value'!$D$4:$D$500,'Asset Value'!$C$4:$C$500,$A111,'Asset Value'!$B$4:$B$500,B$96),0)</f>
        <v>1371.38274410212</v>
      </c>
      <c r="C111" s="9" t="n">
        <f aca="false">IFERROR(SUMIFS('Asset Value'!$F$4:$F$500,'Asset Value'!$C$4:$C$500,$A111,'Asset Value'!$B$4:$B$500,C$96)/SUMIFS('Asset Value'!$D$4:$D$500,'Asset Value'!$C$4:$C$500,$A111,'Asset Value'!$B$4:$B$500,C$96),0)</f>
        <v>1688.16413820758</v>
      </c>
      <c r="D111" s="9" t="n">
        <f aca="false">IFERROR(SUMIFS('Asset Value'!$F$4:$F$500,'Asset Value'!$C$4:$C$500,$A111,'Asset Value'!$B$4:$B$500,D$96)/SUMIFS('Asset Value'!$D$4:$D$500,'Asset Value'!$C$4:$C$500,$A111,'Asset Value'!$B$4:$B$500,D$96),0)</f>
        <v>1699.1452991453</v>
      </c>
      <c r="E111" s="9" t="n">
        <f aca="false">IFERROR(SUMIFS('Asset Value'!$F$4:$F$500,'Asset Value'!$C$4:$C$500,$A111,'Asset Value'!$B$4:$B$500,E$96)/SUMIFS('Asset Value'!$D$4:$D$500,'Asset Value'!$C$4:$C$500,$A111,'Asset Value'!$B$4:$B$500,E$96),0)</f>
        <v>0</v>
      </c>
      <c r="F111" s="9" t="n">
        <f aca="false">IFERROR(SUMIFS('Asset Value'!$F$4:$F$500,'Asset Value'!$C$4:$C$500,$A111,'Asset Value'!$B$4:$B$500,F$96)/SUMIFS('Asset Value'!$D$4:$D$500,'Asset Value'!$C$4:$C$500,$A111,'Asset Value'!$B$4:$B$500,F$96),0)</f>
        <v>0</v>
      </c>
      <c r="G111" s="9" t="n">
        <f aca="false">IFERROR(SUMIFS('Asset Value'!$F$4:$F$500,'Asset Value'!$C$4:$C$500,$A111,'Asset Value'!$B$4:$B$500,G$96)/SUMIFS('Asset Value'!$D$4:$D$500,'Asset Value'!$C$4:$C$500,$A111,'Asset Value'!$B$4:$B$500,G$96),0)</f>
        <v>0</v>
      </c>
      <c r="H111" s="9" t="n">
        <f aca="false">IFERROR(SUMIFS('Asset Value'!$F$4:$F$500,'Asset Value'!$C$4:$C$500,$A111,'Asset Value'!$B$4:$B$500,H$96)/SUMIFS('Asset Value'!$D$4:$D$500,'Asset Value'!$C$4:$C$500,$A111,'Asset Value'!$B$4:$B$500,H$96),0)</f>
        <v>0</v>
      </c>
      <c r="I111" s="9" t="n">
        <f aca="false">IFERROR(SUMIFS('Asset Value'!$F$4:$F$500,'Asset Value'!$C$4:$C$500,$A111,'Asset Value'!$B$4:$B$500,I$96)/SUMIFS('Asset Value'!$D$4:$D$500,'Asset Value'!$C$4:$C$500,$A111,'Asset Value'!$B$4:$B$500,I$96),0)</f>
        <v>0</v>
      </c>
      <c r="J111" s="10" t="n">
        <f aca="false">_xlfn.MINIFS($B$86:$I$86,$B111:$I111,"&gt;0")</f>
        <v>2008</v>
      </c>
      <c r="K111" s="10" t="n">
        <f aca="false">_xlfn.MAXIFS($B$86:$I$86,$B111:$I111,"&gt;0")</f>
        <v>2010</v>
      </c>
      <c r="L111" s="9" t="n">
        <f aca="false">INDEX($B111:$I111,MATCH(J111,$B$86:$I$86,0))</f>
        <v>1371.38274410212</v>
      </c>
      <c r="M111" s="9" t="n">
        <f aca="false">INDEX($B111:$I111,MATCH(K111,$B$86:$I$86,0))</f>
        <v>1699.1452991453</v>
      </c>
      <c r="N111" s="13" t="n">
        <f aca="false">M111/L111-1</f>
        <v>0.239001516136019</v>
      </c>
      <c r="O111" s="13" t="n">
        <f aca="false">IF(K111&gt;J111,(M111/L111)^(1/(K111-J111))-1,"")</f>
        <v>0.113104449787179</v>
      </c>
    </row>
    <row r="112" customFormat="false" ht="15" hidden="false" customHeight="false" outlineLevel="0" collapsed="false">
      <c r="A112" s="3" t="s">
        <v>34</v>
      </c>
    </row>
    <row r="113" customFormat="false" ht="15" hidden="false" customHeight="false" outlineLevel="0" collapsed="false">
      <c r="A113" s="3" t="s">
        <v>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N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73" activeCellId="0" sqref="Q73"/>
    </sheetView>
  </sheetViews>
  <sheetFormatPr defaultColWidth="8.53125" defaultRowHeight="15" zeroHeight="false" outlineLevelRow="0" outlineLevelCol="0"/>
  <cols>
    <col collapsed="false" customWidth="true" hidden="false" outlineLevel="0" max="2" min="2" style="1" width="4.57"/>
    <col collapsed="false" customWidth="true" hidden="false" outlineLevel="0" max="3" min="3" style="1" width="18.42"/>
    <col collapsed="false" customWidth="true" hidden="false" outlineLevel="0" max="4" min="4" style="1" width="16.71"/>
    <col collapsed="false" customWidth="true" hidden="false" outlineLevel="0" max="5" min="5" style="1" width="20.14"/>
    <col collapsed="false" customWidth="true" hidden="false" outlineLevel="0" max="6" min="6" style="1" width="11.14"/>
    <col collapsed="false" customWidth="true" hidden="false" outlineLevel="0" max="7" min="7" style="1" width="13.85"/>
  </cols>
  <sheetData>
    <row r="3" customFormat="false" ht="15" hidden="false" customHeight="false" outlineLevel="0" collapsed="false">
      <c r="B3" s="14" t="s">
        <v>36</v>
      </c>
      <c r="C3" s="14" t="s">
        <v>37</v>
      </c>
      <c r="D3" s="14" t="s">
        <v>38</v>
      </c>
      <c r="E3" s="14" t="s">
        <v>39</v>
      </c>
      <c r="F3" s="15" t="s">
        <v>40</v>
      </c>
      <c r="G3" s="15" t="n">
        <v>2008</v>
      </c>
      <c r="H3" s="15" t="n">
        <v>2009</v>
      </c>
      <c r="I3" s="15" t="n">
        <v>2010</v>
      </c>
      <c r="J3" s="15" t="n">
        <v>2011</v>
      </c>
      <c r="K3" s="15" t="n">
        <f aca="false">J3+1</f>
        <v>2012</v>
      </c>
      <c r="L3" s="15" t="n">
        <f aca="false">K3+1</f>
        <v>2013</v>
      </c>
      <c r="M3" s="15" t="n">
        <f aca="false">L3+1</f>
        <v>2014</v>
      </c>
      <c r="N3" s="15" t="n">
        <f aca="false">M3+1</f>
        <v>2015</v>
      </c>
    </row>
    <row r="4" customFormat="false" ht="15" hidden="false" customHeight="false" outlineLevel="0" collapsed="false">
      <c r="B4" s="16" t="n">
        <v>73</v>
      </c>
      <c r="C4" s="17" t="s">
        <v>19</v>
      </c>
      <c r="D4" s="17" t="s">
        <v>41</v>
      </c>
      <c r="E4" s="17" t="s">
        <v>42</v>
      </c>
      <c r="F4" s="18" t="s">
        <v>43</v>
      </c>
      <c r="G4" s="19" t="n">
        <f aca="false">SUMIFS('Asset Value'!$F$4:$F$102,'Asset Value'!$B$4:$B$102,Register!G$3,'Asset Value'!$C$4:$C$102,Register!$C4)/1000</f>
        <v>143610</v>
      </c>
      <c r="H4" s="19" t="n">
        <f aca="false">SUMIFS('Asset Value'!$F$4:$F$102,'Asset Value'!$B$4:$B$102,Register!H$3,'Asset Value'!$C$4:$C$102,Register!$C4)/1000</f>
        <v>158220</v>
      </c>
      <c r="I4" s="19" t="n">
        <f aca="false">SUMIFS('Asset Value'!$F$4:$F$102,'Asset Value'!$B$4:$B$102,Register!I$3,'Asset Value'!$C$4:$C$102,Register!$C4)/1000</f>
        <v>164240</v>
      </c>
      <c r="J4" s="19" t="n">
        <f aca="false">SUMIFS('Asset Value'!$F$4:$F$102,'Asset Value'!$B$4:$B$102,Register!J$3,'Asset Value'!$C$4:$C$102,Register!$C4)/1000</f>
        <v>179570</v>
      </c>
      <c r="K4" s="19" t="n">
        <f aca="false">SUMIFS('Asset Value'!$F$4:$F$102,'Asset Value'!$B$4:$B$102,Register!K$3,'Asset Value'!$C$4:$C$102,Register!$C4)/1000</f>
        <v>215630</v>
      </c>
      <c r="L4" s="19" t="n">
        <f aca="false">SUMIFS('Asset Value'!$F$4:$F$102,'Asset Value'!$B$4:$B$102,Register!L$3,'Asset Value'!$C$4:$C$102,Register!$C4)/1000</f>
        <v>224342</v>
      </c>
      <c r="M4" s="19" t="n">
        <f aca="false">SUMIFS('Asset Value'!$F$4:$F$102,'Asset Value'!$B$4:$B$102,Register!M$3,'Asset Value'!$C$4:$C$102,Register!$C4)/1000</f>
        <v>269921</v>
      </c>
      <c r="N4" s="20" t="n">
        <f aca="false">SUMIFS('Asset Value'!$F$4:$F$102,'Asset Value'!$B$4:$B$102,Register!N$3,'Asset Value'!$C$4:$C$102,Register!$C4)/1000</f>
        <v>290900</v>
      </c>
    </row>
    <row r="5" customFormat="false" ht="11.25" hidden="false" customHeight="true" outlineLevel="0" collapsed="false">
      <c r="B5" s="16"/>
      <c r="C5" s="17"/>
      <c r="D5" s="17"/>
      <c r="E5" s="17"/>
      <c r="F5" s="21" t="s">
        <v>44</v>
      </c>
      <c r="H5" s="22" t="n">
        <f aca="false">H4/G4-1</f>
        <v>0.101733862544391</v>
      </c>
      <c r="I5" s="22" t="n">
        <f aca="false">I4/H4-1</f>
        <v>0.0380482871950449</v>
      </c>
      <c r="J5" s="22" t="n">
        <f aca="false">J4/I4-1</f>
        <v>0.0933390160740379</v>
      </c>
      <c r="K5" s="22" t="n">
        <f aca="false">K4/J4-1</f>
        <v>0.200813053405357</v>
      </c>
      <c r="L5" s="22" t="n">
        <f aca="false">L4/K4-1</f>
        <v>0.0404025413903446</v>
      </c>
      <c r="M5" s="22" t="n">
        <f aca="false">M4/L4-1</f>
        <v>0.203167485357178</v>
      </c>
      <c r="N5" s="23" t="n">
        <f aca="false">N4/M4-1</f>
        <v>0.0777227410983215</v>
      </c>
    </row>
    <row r="6" customFormat="false" ht="15" hidden="false" customHeight="false" outlineLevel="0" collapsed="false">
      <c r="B6" s="16"/>
      <c r="C6" s="17"/>
      <c r="D6" s="17"/>
      <c r="E6" s="17"/>
      <c r="F6" s="1" t="s">
        <v>45</v>
      </c>
      <c r="G6" s="24" t="n">
        <f aca="false">SUMIFS(Rent!$E$3:$E$110,Rent!$C$3:$C$110,Register!G$3,Rent!$D$3:$D$110,Register!$C4)/1000</f>
        <v>5764.1164875</v>
      </c>
      <c r="H6" s="24" t="n">
        <f aca="false">SUMIFS(Rent!$E$3:$E$110,Rent!$C$3:$C$110,Register!H$3,Rent!$D$3:$D$110,Register!$C4)/1000</f>
        <v>5432.845425</v>
      </c>
      <c r="I6" s="24" t="n">
        <f aca="false">SUMIFS(Rent!$E$3:$E$110,Rent!$C$3:$C$110,Register!I$3,Rent!$D$3:$D$110,Register!$C4)/1000</f>
        <v>5962.879125</v>
      </c>
      <c r="J6" s="24" t="n">
        <f aca="false">SUMIFS(Rent!$E$3:$E$110,Rent!$C$3:$C$110,Register!J$3,Rent!$D$3:$D$110,Register!$C4)/1000</f>
        <v>4000.30904</v>
      </c>
      <c r="K6" s="24" t="n">
        <f aca="false">SUMIFS(Rent!$E$3:$E$110,Rent!$C$3:$C$110,Register!K$3,Rent!$D$3:$D$110,Register!$C4)/1000</f>
        <v>6522</v>
      </c>
      <c r="L6" s="24" t="n">
        <f aca="false">SUMIFS(Rent!$E$3:$E$110,Rent!$C$3:$C$110,Register!L$3,Rent!$D$3:$D$110,Register!$C4)/1000</f>
        <v>5902</v>
      </c>
      <c r="M6" s="24" t="n">
        <f aca="false">SUMIFS(Rent!$E$3:$E$110,Rent!$C$3:$C$110,Register!M$3,Rent!$D$3:$D$110,Register!$C4)/1000</f>
        <v>6567</v>
      </c>
      <c r="N6" s="25" t="n">
        <f aca="false">SUMIFS(Rent!$E$3:$E$110,Rent!$C$3:$C$110,Register!N$3,Rent!$D$3:$D$110,Register!$C4)/1000</f>
        <v>8312</v>
      </c>
    </row>
    <row r="7" customFormat="false" ht="10.5" hidden="false" customHeight="true" outlineLevel="0" collapsed="false">
      <c r="B7" s="16"/>
      <c r="C7" s="17"/>
      <c r="D7" s="17"/>
      <c r="E7" s="17"/>
      <c r="F7" s="21" t="s">
        <v>44</v>
      </c>
      <c r="H7" s="22" t="n">
        <f aca="false">H6/G6-1</f>
        <v>-0.0574712643678161</v>
      </c>
      <c r="I7" s="22" t="n">
        <f aca="false">I6/H6-1</f>
        <v>0.0975609756097562</v>
      </c>
      <c r="J7" s="22" t="n">
        <f aca="false">J6/I6-1</f>
        <v>-0.329131287731747</v>
      </c>
      <c r="K7" s="22" t="n">
        <f aca="false">K6/J6-1</f>
        <v>0.630374037301878</v>
      </c>
      <c r="L7" s="22" t="n">
        <f aca="false">L6/K6-1</f>
        <v>-0.0950628641521006</v>
      </c>
      <c r="M7" s="22" t="n">
        <f aca="false">M6/L6-1</f>
        <v>0.112673669942392</v>
      </c>
      <c r="N7" s="23" t="n">
        <f aca="false">N6/M6-1</f>
        <v>0.265722552154713</v>
      </c>
    </row>
    <row r="8" customFormat="false" ht="11.25" hidden="false" customHeight="true" outlineLevel="0" collapsed="false">
      <c r="B8" s="16"/>
      <c r="C8" s="17"/>
      <c r="D8" s="17"/>
      <c r="E8" s="17"/>
      <c r="F8" s="26" t="s">
        <v>46</v>
      </c>
      <c r="G8" s="27" t="n">
        <f aca="false">G6/G4</f>
        <v>0.0401372918842699</v>
      </c>
      <c r="H8" s="27" t="n">
        <f aca="false">H6/H4</f>
        <v>0.0343372862153963</v>
      </c>
      <c r="I8" s="27" t="n">
        <f aca="false">I6/I4</f>
        <v>0.0363058884863614</v>
      </c>
      <c r="J8" s="27" t="n">
        <f aca="false">J6/J4</f>
        <v>0.0222771567633792</v>
      </c>
      <c r="K8" s="27" t="n">
        <f aca="false">K6/K4</f>
        <v>0.0302462551593007</v>
      </c>
      <c r="L8" s="27" t="n">
        <f aca="false">L6/L4</f>
        <v>0.0263080475345678</v>
      </c>
      <c r="M8" s="27" t="n">
        <f aca="false">M6/M4</f>
        <v>0.0243293408071251</v>
      </c>
      <c r="N8" s="28" t="n">
        <f aca="false">N6/N4</f>
        <v>0.0285733929185287</v>
      </c>
    </row>
    <row r="9" customFormat="false" ht="15" hidden="false" customHeight="false" outlineLevel="0" collapsed="false">
      <c r="B9" s="16" t="n">
        <v>41</v>
      </c>
      <c r="C9" s="17" t="s">
        <v>20</v>
      </c>
      <c r="D9" s="17" t="s">
        <v>47</v>
      </c>
      <c r="E9" s="17" t="s">
        <v>48</v>
      </c>
      <c r="F9" s="18" t="s">
        <v>43</v>
      </c>
      <c r="G9" s="19" t="n">
        <f aca="false">SUMIFS('Asset Value'!$F$4:$F$102,'Asset Value'!$B$4:$B$102,Register!G$3,'Asset Value'!$C$4:$C$102,Register!$C9)/1000</f>
        <v>207710</v>
      </c>
      <c r="H9" s="19" t="n">
        <f aca="false">SUMIFS('Asset Value'!$F$4:$F$102,'Asset Value'!$B$4:$B$102,Register!H$3,'Asset Value'!$C$4:$C$102,Register!$C9)/1000</f>
        <v>234810</v>
      </c>
      <c r="I9" s="19" t="n">
        <f aca="false">SUMIFS('Asset Value'!$F$4:$F$102,'Asset Value'!$B$4:$B$102,Register!I$3,'Asset Value'!$C$4:$C$102,Register!$C9)/1000</f>
        <v>241810</v>
      </c>
      <c r="J9" s="19" t="n">
        <f aca="false">SUMIFS('Asset Value'!$F$4:$F$102,'Asset Value'!$B$4:$B$102,Register!J$3,'Asset Value'!$C$4:$C$102,Register!$C9)/1000</f>
        <v>273920</v>
      </c>
      <c r="K9" s="19" t="n">
        <f aca="false">SUMIFS('Asset Value'!$F$4:$F$102,'Asset Value'!$B$4:$B$102,Register!K$3,'Asset Value'!$C$4:$C$102,Register!$C9)/1000</f>
        <v>322340</v>
      </c>
      <c r="L9" s="19" t="n">
        <f aca="false">SUMIFS('Asset Value'!$F$4:$F$102,'Asset Value'!$B$4:$B$102,Register!L$3,'Asset Value'!$C$4:$C$102,Register!$C9)/1000</f>
        <v>331712</v>
      </c>
      <c r="M9" s="19" t="n">
        <f aca="false">SUMIFS('Asset Value'!$F$4:$F$102,'Asset Value'!$B$4:$B$102,Register!M$3,'Asset Value'!$C$4:$C$102,Register!$C9)/1000</f>
        <v>453258</v>
      </c>
      <c r="N9" s="20" t="n">
        <f aca="false">SUMIFS('Asset Value'!$F$4:$F$102,'Asset Value'!$B$4:$B$102,Register!N$3,'Asset Value'!$C$4:$C$102,Register!$C9)/1000</f>
        <v>473550</v>
      </c>
    </row>
    <row r="10" customFormat="false" ht="15" hidden="false" customHeight="false" outlineLevel="0" collapsed="false">
      <c r="B10" s="16"/>
      <c r="C10" s="17"/>
      <c r="D10" s="17"/>
      <c r="E10" s="17"/>
      <c r="F10" s="21" t="s">
        <v>44</v>
      </c>
      <c r="H10" s="22" t="n">
        <f aca="false">H9/G9-1</f>
        <v>0.130470367339079</v>
      </c>
      <c r="I10" s="22" t="n">
        <f aca="false">I9/H9-1</f>
        <v>0.0298113368255184</v>
      </c>
      <c r="J10" s="22" t="n">
        <f aca="false">J9/I9-1</f>
        <v>0.132790207187461</v>
      </c>
      <c r="K10" s="22" t="n">
        <f aca="false">K9/J9-1</f>
        <v>0.176766939252337</v>
      </c>
      <c r="L10" s="22" t="n">
        <f aca="false">L9/K9-1</f>
        <v>0.0290748898678415</v>
      </c>
      <c r="M10" s="22" t="n">
        <f aca="false">M9/L9-1</f>
        <v>0.366420268184449</v>
      </c>
      <c r="N10" s="23" t="n">
        <f aca="false">N9/M9-1</f>
        <v>0.0447692042942429</v>
      </c>
    </row>
    <row r="11" customFormat="false" ht="15" hidden="false" customHeight="false" outlineLevel="0" collapsed="false">
      <c r="B11" s="16"/>
      <c r="C11" s="17"/>
      <c r="D11" s="17"/>
      <c r="E11" s="17"/>
      <c r="F11" s="1" t="s">
        <v>45</v>
      </c>
      <c r="G11" s="24" t="n">
        <f aca="false">SUMIFS(Rent!$E$3:$E$110,Rent!$C$3:$C$110,Register!G$3,Rent!$D$3:$D$110,Register!$C9)/1000</f>
        <v>6078.89436</v>
      </c>
      <c r="H11" s="24" t="n">
        <f aca="false">SUMIFS(Rent!$E$3:$E$110,Rent!$C$3:$C$110,Register!H$3,Rent!$D$3:$D$110,Register!$C9)/1000</f>
        <v>5934.15878</v>
      </c>
      <c r="I11" s="24" t="n">
        <f aca="false">SUMIFS(Rent!$E$3:$E$110,Rent!$C$3:$C$110,Register!I$3,Rent!$D$3:$D$110,Register!$C9)/1000</f>
        <v>6802.57226</v>
      </c>
      <c r="J11" s="24" t="n">
        <f aca="false">SUMIFS(Rent!$E$3:$E$110,Rent!$C$3:$C$110,Register!J$3,Rent!$D$3:$D$110,Register!$C9)/1000</f>
        <v>4563.6751968</v>
      </c>
      <c r="K11" s="24" t="n">
        <f aca="false">SUMIFS(Rent!$E$3:$E$110,Rent!$C$3:$C$110,Register!K$3,Rent!$D$3:$D$110,Register!$C9)/1000</f>
        <v>7795</v>
      </c>
      <c r="L11" s="24" t="n">
        <f aca="false">SUMIFS(Rent!$E$3:$E$110,Rent!$C$3:$C$110,Register!L$3,Rent!$D$3:$D$110,Register!$C9)/1000</f>
        <v>7483</v>
      </c>
      <c r="M11" s="24" t="n">
        <f aca="false">SUMIFS(Rent!$E$3:$E$110,Rent!$C$3:$C$110,Register!M$3,Rent!$D$3:$D$110,Register!$C9)/1000</f>
        <v>10660</v>
      </c>
      <c r="N11" s="25" t="n">
        <f aca="false">SUMIFS(Rent!$E$3:$E$110,Rent!$C$3:$C$110,Register!N$3,Rent!$D$3:$D$110,Register!$C9)/1000</f>
        <v>13057</v>
      </c>
    </row>
    <row r="12" customFormat="false" ht="15" hidden="false" customHeight="false" outlineLevel="0" collapsed="false">
      <c r="B12" s="16"/>
      <c r="C12" s="17"/>
      <c r="D12" s="17"/>
      <c r="E12" s="17"/>
      <c r="F12" s="21" t="s">
        <v>44</v>
      </c>
      <c r="H12" s="22" t="n">
        <f aca="false">H11/G11-1</f>
        <v>-0.0238095238095237</v>
      </c>
      <c r="I12" s="22" t="n">
        <f aca="false">I11/H11-1</f>
        <v>0.146341463414634</v>
      </c>
      <c r="J12" s="22" t="n">
        <f aca="false">J11/I11-1</f>
        <v>-0.329125068816248</v>
      </c>
      <c r="K12" s="22" t="n">
        <f aca="false">K11/J11-1</f>
        <v>0.708053194816707</v>
      </c>
      <c r="L12" s="22" t="n">
        <f aca="false">L11/K11-1</f>
        <v>-0.0400256574727389</v>
      </c>
      <c r="M12" s="22" t="n">
        <f aca="false">M11/L11-1</f>
        <v>0.424562341306962</v>
      </c>
      <c r="N12" s="23" t="n">
        <f aca="false">N11/M11-1</f>
        <v>0.224859287054409</v>
      </c>
    </row>
    <row r="13" customFormat="false" ht="15" hidden="false" customHeight="false" outlineLevel="0" collapsed="false">
      <c r="B13" s="16"/>
      <c r="C13" s="17"/>
      <c r="D13" s="17"/>
      <c r="E13" s="17"/>
      <c r="F13" s="26" t="s">
        <v>46</v>
      </c>
      <c r="G13" s="27" t="n">
        <f aca="false">G11/G9</f>
        <v>0.0292662575706514</v>
      </c>
      <c r="H13" s="27" t="n">
        <f aca="false">H11/H9</f>
        <v>0.0252721723095269</v>
      </c>
      <c r="I13" s="27" t="n">
        <f aca="false">I11/I9</f>
        <v>0.0281318897481494</v>
      </c>
      <c r="J13" s="27" t="n">
        <f aca="false">J11/J9</f>
        <v>0.0166606133060748</v>
      </c>
      <c r="K13" s="27" t="n">
        <f aca="false">K11/K9</f>
        <v>0.0241825401749705</v>
      </c>
      <c r="L13" s="27" t="n">
        <f aca="false">L11/L9</f>
        <v>0.0225587256415204</v>
      </c>
      <c r="M13" s="27" t="n">
        <f aca="false">M11/M9</f>
        <v>0.023518614122641</v>
      </c>
      <c r="N13" s="28" t="n">
        <f aca="false">N11/N9</f>
        <v>0.0275725900116144</v>
      </c>
    </row>
    <row r="14" customFormat="false" ht="15" hidden="false" customHeight="false" outlineLevel="0" collapsed="false">
      <c r="B14" s="16" t="n">
        <v>114</v>
      </c>
      <c r="C14" s="17" t="s">
        <v>21</v>
      </c>
      <c r="D14" s="17" t="s">
        <v>49</v>
      </c>
      <c r="E14" s="17" t="s">
        <v>50</v>
      </c>
      <c r="F14" s="18" t="s">
        <v>43</v>
      </c>
      <c r="G14" s="19" t="n">
        <f aca="false">SUMIFS('Asset Value'!$F$4:$F$102,'Asset Value'!$B$4:$B$102,Register!G$3,'Asset Value'!$C$4:$C$102,Register!$C14)/1000</f>
        <v>106940</v>
      </c>
      <c r="H14" s="19" t="n">
        <f aca="false">SUMIFS('Asset Value'!$F$4:$F$102,'Asset Value'!$B$4:$B$102,Register!H$3,'Asset Value'!$C$4:$C$102,Register!$C14)/1000</f>
        <v>118040</v>
      </c>
      <c r="I14" s="19" t="n">
        <f aca="false">SUMIFS('Asset Value'!$F$4:$F$102,'Asset Value'!$B$4:$B$102,Register!I$3,'Asset Value'!$C$4:$C$102,Register!$C14)/1000</f>
        <v>142170</v>
      </c>
      <c r="J14" s="19" t="n">
        <f aca="false">SUMIFS('Asset Value'!$F$4:$F$102,'Asset Value'!$B$4:$B$102,Register!J$3,'Asset Value'!$C$4:$C$102,Register!$C14)/1000</f>
        <v>172970</v>
      </c>
      <c r="K14" s="19" t="n">
        <f aca="false">SUMIFS('Asset Value'!$F$4:$F$102,'Asset Value'!$B$4:$B$102,Register!K$3,'Asset Value'!$C$4:$C$102,Register!$C14)/1000</f>
        <v>197471</v>
      </c>
      <c r="L14" s="19" t="n">
        <f aca="false">SUMIFS('Asset Value'!$F$4:$F$102,'Asset Value'!$B$4:$B$102,Register!L$3,'Asset Value'!$C$4:$C$102,Register!$C14)/1000</f>
        <v>220203</v>
      </c>
      <c r="M14" s="19" t="n">
        <f aca="false">SUMIFS('Asset Value'!$F$4:$F$102,'Asset Value'!$B$4:$B$102,Register!M$3,'Asset Value'!$C$4:$C$102,Register!$C14)/1000</f>
        <v>229674</v>
      </c>
      <c r="N14" s="20" t="n">
        <f aca="false">SUMIFS('Asset Value'!$F$4:$F$102,'Asset Value'!$B$4:$B$102,Register!N$3,'Asset Value'!$C$4:$C$102,Register!$C14)/1000</f>
        <v>234550</v>
      </c>
    </row>
    <row r="15" customFormat="false" ht="15" hidden="false" customHeight="false" outlineLevel="0" collapsed="false">
      <c r="B15" s="16"/>
      <c r="C15" s="17"/>
      <c r="D15" s="17"/>
      <c r="E15" s="17"/>
      <c r="F15" s="21" t="s">
        <v>44</v>
      </c>
      <c r="H15" s="22" t="n">
        <f aca="false">H14/G14-1</f>
        <v>0.103796521413877</v>
      </c>
      <c r="I15" s="22" t="n">
        <f aca="false">I14/H14-1</f>
        <v>0.204422229752626</v>
      </c>
      <c r="J15" s="22" t="n">
        <f aca="false">J14/I14-1</f>
        <v>0.216642048252093</v>
      </c>
      <c r="K15" s="22" t="n">
        <f aca="false">K14/J14-1</f>
        <v>0.141648840839452</v>
      </c>
      <c r="L15" s="22" t="n">
        <f aca="false">L14/K14-1</f>
        <v>0.115115637232809</v>
      </c>
      <c r="M15" s="22" t="n">
        <f aca="false">M14/L14-1</f>
        <v>0.0430103132109916</v>
      </c>
      <c r="N15" s="23" t="n">
        <f aca="false">N14/M14-1</f>
        <v>0.0212300913468655</v>
      </c>
    </row>
    <row r="16" customFormat="false" ht="15" hidden="false" customHeight="false" outlineLevel="0" collapsed="false">
      <c r="B16" s="16"/>
      <c r="C16" s="17"/>
      <c r="D16" s="17"/>
      <c r="E16" s="17"/>
      <c r="F16" s="1" t="s">
        <v>45</v>
      </c>
      <c r="G16" s="24" t="n">
        <f aca="false">SUMIFS(Rent!$E$3:$E$110,Rent!$C$3:$C$110,Register!G$3,Rent!$D$3:$D$110,Register!$C14)/1000</f>
        <v>3727.49265</v>
      </c>
      <c r="H16" s="24" t="n">
        <f aca="false">SUMIFS(Rent!$E$3:$E$110,Rent!$C$3:$C$110,Register!H$3,Rent!$D$3:$D$110,Register!$C14)/1000</f>
        <v>3502.9449</v>
      </c>
      <c r="I16" s="24" t="n">
        <f aca="false">SUMIFS(Rent!$E$3:$E$110,Rent!$C$3:$C$110,Register!I$3,Rent!$D$3:$D$110,Register!$C14)/1000</f>
        <v>3907.13085</v>
      </c>
      <c r="J16" s="24" t="n">
        <f aca="false">SUMIFS(Rent!$E$3:$E$110,Rent!$C$3:$C$110,Register!J$3,Rent!$D$3:$D$110,Register!$C14)/1000</f>
        <v>4417.44924</v>
      </c>
      <c r="K16" s="24" t="n">
        <f aca="false">SUMIFS(Rent!$E$3:$E$110,Rent!$C$3:$C$110,Register!K$3,Rent!$D$3:$D$110,Register!$C14)/1000</f>
        <v>9821</v>
      </c>
      <c r="L16" s="24" t="n">
        <f aca="false">SUMIFS(Rent!$E$3:$E$110,Rent!$C$3:$C$110,Register!L$3,Rent!$D$3:$D$110,Register!$C14)/1000</f>
        <v>7371</v>
      </c>
      <c r="M16" s="24" t="n">
        <f aca="false">SUMIFS(Rent!$E$3:$E$110,Rent!$C$3:$C$110,Register!M$3,Rent!$D$3:$D$110,Register!$C14)/1000</f>
        <v>8241</v>
      </c>
      <c r="N16" s="25" t="n">
        <f aca="false">SUMIFS(Rent!$E$3:$E$110,Rent!$C$3:$C$110,Register!N$3,Rent!$D$3:$D$110,Register!$C14)/1000</f>
        <v>8398</v>
      </c>
    </row>
    <row r="17" customFormat="false" ht="15" hidden="false" customHeight="false" outlineLevel="0" collapsed="false">
      <c r="B17" s="16"/>
      <c r="C17" s="17"/>
      <c r="D17" s="17"/>
      <c r="E17" s="17"/>
      <c r="F17" s="21" t="s">
        <v>44</v>
      </c>
      <c r="H17" s="22" t="n">
        <f aca="false">H16/G16-1</f>
        <v>-0.0602409638554217</v>
      </c>
      <c r="I17" s="22" t="n">
        <f aca="false">I16/H16-1</f>
        <v>0.115384615384615</v>
      </c>
      <c r="J17" s="22" t="n">
        <f aca="false">J16/I16-1</f>
        <v>0.130612055135036</v>
      </c>
      <c r="K17" s="22" t="n">
        <f aca="false">K16/J16-1</f>
        <v>1.22322871558339</v>
      </c>
      <c r="L17" s="22" t="n">
        <f aca="false">L16/K16-1</f>
        <v>-0.249465431218817</v>
      </c>
      <c r="M17" s="22" t="n">
        <f aca="false">M16/L16-1</f>
        <v>0.118030118030118</v>
      </c>
      <c r="N17" s="23" t="n">
        <f aca="false">N16/M16-1</f>
        <v>0.0190510860332485</v>
      </c>
    </row>
    <row r="18" customFormat="false" ht="15" hidden="false" customHeight="false" outlineLevel="0" collapsed="false">
      <c r="B18" s="16"/>
      <c r="C18" s="17"/>
      <c r="D18" s="17"/>
      <c r="E18" s="17"/>
      <c r="F18" s="26" t="s">
        <v>46</v>
      </c>
      <c r="G18" s="27" t="n">
        <f aca="false">G16/G14</f>
        <v>0.0348559252852067</v>
      </c>
      <c r="H18" s="27" t="n">
        <f aca="false">H16/H14</f>
        <v>0.0296759140969163</v>
      </c>
      <c r="I18" s="27" t="n">
        <f aca="false">I16/I14</f>
        <v>0.0274821048744461</v>
      </c>
      <c r="J18" s="27" t="n">
        <f aca="false">J16/J14</f>
        <v>0.0255388173671735</v>
      </c>
      <c r="K18" s="27" t="n">
        <f aca="false">K16/K14</f>
        <v>0.0497338849755154</v>
      </c>
      <c r="L18" s="27" t="n">
        <f aca="false">L16/L14</f>
        <v>0.0334736583970246</v>
      </c>
      <c r="M18" s="27" t="n">
        <f aca="false">M16/M14</f>
        <v>0.0358812926147496</v>
      </c>
      <c r="N18" s="28" t="n">
        <f aca="false">N16/N14</f>
        <v>0.0358047324664251</v>
      </c>
    </row>
    <row r="19" customFormat="false" ht="15" hidden="false" customHeight="false" outlineLevel="0" collapsed="false">
      <c r="B19" s="16" t="n">
        <v>82</v>
      </c>
      <c r="C19" s="17" t="s">
        <v>22</v>
      </c>
      <c r="D19" s="17" t="s">
        <v>51</v>
      </c>
      <c r="E19" s="17" t="s">
        <v>52</v>
      </c>
      <c r="F19" s="18" t="s">
        <v>43</v>
      </c>
      <c r="G19" s="19" t="n">
        <f aca="false">SUMIFS('Asset Value'!$F$4:$F$102,'Asset Value'!$B$4:$B$102,Register!G$3,'Asset Value'!$C$4:$C$102,Register!$C19)/1000</f>
        <v>75090</v>
      </c>
      <c r="H19" s="19" t="n">
        <f aca="false">SUMIFS('Asset Value'!$F$4:$F$102,'Asset Value'!$B$4:$B$102,Register!H$3,'Asset Value'!$C$4:$C$102,Register!$C19)/1000</f>
        <v>86360</v>
      </c>
      <c r="I19" s="19" t="n">
        <f aca="false">SUMIFS('Asset Value'!$F$4:$F$102,'Asset Value'!$B$4:$B$102,Register!I$3,'Asset Value'!$C$4:$C$102,Register!$C19)/1000</f>
        <v>102810</v>
      </c>
      <c r="J19" s="19" t="n">
        <f aca="false">SUMIFS('Asset Value'!$F$4:$F$102,'Asset Value'!$B$4:$B$102,Register!J$3,'Asset Value'!$C$4:$C$102,Register!$C19)/1000</f>
        <v>146710</v>
      </c>
      <c r="K19" s="19" t="n">
        <f aca="false">SUMIFS('Asset Value'!$F$4:$F$102,'Asset Value'!$B$4:$B$102,Register!K$3,'Asset Value'!$C$4:$C$102,Register!$C19)/1000</f>
        <v>167470</v>
      </c>
      <c r="L19" s="19" t="n">
        <f aca="false">SUMIFS('Asset Value'!$F$4:$F$102,'Asset Value'!$B$4:$B$102,Register!L$3,'Asset Value'!$C$4:$C$102,Register!$C19)/1000</f>
        <v>145456</v>
      </c>
      <c r="M19" s="19" t="n">
        <f aca="false">SUMIFS('Asset Value'!$F$4:$F$102,'Asset Value'!$B$4:$B$102,Register!M$3,'Asset Value'!$C$4:$C$102,Register!$C19)/1000</f>
        <v>156350</v>
      </c>
      <c r="N19" s="20" t="n">
        <f aca="false">SUMIFS('Asset Value'!$F$4:$F$102,'Asset Value'!$B$4:$B$102,Register!N$3,'Asset Value'!$C$4:$C$102,Register!$C19)/1000</f>
        <v>166430</v>
      </c>
    </row>
    <row r="20" customFormat="false" ht="15" hidden="false" customHeight="false" outlineLevel="0" collapsed="false">
      <c r="B20" s="16"/>
      <c r="C20" s="17"/>
      <c r="D20" s="17"/>
      <c r="E20" s="17"/>
      <c r="F20" s="21" t="s">
        <v>44</v>
      </c>
      <c r="H20" s="22" t="n">
        <f aca="false">H19/G19-1</f>
        <v>0.150086562791317</v>
      </c>
      <c r="I20" s="22" t="n">
        <f aca="false">I19/H19-1</f>
        <v>0.190481704492821</v>
      </c>
      <c r="J20" s="22" t="n">
        <f aca="false">J19/I19-1</f>
        <v>0.427001264468437</v>
      </c>
      <c r="K20" s="22" t="n">
        <f aca="false">K19/J19-1</f>
        <v>0.141503646649853</v>
      </c>
      <c r="L20" s="22" t="n">
        <f aca="false">L19/K19-1</f>
        <v>-0.131450409028483</v>
      </c>
      <c r="M20" s="22" t="n">
        <f aca="false">M19/L19-1</f>
        <v>0.0748955010449897</v>
      </c>
      <c r="N20" s="23" t="n">
        <f aca="false">N19/M19-1</f>
        <v>0.0644707387272145</v>
      </c>
    </row>
    <row r="21" customFormat="false" ht="15" hidden="false" customHeight="false" outlineLevel="0" collapsed="false">
      <c r="B21" s="16"/>
      <c r="C21" s="17"/>
      <c r="D21" s="17"/>
      <c r="E21" s="17"/>
      <c r="F21" s="1" t="s">
        <v>45</v>
      </c>
      <c r="G21" s="24" t="n">
        <f aca="false">SUMIFS(Rent!$E$3:$E$110,Rent!$C$3:$C$110,Register!G$3,Rent!$D$3:$D$110,Register!$C19)/1000</f>
        <v>2181.24</v>
      </c>
      <c r="H21" s="24" t="n">
        <f aca="false">SUMIFS(Rent!$E$3:$E$110,Rent!$C$3:$C$110,Register!H$3,Rent!$D$3:$D$110,Register!$C19)/1000</f>
        <v>2049.84</v>
      </c>
      <c r="I21" s="24" t="n">
        <f aca="false">SUMIFS(Rent!$E$3:$E$110,Rent!$C$3:$C$110,Register!I$3,Rent!$D$3:$D$110,Register!$C19)/1000</f>
        <v>2897.28</v>
      </c>
      <c r="J21" s="24" t="n">
        <f aca="false">SUMIFS(Rent!$E$3:$E$110,Rent!$C$3:$C$110,Register!J$3,Rent!$D$3:$D$110,Register!$C19)/1000</f>
        <v>3924.8868575</v>
      </c>
      <c r="K21" s="24" t="n">
        <f aca="false">SUMIFS(Rent!$E$3:$E$110,Rent!$C$3:$C$110,Register!K$3,Rent!$D$3:$D$110,Register!$C19)/1000</f>
        <v>7989</v>
      </c>
      <c r="L21" s="24" t="n">
        <f aca="false">SUMIFS(Rent!$E$3:$E$110,Rent!$C$3:$C$110,Register!L$3,Rent!$D$3:$D$110,Register!$C19)/1000</f>
        <v>5372</v>
      </c>
      <c r="M21" s="24" t="n">
        <f aca="false">SUMIFS(Rent!$E$3:$E$110,Rent!$C$3:$C$110,Register!M$3,Rent!$D$3:$D$110,Register!$C19)/1000</f>
        <v>5792</v>
      </c>
      <c r="N21" s="25" t="n">
        <f aca="false">SUMIFS(Rent!$E$3:$E$110,Rent!$C$3:$C$110,Register!N$3,Rent!$D$3:$D$110,Register!$C19)/1000</f>
        <v>6119</v>
      </c>
    </row>
    <row r="22" customFormat="false" ht="15" hidden="false" customHeight="false" outlineLevel="0" collapsed="false">
      <c r="B22" s="16"/>
      <c r="C22" s="17"/>
      <c r="D22" s="17"/>
      <c r="E22" s="17"/>
      <c r="F22" s="21" t="s">
        <v>44</v>
      </c>
      <c r="H22" s="22" t="n">
        <f aca="false">H21/G21-1</f>
        <v>-0.0602409638554216</v>
      </c>
      <c r="I22" s="22" t="n">
        <f aca="false">I21/H21-1</f>
        <v>0.413417632595715</v>
      </c>
      <c r="J22" s="22" t="n">
        <f aca="false">J21/I21-1</f>
        <v>0.354679857487022</v>
      </c>
      <c r="K22" s="22" t="n">
        <f aca="false">K21/J21-1</f>
        <v>1.03547268750791</v>
      </c>
      <c r="L22" s="22" t="n">
        <f aca="false">L21/K21-1</f>
        <v>-0.327575416197271</v>
      </c>
      <c r="M22" s="22" t="n">
        <f aca="false">M21/L21-1</f>
        <v>0.0781831720029784</v>
      </c>
      <c r="N22" s="23" t="n">
        <f aca="false">N21/M21-1</f>
        <v>0.0564571823204421</v>
      </c>
    </row>
    <row r="23" customFormat="false" ht="15" hidden="false" customHeight="false" outlineLevel="0" collapsed="false">
      <c r="B23" s="16"/>
      <c r="C23" s="17"/>
      <c r="D23" s="17"/>
      <c r="E23" s="17"/>
      <c r="F23" s="26" t="s">
        <v>46</v>
      </c>
      <c r="G23" s="27" t="n">
        <f aca="false">G21/G19</f>
        <v>0.0290483419896125</v>
      </c>
      <c r="H23" s="27" t="n">
        <f aca="false">H21/H19</f>
        <v>0.0237359888837425</v>
      </c>
      <c r="I23" s="27" t="n">
        <f aca="false">I21/I19</f>
        <v>0.0281809162532828</v>
      </c>
      <c r="J23" s="27" t="n">
        <f aca="false">J21/J19</f>
        <v>0.0267526880069525</v>
      </c>
      <c r="K23" s="27" t="n">
        <f aca="false">K21/K19</f>
        <v>0.0477040663999522</v>
      </c>
      <c r="L23" s="27" t="n">
        <f aca="false">L21/L19</f>
        <v>0.0369321306786932</v>
      </c>
      <c r="M23" s="27" t="n">
        <f aca="false">M21/M19</f>
        <v>0.0370450911416693</v>
      </c>
      <c r="N23" s="28" t="n">
        <f aca="false">N21/N19</f>
        <v>0.0367662080153818</v>
      </c>
    </row>
    <row r="24" customFormat="false" ht="15" hidden="false" customHeight="false" outlineLevel="0" collapsed="false">
      <c r="B24" s="16" t="n">
        <v>82</v>
      </c>
      <c r="C24" s="17" t="s">
        <v>23</v>
      </c>
      <c r="D24" s="17" t="s">
        <v>51</v>
      </c>
      <c r="E24" s="17" t="s">
        <v>53</v>
      </c>
      <c r="F24" s="18" t="s">
        <v>43</v>
      </c>
      <c r="G24" s="19" t="n">
        <f aca="false">SUMIFS('Asset Value'!$F$4:$F$102,'Asset Value'!$B$4:$B$102,Register!G$3,'Asset Value'!$C$4:$C$102,Register!$C24)/1000</f>
        <v>58920</v>
      </c>
      <c r="H24" s="19" t="n">
        <f aca="false">SUMIFS('Asset Value'!$F$4:$F$102,'Asset Value'!$B$4:$B$102,Register!H$3,'Asset Value'!$C$4:$C$102,Register!$C24)/1000</f>
        <v>94840</v>
      </c>
      <c r="I24" s="19" t="n">
        <f aca="false">SUMIFS('Asset Value'!$F$4:$F$102,'Asset Value'!$B$4:$B$102,Register!I$3,'Asset Value'!$C$4:$C$102,Register!$C24)/1000</f>
        <v>81810</v>
      </c>
      <c r="J24" s="19" t="n">
        <f aca="false">SUMIFS('Asset Value'!$F$4:$F$102,'Asset Value'!$B$4:$B$102,Register!J$3,'Asset Value'!$C$4:$C$102,Register!$C24)/1000</f>
        <v>117020</v>
      </c>
      <c r="K24" s="19" t="n">
        <f aca="false">SUMIFS('Asset Value'!$F$4:$F$102,'Asset Value'!$B$4:$B$102,Register!K$3,'Asset Value'!$C$4:$C$102,Register!$C24)/1000</f>
        <v>133583</v>
      </c>
      <c r="L24" s="19" t="n">
        <f aca="false">SUMIFS('Asset Value'!$F$4:$F$102,'Asset Value'!$B$4:$B$102,Register!L$3,'Asset Value'!$C$4:$C$102,Register!$C24)/1000</f>
        <v>176404</v>
      </c>
      <c r="M24" s="19" t="n">
        <f aca="false">SUMIFS('Asset Value'!$F$4:$F$102,'Asset Value'!$B$4:$B$102,Register!M$3,'Asset Value'!$C$4:$C$102,Register!$C24)/1000</f>
        <v>198210</v>
      </c>
      <c r="N24" s="20" t="n">
        <f aca="false">SUMIFS('Asset Value'!$F$4:$F$102,'Asset Value'!$B$4:$B$102,Register!N$3,'Asset Value'!$C$4:$C$102,Register!$C24)/1000</f>
        <v>222860</v>
      </c>
    </row>
    <row r="25" customFormat="false" ht="15" hidden="false" customHeight="false" outlineLevel="0" collapsed="false">
      <c r="B25" s="16"/>
      <c r="C25" s="17"/>
      <c r="D25" s="17"/>
      <c r="E25" s="17"/>
      <c r="F25" s="21" t="s">
        <v>44</v>
      </c>
      <c r="H25" s="22" t="n">
        <f aca="false">H24/G24-1</f>
        <v>0.609640190088255</v>
      </c>
      <c r="I25" s="22" t="n">
        <f aca="false">I24/H24-1</f>
        <v>-0.137389287220582</v>
      </c>
      <c r="J25" s="22" t="n">
        <f aca="false">J24/I24-1</f>
        <v>0.430387483192764</v>
      </c>
      <c r="K25" s="22" t="n">
        <f aca="false">K24/J24-1</f>
        <v>0.141539907708084</v>
      </c>
      <c r="L25" s="22" t="n">
        <f aca="false">L24/K24-1</f>
        <v>0.320557256537134</v>
      </c>
      <c r="M25" s="22" t="n">
        <f aca="false">M24/L24-1</f>
        <v>0.123613977007324</v>
      </c>
      <c r="N25" s="23" t="n">
        <f aca="false">N24/M24-1</f>
        <v>0.124363049291156</v>
      </c>
    </row>
    <row r="26" customFormat="false" ht="15" hidden="false" customHeight="false" outlineLevel="0" collapsed="false">
      <c r="B26" s="16"/>
      <c r="C26" s="17"/>
      <c r="D26" s="17"/>
      <c r="E26" s="17"/>
      <c r="F26" s="1" t="s">
        <v>45</v>
      </c>
      <c r="G26" s="24" t="n">
        <f aca="false">SUMIFS(Rent!$E$3:$E$110,Rent!$C$3:$C$110,Register!G$3,Rent!$D$3:$D$110,Register!$C24)/1000</f>
        <v>0</v>
      </c>
      <c r="H26" s="24" t="n">
        <f aca="false">SUMIFS(Rent!$E$3:$E$110,Rent!$C$3:$C$110,Register!H$3,Rent!$D$3:$D$110,Register!$C24)/1000</f>
        <v>0</v>
      </c>
      <c r="I26" s="24" t="n">
        <f aca="false">SUMIFS(Rent!$E$3:$E$110,Rent!$C$3:$C$110,Register!I$3,Rent!$D$3:$D$110,Register!$C24)/1000</f>
        <v>455</v>
      </c>
      <c r="J26" s="24" t="n">
        <f aca="false">SUMIFS(Rent!$E$3:$E$110,Rent!$C$3:$C$110,Register!J$3,Rent!$D$3:$D$110,Register!$C24)/1000</f>
        <v>2193.42048</v>
      </c>
      <c r="K26" s="24" t="n">
        <f aca="false">SUMIFS(Rent!$E$3:$E$110,Rent!$C$3:$C$110,Register!K$3,Rent!$D$3:$D$110,Register!$C24)/1000</f>
        <v>3466</v>
      </c>
      <c r="L26" s="24" t="n">
        <f aca="false">SUMIFS(Rent!$E$3:$E$110,Rent!$C$3:$C$110,Register!L$3,Rent!$D$3:$D$110,Register!$C24)/1000</f>
        <v>2818</v>
      </c>
      <c r="M26" s="24" t="n">
        <f aca="false">SUMIFS(Rent!$E$3:$E$110,Rent!$C$3:$C$110,Register!M$3,Rent!$D$3:$D$110,Register!$C24)/1000</f>
        <v>3235</v>
      </c>
      <c r="N26" s="25" t="n">
        <f aca="false">SUMIFS(Rent!$E$3:$E$110,Rent!$C$3:$C$110,Register!N$3,Rent!$D$3:$D$110,Register!$C24)/1000</f>
        <v>3602</v>
      </c>
    </row>
    <row r="27" customFormat="false" ht="15" hidden="false" customHeight="false" outlineLevel="0" collapsed="false">
      <c r="B27" s="16"/>
      <c r="C27" s="17"/>
      <c r="D27" s="17"/>
      <c r="E27" s="17"/>
      <c r="F27" s="21" t="s">
        <v>44</v>
      </c>
      <c r="H27" s="22" t="e">
        <f aca="false">H26/G26-1</f>
        <v>#DIV/0!</v>
      </c>
      <c r="I27" s="22" t="e">
        <f aca="false">I26/H26-1</f>
        <v>#DIV/0!</v>
      </c>
      <c r="J27" s="22" t="n">
        <f aca="false">J26/I26-1</f>
        <v>3.82070435164835</v>
      </c>
      <c r="K27" s="22" t="n">
        <f aca="false">K26/J26-1</f>
        <v>0.580180376541392</v>
      </c>
      <c r="L27" s="22" t="n">
        <f aca="false">L26/K26-1</f>
        <v>-0.186959030582804</v>
      </c>
      <c r="M27" s="22" t="n">
        <f aca="false">M26/L26-1</f>
        <v>0.147977288857346</v>
      </c>
      <c r="N27" s="23" t="n">
        <f aca="false">N26/M26-1</f>
        <v>0.113446676970634</v>
      </c>
    </row>
    <row r="28" customFormat="false" ht="15" hidden="false" customHeight="false" outlineLevel="0" collapsed="false">
      <c r="B28" s="16"/>
      <c r="C28" s="17"/>
      <c r="D28" s="17"/>
      <c r="E28" s="17"/>
      <c r="F28" s="26" t="s">
        <v>46</v>
      </c>
      <c r="G28" s="27" t="n">
        <f aca="false">G26/G24</f>
        <v>0</v>
      </c>
      <c r="H28" s="27" t="n">
        <f aca="false">H26/H24</f>
        <v>0</v>
      </c>
      <c r="I28" s="27" t="n">
        <f aca="false">I26/I24</f>
        <v>0.0055616672778389</v>
      </c>
      <c r="J28" s="27" t="n">
        <f aca="false">J26/J24</f>
        <v>0.0187439794906854</v>
      </c>
      <c r="K28" s="27" t="n">
        <f aca="false">K26/K24</f>
        <v>0.0259464153372809</v>
      </c>
      <c r="L28" s="27" t="n">
        <f aca="false">L26/L24</f>
        <v>0.015974694451373</v>
      </c>
      <c r="M28" s="27" t="n">
        <f aca="false">M26/M24</f>
        <v>0.0163210736087988</v>
      </c>
      <c r="N28" s="28" t="n">
        <f aca="false">N26/N24</f>
        <v>0.0161626132998295</v>
      </c>
    </row>
    <row r="29" customFormat="false" ht="15" hidden="false" customHeight="false" outlineLevel="0" collapsed="false">
      <c r="B29" s="16" t="n">
        <v>82</v>
      </c>
      <c r="C29" s="17" t="s">
        <v>24</v>
      </c>
      <c r="D29" s="17" t="s">
        <v>51</v>
      </c>
      <c r="E29" s="17" t="s">
        <v>54</v>
      </c>
      <c r="F29" s="18" t="s">
        <v>43</v>
      </c>
      <c r="G29" s="19" t="n">
        <f aca="false">SUMIFS('Asset Value'!$F$4:$F$102,'Asset Value'!$B$4:$B$102,Register!G$3,'Asset Value'!$C$4:$C$102,Register!$C29)/1000</f>
        <v>0</v>
      </c>
      <c r="H29" s="19" t="n">
        <f aca="false">SUMIFS('Asset Value'!$F$4:$F$102,'Asset Value'!$B$4:$B$102,Register!H$3,'Asset Value'!$C$4:$C$102,Register!$C29)/1000</f>
        <v>22780</v>
      </c>
      <c r="I29" s="19" t="n">
        <f aca="false">SUMIFS('Asset Value'!$F$4:$F$102,'Asset Value'!$B$4:$B$102,Register!I$3,'Asset Value'!$C$4:$C$102,Register!$C29)/1000</f>
        <v>46320</v>
      </c>
      <c r="J29" s="19" t="n">
        <f aca="false">SUMIFS('Asset Value'!$F$4:$F$102,'Asset Value'!$B$4:$B$102,Register!J$3,'Asset Value'!$C$4:$C$102,Register!$C29)/1000</f>
        <v>83990</v>
      </c>
      <c r="K29" s="19" t="n">
        <f aca="false">SUMIFS('Asset Value'!$F$4:$F$102,'Asset Value'!$B$4:$B$102,Register!K$3,'Asset Value'!$C$4:$C$102,Register!$C29)/1000</f>
        <v>102260</v>
      </c>
      <c r="L29" s="19" t="n">
        <f aca="false">SUMIFS('Asset Value'!$F$4:$F$102,'Asset Value'!$B$4:$B$102,Register!L$3,'Asset Value'!$C$4:$C$102,Register!$C29)/1000</f>
        <v>173185</v>
      </c>
      <c r="M29" s="19" t="n">
        <f aca="false">SUMIFS('Asset Value'!$F$4:$F$102,'Asset Value'!$B$4:$B$102,Register!M$3,'Asset Value'!$C$4:$C$102,Register!$C29)/1000</f>
        <v>183096</v>
      </c>
      <c r="N29" s="20" t="n">
        <f aca="false">SUMIFS('Asset Value'!$F$4:$F$102,'Asset Value'!$B$4:$B$102,Register!N$3,'Asset Value'!$C$4:$C$102,Register!$C29)/1000</f>
        <v>187600</v>
      </c>
    </row>
    <row r="30" customFormat="false" ht="15" hidden="false" customHeight="false" outlineLevel="0" collapsed="false">
      <c r="B30" s="16"/>
      <c r="C30" s="17"/>
      <c r="D30" s="17"/>
      <c r="E30" s="17"/>
      <c r="F30" s="21" t="s">
        <v>44</v>
      </c>
      <c r="H30" s="22" t="e">
        <f aca="false">H29/G29-1</f>
        <v>#DIV/0!</v>
      </c>
      <c r="I30" s="22" t="n">
        <f aca="false">I29/H29-1</f>
        <v>1.03336259877085</v>
      </c>
      <c r="J30" s="22" t="n">
        <f aca="false">J29/I29-1</f>
        <v>0.81325561312608</v>
      </c>
      <c r="K30" s="22" t="n">
        <f aca="false">K29/J29-1</f>
        <v>0.217525895939993</v>
      </c>
      <c r="L30" s="22" t="n">
        <f aca="false">L29/K29-1</f>
        <v>0.693575200469392</v>
      </c>
      <c r="M30" s="22" t="n">
        <f aca="false">M29/L29-1</f>
        <v>0.057227819961313</v>
      </c>
      <c r="N30" s="23" t="n">
        <f aca="false">N29/M29-1</f>
        <v>0.0245991174028926</v>
      </c>
    </row>
    <row r="31" customFormat="false" ht="15" hidden="false" customHeight="false" outlineLevel="0" collapsed="false">
      <c r="B31" s="16"/>
      <c r="C31" s="17"/>
      <c r="D31" s="17"/>
      <c r="E31" s="17"/>
      <c r="F31" s="1" t="s">
        <v>45</v>
      </c>
      <c r="G31" s="24" t="n">
        <f aca="false">SUMIFS(Rent!$E$3:$E$110,Rent!$C$3:$C$110,Register!G$3,Rent!$D$3:$D$110,Register!$C29)/1000</f>
        <v>565.677</v>
      </c>
      <c r="H31" s="24" t="n">
        <f aca="false">SUMIFS(Rent!$E$3:$E$110,Rent!$C$3:$C$110,Register!H$3,Rent!$D$3:$D$110,Register!$C29)/1000</f>
        <v>1155.04272</v>
      </c>
      <c r="I31" s="24" t="n">
        <f aca="false">SUMIFS(Rent!$E$3:$E$110,Rent!$C$3:$C$110,Register!I$3,Rent!$D$3:$D$110,Register!$C29)/1000</f>
        <v>2568.87</v>
      </c>
      <c r="J31" s="24" t="n">
        <f aca="false">SUMIFS(Rent!$E$3:$E$110,Rent!$C$3:$C$110,Register!J$3,Rent!$D$3:$D$110,Register!$C29)/1000</f>
        <v>4695.29248</v>
      </c>
      <c r="K31" s="24" t="n">
        <f aca="false">SUMIFS(Rent!$E$3:$E$110,Rent!$C$3:$C$110,Register!K$3,Rent!$D$3:$D$110,Register!$C29)/1000</f>
        <v>7902</v>
      </c>
      <c r="L31" s="24" t="n">
        <f aca="false">SUMIFS(Rent!$E$3:$E$110,Rent!$C$3:$C$110,Register!L$3,Rent!$D$3:$D$110,Register!$C29)/1000</f>
        <v>7315</v>
      </c>
      <c r="M31" s="24" t="n">
        <f aca="false">SUMIFS(Rent!$E$3:$E$110,Rent!$C$3:$C$110,Register!M$3,Rent!$D$3:$D$110,Register!$C29)/1000</f>
        <v>7608</v>
      </c>
      <c r="N31" s="25" t="n">
        <f aca="false">SUMIFS(Rent!$E$3:$E$110,Rent!$C$3:$C$110,Register!N$3,Rent!$D$3:$D$110,Register!$C29)/1000</f>
        <v>10130</v>
      </c>
    </row>
    <row r="32" customFormat="false" ht="15" hidden="false" customHeight="false" outlineLevel="0" collapsed="false">
      <c r="B32" s="16"/>
      <c r="C32" s="17"/>
      <c r="D32" s="17"/>
      <c r="E32" s="17"/>
      <c r="F32" s="21" t="s">
        <v>44</v>
      </c>
      <c r="H32" s="22" t="n">
        <f aca="false">H31/G31-1</f>
        <v>1.04187676005919</v>
      </c>
      <c r="I32" s="22" t="n">
        <f aca="false">I31/H31-1</f>
        <v>1.22404760925206</v>
      </c>
      <c r="J32" s="22" t="n">
        <f aca="false">J31/I31-1</f>
        <v>0.827765702429473</v>
      </c>
      <c r="K32" s="22" t="n">
        <f aca="false">K31/J31-1</f>
        <v>0.682962250735017</v>
      </c>
      <c r="L32" s="22" t="n">
        <f aca="false">L31/K31-1</f>
        <v>-0.0742849911414831</v>
      </c>
      <c r="M32" s="22" t="n">
        <f aca="false">M31/L31-1</f>
        <v>0.0400546821599452</v>
      </c>
      <c r="N32" s="23" t="n">
        <f aca="false">N31/M31-1</f>
        <v>0.33149316508938</v>
      </c>
    </row>
    <row r="33" customFormat="false" ht="15" hidden="false" customHeight="false" outlineLevel="0" collapsed="false">
      <c r="B33" s="16"/>
      <c r="C33" s="17"/>
      <c r="D33" s="17"/>
      <c r="E33" s="17"/>
      <c r="F33" s="26" t="s">
        <v>46</v>
      </c>
      <c r="G33" s="27" t="e">
        <f aca="false">G31/G29</f>
        <v>#DIV/0!</v>
      </c>
      <c r="H33" s="27" t="n">
        <f aca="false">H31/H29</f>
        <v>0.0507042458296752</v>
      </c>
      <c r="I33" s="27" t="n">
        <f aca="false">I31/I29</f>
        <v>0.0554591968911917</v>
      </c>
      <c r="J33" s="27" t="n">
        <f aca="false">J31/J29</f>
        <v>0.0559029941659721</v>
      </c>
      <c r="K33" s="27" t="n">
        <f aca="false">K31/K29</f>
        <v>0.0772736162722472</v>
      </c>
      <c r="L33" s="27" t="n">
        <f aca="false">L31/L29</f>
        <v>0.0422380691168404</v>
      </c>
      <c r="M33" s="27" t="n">
        <f aca="false">M31/M29</f>
        <v>0.0415519727356141</v>
      </c>
      <c r="N33" s="28" t="n">
        <f aca="false">N31/N29</f>
        <v>0.053997867803838</v>
      </c>
    </row>
    <row r="34" customFormat="false" ht="15" hidden="false" customHeight="false" outlineLevel="0" collapsed="false">
      <c r="B34" s="16" t="n">
        <v>114</v>
      </c>
      <c r="C34" s="17" t="s">
        <v>25</v>
      </c>
      <c r="D34" s="17" t="s">
        <v>49</v>
      </c>
      <c r="E34" s="17" t="s">
        <v>55</v>
      </c>
      <c r="F34" s="18" t="s">
        <v>43</v>
      </c>
      <c r="G34" s="19" t="n">
        <f aca="false">SUMIFS('Asset Value'!$F$4:$F$102,'Asset Value'!$B$4:$B$102,Register!G$3,'Asset Value'!$C$4:$C$102,Register!$C34)/1000</f>
        <v>156660</v>
      </c>
      <c r="H34" s="19" t="n">
        <f aca="false">SUMIFS('Asset Value'!$F$4:$F$102,'Asset Value'!$B$4:$B$102,Register!H$3,'Asset Value'!$C$4:$C$102,Register!$C34)/1000</f>
        <v>207350</v>
      </c>
      <c r="I34" s="19" t="n">
        <f aca="false">SUMIFS('Asset Value'!$F$4:$F$102,'Asset Value'!$B$4:$B$102,Register!I$3,'Asset Value'!$C$4:$C$102,Register!$C34)/1000</f>
        <v>199850</v>
      </c>
      <c r="J34" s="19" t="n">
        <f aca="false">SUMIFS('Asset Value'!$F$4:$F$102,'Asset Value'!$B$4:$B$102,Register!J$3,'Asset Value'!$C$4:$C$102,Register!$C34)/1000</f>
        <v>222570</v>
      </c>
      <c r="K34" s="19" t="n">
        <f aca="false">SUMIFS('Asset Value'!$F$4:$F$102,'Asset Value'!$B$4:$B$102,Register!K$3,'Asset Value'!$C$4:$C$102,Register!$C34)/1000</f>
        <v>262140</v>
      </c>
      <c r="L34" s="19" t="n">
        <f aca="false">SUMIFS('Asset Value'!$F$4:$F$102,'Asset Value'!$B$4:$B$102,Register!L$3,'Asset Value'!$C$4:$C$102,Register!$C34)/1000</f>
        <v>305364</v>
      </c>
      <c r="M34" s="19" t="n">
        <f aca="false">SUMIFS('Asset Value'!$F$4:$F$102,'Asset Value'!$B$4:$B$102,Register!M$3,'Asset Value'!$C$4:$C$102,Register!$C34)/1000</f>
        <v>346990</v>
      </c>
      <c r="N34" s="20" t="n">
        <f aca="false">SUMIFS('Asset Value'!$F$4:$F$102,'Asset Value'!$B$4:$B$102,Register!N$3,'Asset Value'!$C$4:$C$102,Register!$C34)/1000</f>
        <v>412090</v>
      </c>
    </row>
    <row r="35" customFormat="false" ht="15" hidden="false" customHeight="false" outlineLevel="0" collapsed="false">
      <c r="B35" s="16"/>
      <c r="C35" s="17"/>
      <c r="D35" s="17"/>
      <c r="E35" s="17"/>
      <c r="F35" s="21" t="s">
        <v>44</v>
      </c>
      <c r="H35" s="22" t="n">
        <f aca="false">H34/G34-1</f>
        <v>0.323566960296183</v>
      </c>
      <c r="I35" s="22" t="n">
        <f aca="false">I34/H34-1</f>
        <v>-0.0361707258258982</v>
      </c>
      <c r="J35" s="22" t="n">
        <f aca="false">J34/I34-1</f>
        <v>0.113685263947961</v>
      </c>
      <c r="K35" s="22" t="n">
        <f aca="false">K34/J34-1</f>
        <v>0.177786763714786</v>
      </c>
      <c r="L35" s="22" t="n">
        <f aca="false">L34/K34-1</f>
        <v>0.164888990615702</v>
      </c>
      <c r="M35" s="22" t="n">
        <f aca="false">M34/L34-1</f>
        <v>0.136316003196186</v>
      </c>
      <c r="N35" s="23" t="n">
        <f aca="false">N34/M34-1</f>
        <v>0.187613475892677</v>
      </c>
    </row>
    <row r="36" customFormat="false" ht="15" hidden="false" customHeight="false" outlineLevel="0" collapsed="false">
      <c r="B36" s="16"/>
      <c r="C36" s="17"/>
      <c r="D36" s="17"/>
      <c r="E36" s="17"/>
      <c r="F36" s="1" t="s">
        <v>45</v>
      </c>
      <c r="G36" s="24" t="n">
        <f aca="false">SUMIFS(Rent!$E$3:$E$110,Rent!$C$3:$C$110,Register!G$3,Rent!$D$3:$D$110,Register!$C34)/1000</f>
        <v>0</v>
      </c>
      <c r="H36" s="24" t="n">
        <f aca="false">SUMIFS(Rent!$E$3:$E$110,Rent!$C$3:$C$110,Register!H$3,Rent!$D$3:$D$110,Register!$C34)/1000</f>
        <v>0</v>
      </c>
      <c r="I36" s="24" t="n">
        <f aca="false">SUMIFS(Rent!$E$3:$E$110,Rent!$C$3:$C$110,Register!I$3,Rent!$D$3:$D$110,Register!$C34)/1000</f>
        <v>0</v>
      </c>
      <c r="J36" s="24" t="n">
        <f aca="false">SUMIFS(Rent!$E$3:$E$110,Rent!$C$3:$C$110,Register!J$3,Rent!$D$3:$D$110,Register!$C34)/1000</f>
        <v>0</v>
      </c>
      <c r="K36" s="24" t="n">
        <f aca="false">SUMIFS(Rent!$E$3:$E$110,Rent!$C$3:$C$110,Register!K$3,Rent!$D$3:$D$110,Register!$C34)/1000</f>
        <v>0</v>
      </c>
      <c r="L36" s="24" t="n">
        <f aca="false">SUMIFS(Rent!$E$3:$E$110,Rent!$C$3:$C$110,Register!L$3,Rent!$D$3:$D$110,Register!$C34)/1000</f>
        <v>0</v>
      </c>
      <c r="M36" s="24" t="n">
        <f aca="false">SUMIFS(Rent!$E$3:$E$110,Rent!$C$3:$C$110,Register!M$3,Rent!$D$3:$D$110,Register!$C34)/1000</f>
        <v>151</v>
      </c>
      <c r="N36" s="25" t="n">
        <f aca="false">SUMIFS(Rent!$E$3:$E$110,Rent!$C$3:$C$110,Register!N$3,Rent!$D$3:$D$110,Register!$C34)/1000</f>
        <v>159</v>
      </c>
    </row>
    <row r="37" customFormat="false" ht="15" hidden="false" customHeight="false" outlineLevel="0" collapsed="false">
      <c r="B37" s="16"/>
      <c r="C37" s="17"/>
      <c r="D37" s="17"/>
      <c r="E37" s="17"/>
      <c r="F37" s="21" t="s">
        <v>44</v>
      </c>
      <c r="H37" s="22" t="e">
        <f aca="false">H36/G36-1</f>
        <v>#DIV/0!</v>
      </c>
      <c r="I37" s="22" t="e">
        <f aca="false">I36/H36-1</f>
        <v>#DIV/0!</v>
      </c>
      <c r="J37" s="22" t="e">
        <f aca="false">J36/I36-1</f>
        <v>#DIV/0!</v>
      </c>
      <c r="K37" s="22" t="e">
        <f aca="false">K36/J36-1</f>
        <v>#DIV/0!</v>
      </c>
      <c r="L37" s="22" t="e">
        <f aca="false">L36/K36-1</f>
        <v>#DIV/0!</v>
      </c>
      <c r="M37" s="22" t="e">
        <f aca="false">M36/L36-1</f>
        <v>#DIV/0!</v>
      </c>
      <c r="N37" s="23" t="n">
        <f aca="false">N36/M36-1</f>
        <v>0.0529801324503312</v>
      </c>
    </row>
    <row r="38" customFormat="false" ht="15" hidden="false" customHeight="false" outlineLevel="0" collapsed="false">
      <c r="B38" s="16"/>
      <c r="C38" s="17"/>
      <c r="D38" s="17"/>
      <c r="E38" s="17"/>
      <c r="F38" s="26" t="s">
        <v>46</v>
      </c>
      <c r="G38" s="27" t="n">
        <f aca="false">G36/G34</f>
        <v>0</v>
      </c>
      <c r="H38" s="27" t="n">
        <f aca="false">H36/H34</f>
        <v>0</v>
      </c>
      <c r="I38" s="27" t="n">
        <f aca="false">I36/I34</f>
        <v>0</v>
      </c>
      <c r="J38" s="27" t="n">
        <f aca="false">J36/J34</f>
        <v>0</v>
      </c>
      <c r="K38" s="27" t="n">
        <f aca="false">K36/K34</f>
        <v>0</v>
      </c>
      <c r="L38" s="27" t="n">
        <f aca="false">L36/L34</f>
        <v>0</v>
      </c>
      <c r="M38" s="27" t="n">
        <f aca="false">M36/M34</f>
        <v>0.000435171042393153</v>
      </c>
      <c r="N38" s="28" t="n">
        <f aca="false">N36/N34</f>
        <v>0.000385838045087238</v>
      </c>
    </row>
    <row r="39" customFormat="false" ht="15" hidden="false" customHeight="false" outlineLevel="0" collapsed="false">
      <c r="B39" s="16" t="n">
        <v>64</v>
      </c>
      <c r="C39" s="17" t="s">
        <v>26</v>
      </c>
      <c r="D39" s="17" t="s">
        <v>56</v>
      </c>
      <c r="E39" s="17" t="s">
        <v>57</v>
      </c>
      <c r="F39" s="18" t="s">
        <v>43</v>
      </c>
      <c r="G39" s="19" t="n">
        <f aca="false">(SUMIFS('Asset Value'!$F$4:$F$102,'Asset Value'!$B$4:$B$102,Register!G$3,'Asset Value'!$C$4:$C$102,Register!$C39)/1000)+(G44)</f>
        <v>218840</v>
      </c>
      <c r="H39" s="19" t="n">
        <f aca="false">(SUMIFS('Asset Value'!$F$4:$F$102,'Asset Value'!$B$4:$B$102,Register!H$3,'Asset Value'!$C$4:$C$102,Register!$C39)/1000)+(H44)</f>
        <v>265050</v>
      </c>
      <c r="I39" s="19" t="n">
        <f aca="false">(SUMIFS('Asset Value'!$F$4:$F$102,'Asset Value'!$B$4:$B$102,Register!I$3,'Asset Value'!$C$4:$C$102,Register!$C39)/1000)+(I44)</f>
        <v>243950</v>
      </c>
      <c r="J39" s="19" t="n">
        <f aca="false">(SUMIFS('Asset Value'!$F$4:$F$102,'Asset Value'!$B$4:$B$102,Register!J$3,'Asset Value'!$C$4:$C$102,Register!$C39)/1000)+(J44)</f>
        <v>279570</v>
      </c>
      <c r="K39" s="19" t="n">
        <f aca="false">(SUMIFS('Asset Value'!$F$4:$F$102,'Asset Value'!$B$4:$B$102,Register!K$3,'Asset Value'!$C$4:$C$102,Register!$C39)/1000)+(K44)</f>
        <v>332180</v>
      </c>
      <c r="L39" s="19" t="n">
        <f aca="false">(SUMIFS('Asset Value'!$F$4:$F$102,'Asset Value'!$B$4:$B$102,Register!L$3,'Asset Value'!$C$4:$C$102,Register!$C39)/1000)+(L44)</f>
        <v>341232</v>
      </c>
      <c r="M39" s="19" t="n">
        <f aca="false">(SUMIFS('Asset Value'!$F$4:$F$102,'Asset Value'!$B$4:$B$102,Register!M$3,'Asset Value'!$C$4:$C$102,Register!$C39)/1000)+(M44)</f>
        <v>420555</v>
      </c>
      <c r="N39" s="20" t="n">
        <f aca="false">(SUMIFS('Asset Value'!$F$4:$F$102,'Asset Value'!$B$4:$B$102,Register!N$3,'Asset Value'!$C$4:$C$102,Register!$C39)/1000)+(N44)</f>
        <v>450910</v>
      </c>
    </row>
    <row r="40" customFormat="false" ht="15" hidden="false" customHeight="false" outlineLevel="0" collapsed="false">
      <c r="B40" s="16"/>
      <c r="C40" s="17"/>
      <c r="D40" s="17"/>
      <c r="E40" s="17"/>
      <c r="F40" s="21" t="s">
        <v>44</v>
      </c>
      <c r="H40" s="22" t="n">
        <f aca="false">H39/G39-1</f>
        <v>0.211158837506854</v>
      </c>
      <c r="I40" s="22" t="n">
        <f aca="false">I39/H39-1</f>
        <v>-0.0796076212035465</v>
      </c>
      <c r="J40" s="22" t="n">
        <f aca="false">J39/I39-1</f>
        <v>0.146013527362164</v>
      </c>
      <c r="K40" s="22" t="n">
        <f aca="false">K39/J39-1</f>
        <v>0.188181850699288</v>
      </c>
      <c r="L40" s="22" t="n">
        <f aca="false">L39/K39-1</f>
        <v>0.0272502859895238</v>
      </c>
      <c r="M40" s="22" t="n">
        <f aca="false">M39/L39-1</f>
        <v>0.232460613307075</v>
      </c>
      <c r="N40" s="23" t="n">
        <f aca="false">N39/M39-1</f>
        <v>0.0721784308829998</v>
      </c>
    </row>
    <row r="41" customFormat="false" ht="15" hidden="false" customHeight="false" outlineLevel="0" collapsed="false">
      <c r="B41" s="16"/>
      <c r="C41" s="17"/>
      <c r="D41" s="17"/>
      <c r="E41" s="17"/>
      <c r="F41" s="1" t="s">
        <v>45</v>
      </c>
      <c r="G41" s="24" t="n">
        <f aca="false">(SUMIFS(Rent!$E$3:$E$110,Rent!$C$3:$C$110,Register!G$3,Rent!$D$3:$D$110,Register!$C39)/1000)+(G46)</f>
        <v>7507.249555</v>
      </c>
      <c r="H41" s="24" t="n">
        <f aca="false">(SUMIFS(Rent!$E$3:$E$110,Rent!$C$3:$C$110,Register!H$3,Rent!$D$3:$D$110,Register!$C39)/1000)+(H46)</f>
        <v>7007.61131</v>
      </c>
      <c r="I41" s="24" t="n">
        <f aca="false">(SUMIFS(Rent!$E$3:$E$110,Rent!$C$3:$C$110,Register!I$3,Rent!$D$3:$D$110,Register!$C39)/1000)+(I46)</f>
        <v>8841.9566235</v>
      </c>
      <c r="J41" s="24" t="n">
        <f aca="false">(SUMIFS(Rent!$E$3:$E$110,Rent!$C$3:$C$110,Register!J$3,Rent!$D$3:$D$110,Register!$C39)/1000)+(J46)</f>
        <v>4976.6418</v>
      </c>
      <c r="K41" s="24" t="n">
        <f aca="false">(SUMIFS(Rent!$E$3:$E$110,Rent!$C$3:$C$110,Register!K$3,Rent!$D$3:$D$110,Register!$C39)/1000)+(K46)</f>
        <v>10538</v>
      </c>
      <c r="L41" s="24" t="n">
        <f aca="false">(SUMIFS(Rent!$E$3:$E$110,Rent!$C$3:$C$110,Register!L$3,Rent!$D$3:$D$110,Register!$C39)/1000)+(L46)</f>
        <v>9884</v>
      </c>
      <c r="M41" s="24" t="n">
        <f aca="false">(SUMIFS(Rent!$E$3:$E$110,Rent!$C$3:$C$110,Register!M$3,Rent!$D$3:$D$110,Register!$C39)/1000)+(M46)</f>
        <v>15146</v>
      </c>
      <c r="N41" s="25" t="n">
        <f aca="false">(SUMIFS(Rent!$E$3:$E$110,Rent!$C$3:$C$110,Register!N$3,Rent!$D$3:$D$110,Register!$C39)/1000)+(N46)</f>
        <v>17733</v>
      </c>
    </row>
    <row r="42" customFormat="false" ht="15" hidden="false" customHeight="false" outlineLevel="0" collapsed="false">
      <c r="B42" s="16"/>
      <c r="C42" s="17"/>
      <c r="D42" s="17"/>
      <c r="E42" s="17"/>
      <c r="F42" s="21" t="s">
        <v>44</v>
      </c>
      <c r="H42" s="22" t="n">
        <f aca="false">H41/G41-1</f>
        <v>-0.0665541009845914</v>
      </c>
      <c r="I42" s="22" t="n">
        <f aca="false">I41/H41-1</f>
        <v>0.261764705882353</v>
      </c>
      <c r="J42" s="22" t="n">
        <f aca="false">J41/I41-1</f>
        <v>-0.437156049061226</v>
      </c>
      <c r="K42" s="22" t="n">
        <f aca="false">K41/J41-1</f>
        <v>1.11749216107939</v>
      </c>
      <c r="L42" s="22" t="n">
        <f aca="false">L41/K41-1</f>
        <v>-0.0620611121654963</v>
      </c>
      <c r="M42" s="22" t="n">
        <f aca="false">M41/L41-1</f>
        <v>0.532375556454877</v>
      </c>
      <c r="N42" s="23" t="n">
        <f aca="false">N41/M41-1</f>
        <v>0.17080417271887</v>
      </c>
    </row>
    <row r="43" customFormat="false" ht="15" hidden="false" customHeight="false" outlineLevel="0" collapsed="false">
      <c r="B43" s="16"/>
      <c r="C43" s="17"/>
      <c r="D43" s="17"/>
      <c r="E43" s="17"/>
      <c r="F43" s="26" t="s">
        <v>46</v>
      </c>
      <c r="G43" s="27" t="n">
        <f aca="false">G41/G39</f>
        <v>0.0343047411579236</v>
      </c>
      <c r="H43" s="27" t="n">
        <f aca="false">H41/H39</f>
        <v>0.0264388278060743</v>
      </c>
      <c r="I43" s="27" t="n">
        <f aca="false">I41/I39</f>
        <v>0.0362449543902439</v>
      </c>
      <c r="J43" s="27" t="n">
        <f aca="false">J41/J39</f>
        <v>0.0178010580534392</v>
      </c>
      <c r="K43" s="27" t="n">
        <f aca="false">K41/K39</f>
        <v>0.0317237642242158</v>
      </c>
      <c r="L43" s="27" t="n">
        <f aca="false">L41/L39</f>
        <v>0.0289656304215314</v>
      </c>
      <c r="M43" s="27" t="n">
        <f aca="false">M41/M39</f>
        <v>0.0360143144178526</v>
      </c>
      <c r="N43" s="28" t="n">
        <f aca="false">N41/N39</f>
        <v>0.0393271384533499</v>
      </c>
    </row>
    <row r="44" customFormat="false" ht="15" hidden="true" customHeight="false" outlineLevel="0" collapsed="false">
      <c r="B44" s="16" t="n">
        <v>64</v>
      </c>
      <c r="C44" s="17" t="s">
        <v>27</v>
      </c>
      <c r="D44" s="17" t="s">
        <v>56</v>
      </c>
      <c r="E44" s="17" t="s">
        <v>57</v>
      </c>
      <c r="F44" s="18" t="s">
        <v>43</v>
      </c>
      <c r="G44" s="19" t="n">
        <f aca="false">SUMIFS('Asset Value'!$F$4:$F$102,'Asset Value'!$B$4:$B$102,Register!G$3,'Asset Value'!$C$4:$C$102,Register!$C44)/1000</f>
        <v>0</v>
      </c>
      <c r="H44" s="19" t="n">
        <f aca="false">SUMIFS('Asset Value'!$F$4:$F$102,'Asset Value'!$B$4:$B$102,Register!H$3,'Asset Value'!$C$4:$C$102,Register!$C44)/1000</f>
        <v>0</v>
      </c>
      <c r="I44" s="19" t="n">
        <f aca="false">SUMIFS('Asset Value'!$F$4:$F$102,'Asset Value'!$B$4:$B$102,Register!I$3,'Asset Value'!$C$4:$C$102,Register!$C44)/1000</f>
        <v>0</v>
      </c>
      <c r="J44" s="19" t="n">
        <f aca="false">SUMIFS('Asset Value'!$F$4:$F$102,'Asset Value'!$B$4:$B$102,Register!J$3,'Asset Value'!$C$4:$C$102,Register!$C44)/1000</f>
        <v>0</v>
      </c>
      <c r="K44" s="19" t="n">
        <f aca="false">SUMIFS('Asset Value'!$F$4:$F$102,'Asset Value'!$B$4:$B$102,Register!K$3,'Asset Value'!$C$4:$C$102,Register!$C44)/1000</f>
        <v>41600</v>
      </c>
      <c r="L44" s="19" t="n">
        <f aca="false">SUMIFS('Asset Value'!$F$4:$F$102,'Asset Value'!$B$4:$B$102,Register!L$3,'Asset Value'!$C$4:$C$102,Register!$C44)/1000</f>
        <v>42627</v>
      </c>
      <c r="M44" s="19" t="n">
        <f aca="false">SUMIFS('Asset Value'!$F$4:$F$102,'Asset Value'!$B$4:$B$102,Register!M$3,'Asset Value'!$C$4:$C$102,Register!$C44)/1000</f>
        <v>0</v>
      </c>
      <c r="N44" s="20" t="n">
        <f aca="false">SUMIFS('Asset Value'!$F$4:$F$102,'Asset Value'!$B$4:$B$102,Register!N$3,'Asset Value'!$C$4:$C$102,Register!$C44)/1000</f>
        <v>0</v>
      </c>
    </row>
    <row r="45" customFormat="false" ht="15" hidden="true" customHeight="false" outlineLevel="0" collapsed="false">
      <c r="B45" s="16"/>
      <c r="C45" s="17"/>
      <c r="D45" s="17"/>
      <c r="E45" s="17"/>
      <c r="F45" s="21" t="s">
        <v>44</v>
      </c>
      <c r="H45" s="22" t="e">
        <f aca="false">H44/G44-1</f>
        <v>#DIV/0!</v>
      </c>
      <c r="I45" s="22" t="e">
        <f aca="false">I44/H44-1</f>
        <v>#DIV/0!</v>
      </c>
      <c r="J45" s="22" t="e">
        <f aca="false">J44/I44-1</f>
        <v>#DIV/0!</v>
      </c>
      <c r="K45" s="22" t="e">
        <f aca="false">K44/J44-1</f>
        <v>#DIV/0!</v>
      </c>
      <c r="L45" s="22" t="n">
        <f aca="false">L44/K44-1</f>
        <v>0.0246875</v>
      </c>
      <c r="M45" s="22" t="n">
        <f aca="false">M44/L44-1</f>
        <v>-1</v>
      </c>
      <c r="N45" s="23" t="e">
        <f aca="false">N44/M44-1</f>
        <v>#DIV/0!</v>
      </c>
    </row>
    <row r="46" customFormat="false" ht="15" hidden="true" customHeight="false" outlineLevel="0" collapsed="false">
      <c r="B46" s="16"/>
      <c r="C46" s="17"/>
      <c r="D46" s="17"/>
      <c r="E46" s="17"/>
      <c r="F46" s="1" t="s">
        <v>45</v>
      </c>
      <c r="G46" s="24" t="n">
        <f aca="false">SUMIFS(Rent!$E$3:$E$110,Rent!$C$3:$C$110,Register!G$3,Rent!$D$3:$D$110,Register!$C44)/1000</f>
        <v>0</v>
      </c>
      <c r="H46" s="24" t="n">
        <f aca="false">SUMIFS(Rent!$E$3:$E$110,Rent!$C$3:$C$110,Register!H$3,Rent!$D$3:$D$110,Register!$C44)/1000</f>
        <v>0</v>
      </c>
      <c r="I46" s="24" t="n">
        <f aca="false">SUMIFS(Rent!$E$3:$E$110,Rent!$C$3:$C$110,Register!I$3,Rent!$D$3:$D$110,Register!$C44)/1000</f>
        <v>0</v>
      </c>
      <c r="J46" s="24" t="n">
        <f aca="false">SUMIFS(Rent!$E$3:$E$110,Rent!$C$3:$C$110,Register!J$3,Rent!$D$3:$D$110,Register!$C44)/1000</f>
        <v>0</v>
      </c>
      <c r="K46" s="24" t="n">
        <f aca="false">SUMIFS(Rent!$E$3:$E$110,Rent!$C$3:$C$110,Register!K$3,Rent!$D$3:$D$110,Register!$C44)/1000</f>
        <v>1287</v>
      </c>
      <c r="L46" s="24" t="n">
        <f aca="false">SUMIFS(Rent!$E$3:$E$110,Rent!$C$3:$C$110,Register!L$3,Rent!$D$3:$D$110,Register!$C44)/1000</f>
        <v>1207</v>
      </c>
      <c r="M46" s="24" t="n">
        <f aca="false">SUMIFS(Rent!$E$3:$E$110,Rent!$C$3:$C$110,Register!M$3,Rent!$D$3:$D$110,Register!$C44)/1000</f>
        <v>0</v>
      </c>
      <c r="N46" s="25" t="n">
        <f aca="false">SUMIFS(Rent!$E$3:$E$110,Rent!$C$3:$C$110,Register!N$3,Rent!$D$3:$D$110,Register!$C44)/1000</f>
        <v>0</v>
      </c>
    </row>
    <row r="47" customFormat="false" ht="15" hidden="true" customHeight="false" outlineLevel="0" collapsed="false">
      <c r="B47" s="16"/>
      <c r="C47" s="17"/>
      <c r="D47" s="17"/>
      <c r="E47" s="17"/>
      <c r="F47" s="21" t="s">
        <v>44</v>
      </c>
      <c r="H47" s="22" t="e">
        <f aca="false">H46/G46-1</f>
        <v>#DIV/0!</v>
      </c>
      <c r="I47" s="22" t="e">
        <f aca="false">I46/H46-1</f>
        <v>#DIV/0!</v>
      </c>
      <c r="J47" s="22" t="e">
        <f aca="false">J46/I46-1</f>
        <v>#DIV/0!</v>
      </c>
      <c r="K47" s="22" t="e">
        <f aca="false">K46/J46-1</f>
        <v>#DIV/0!</v>
      </c>
      <c r="L47" s="22" t="n">
        <f aca="false">L46/K46-1</f>
        <v>-0.0621600621600622</v>
      </c>
      <c r="M47" s="22" t="n">
        <f aca="false">M46/L46-1</f>
        <v>-1</v>
      </c>
      <c r="N47" s="23" t="e">
        <f aca="false">N46/M46-1</f>
        <v>#DIV/0!</v>
      </c>
    </row>
    <row r="48" customFormat="false" ht="15" hidden="true" customHeight="false" outlineLevel="0" collapsed="false">
      <c r="B48" s="16"/>
      <c r="C48" s="17"/>
      <c r="D48" s="17"/>
      <c r="E48" s="17"/>
      <c r="F48" s="26" t="s">
        <v>46</v>
      </c>
      <c r="G48" s="27" t="e">
        <f aca="false">G46/G44</f>
        <v>#DIV/0!</v>
      </c>
      <c r="H48" s="27" t="e">
        <f aca="false">H46/H44</f>
        <v>#DIV/0!</v>
      </c>
      <c r="I48" s="27" t="e">
        <f aca="false">I46/I44</f>
        <v>#DIV/0!</v>
      </c>
      <c r="J48" s="27" t="e">
        <f aca="false">J46/J44</f>
        <v>#DIV/0!</v>
      </c>
      <c r="K48" s="27" t="n">
        <f aca="false">K46/K44</f>
        <v>0.0309375</v>
      </c>
      <c r="L48" s="27" t="n">
        <f aca="false">L46/L44</f>
        <v>0.0283153869613156</v>
      </c>
      <c r="M48" s="27" t="e">
        <f aca="false">M46/M44</f>
        <v>#DIV/0!</v>
      </c>
      <c r="N48" s="28" t="e">
        <f aca="false">N46/N44</f>
        <v>#DIV/0!</v>
      </c>
    </row>
    <row r="49" customFormat="false" ht="15" hidden="false" customHeight="false" outlineLevel="0" collapsed="false">
      <c r="B49" s="16" t="n">
        <v>82</v>
      </c>
      <c r="C49" s="17" t="s">
        <v>28</v>
      </c>
      <c r="D49" s="17" t="s">
        <v>51</v>
      </c>
      <c r="E49" s="17" t="s">
        <v>58</v>
      </c>
      <c r="F49" s="18" t="s">
        <v>43</v>
      </c>
      <c r="G49" s="19" t="n">
        <f aca="false">SUMIFS('Asset Value'!$F$4:$F$102,'Asset Value'!$B$4:$B$102,Register!G$3,'Asset Value'!$C$4:$C$102,Register!$C49)/1000</f>
        <v>0</v>
      </c>
      <c r="H49" s="19" t="n">
        <f aca="false">SUMIFS('Asset Value'!$F$4:$F$102,'Asset Value'!$B$4:$B$102,Register!H$3,'Asset Value'!$C$4:$C$102,Register!$C49)/1000</f>
        <v>0</v>
      </c>
      <c r="I49" s="19" t="n">
        <f aca="false">SUMIFS('Asset Value'!$F$4:$F$102,'Asset Value'!$B$4:$B$102,Register!I$3,'Asset Value'!$C$4:$C$102,Register!$C49)/1000</f>
        <v>0</v>
      </c>
      <c r="J49" s="19" t="n">
        <f aca="false">SUMIFS('Asset Value'!$F$4:$F$102,'Asset Value'!$B$4:$B$102,Register!J$3,'Asset Value'!$C$4:$C$102,Register!$C49)/1000</f>
        <v>0</v>
      </c>
      <c r="K49" s="19" t="n">
        <f aca="false">SUMIFS('Asset Value'!$F$4:$F$102,'Asset Value'!$B$4:$B$102,Register!K$3,'Asset Value'!$C$4:$C$102,Register!$C49)/1000</f>
        <v>114366</v>
      </c>
      <c r="L49" s="19" t="n">
        <f aca="false">SUMIFS('Asset Value'!$F$4:$F$102,'Asset Value'!$B$4:$B$102,Register!L$3,'Asset Value'!$C$4:$C$102,Register!$C49)/1000</f>
        <v>168079</v>
      </c>
      <c r="M49" s="19" t="n">
        <f aca="false">SUMIFS('Asset Value'!$F$4:$F$102,'Asset Value'!$B$4:$B$102,Register!M$3,'Asset Value'!$C$4:$C$102,Register!$C49)/1000</f>
        <v>226665</v>
      </c>
      <c r="N49" s="20" t="n">
        <f aca="false">SUMIFS('Asset Value'!$F$4:$F$102,'Asset Value'!$B$4:$B$102,Register!N$3,'Asset Value'!$C$4:$C$102,Register!$C49)/1000</f>
        <v>234990</v>
      </c>
    </row>
    <row r="50" customFormat="false" ht="15" hidden="false" customHeight="false" outlineLevel="0" collapsed="false">
      <c r="B50" s="16"/>
      <c r="C50" s="17"/>
      <c r="D50" s="17"/>
      <c r="E50" s="17"/>
      <c r="F50" s="21" t="s">
        <v>44</v>
      </c>
      <c r="H50" s="22" t="e">
        <f aca="false">H49/G49-1</f>
        <v>#DIV/0!</v>
      </c>
      <c r="I50" s="22" t="e">
        <f aca="false">I49/H49-1</f>
        <v>#DIV/0!</v>
      </c>
      <c r="J50" s="22" t="e">
        <f aca="false">J49/I49-1</f>
        <v>#DIV/0!</v>
      </c>
      <c r="K50" s="22" t="e">
        <f aca="false">K49/J49-1</f>
        <v>#DIV/0!</v>
      </c>
      <c r="L50" s="22" t="n">
        <f aca="false">L49/K49-1</f>
        <v>0.469658814682685</v>
      </c>
      <c r="M50" s="22" t="n">
        <f aca="false">M49/L49-1</f>
        <v>0.348562283212061</v>
      </c>
      <c r="N50" s="23" t="n">
        <f aca="false">N49/M49-1</f>
        <v>0.0367282112368472</v>
      </c>
    </row>
    <row r="51" customFormat="false" ht="15" hidden="false" customHeight="false" outlineLevel="0" collapsed="false">
      <c r="B51" s="16"/>
      <c r="C51" s="17"/>
      <c r="D51" s="17"/>
      <c r="E51" s="17"/>
      <c r="F51" s="1" t="s">
        <v>45</v>
      </c>
      <c r="G51" s="24" t="n">
        <f aca="false">SUMIFS(Rent!$E$3:$E$110,Rent!$C$3:$C$110,Register!G$3,Rent!$D$3:$D$110,Register!$C49)/1000</f>
        <v>0</v>
      </c>
      <c r="H51" s="24" t="n">
        <f aca="false">SUMIFS(Rent!$E$3:$E$110,Rent!$C$3:$C$110,Register!H$3,Rent!$D$3:$D$110,Register!$C49)/1000</f>
        <v>0</v>
      </c>
      <c r="I51" s="24" t="n">
        <f aca="false">SUMIFS(Rent!$E$3:$E$110,Rent!$C$3:$C$110,Register!I$3,Rent!$D$3:$D$110,Register!$C49)/1000</f>
        <v>0</v>
      </c>
      <c r="J51" s="24" t="n">
        <f aca="false">SUMIFS(Rent!$E$3:$E$110,Rent!$C$3:$C$110,Register!J$3,Rent!$D$3:$D$110,Register!$C49)/1000</f>
        <v>0</v>
      </c>
      <c r="K51" s="24" t="n">
        <f aca="false">SUMIFS(Rent!$E$3:$E$110,Rent!$C$3:$C$110,Register!K$3,Rent!$D$3:$D$110,Register!$C49)/1000</f>
        <v>2962</v>
      </c>
      <c r="L51" s="24" t="n">
        <f aca="false">SUMIFS(Rent!$E$3:$E$110,Rent!$C$3:$C$110,Register!L$3,Rent!$D$3:$D$110,Register!$C49)/1000</f>
        <v>2245</v>
      </c>
      <c r="M51" s="24" t="n">
        <f aca="false">SUMIFS(Rent!$E$3:$E$110,Rent!$C$3:$C$110,Register!M$3,Rent!$D$3:$D$110,Register!$C49)/1000</f>
        <v>657</v>
      </c>
      <c r="N51" s="25" t="n">
        <f aca="false">SUMIFS(Rent!$E$3:$E$110,Rent!$C$3:$C$110,Register!N$3,Rent!$D$3:$D$110,Register!$C49)/1000</f>
        <v>1217</v>
      </c>
    </row>
    <row r="52" customFormat="false" ht="15" hidden="false" customHeight="false" outlineLevel="0" collapsed="false">
      <c r="B52" s="16"/>
      <c r="C52" s="17"/>
      <c r="D52" s="17"/>
      <c r="E52" s="17"/>
      <c r="F52" s="21" t="s">
        <v>44</v>
      </c>
      <c r="H52" s="22" t="e">
        <f aca="false">H51/G51-1</f>
        <v>#DIV/0!</v>
      </c>
      <c r="I52" s="22" t="e">
        <f aca="false">I51/H51-1</f>
        <v>#DIV/0!</v>
      </c>
      <c r="J52" s="22" t="e">
        <f aca="false">J51/I51-1</f>
        <v>#DIV/0!</v>
      </c>
      <c r="K52" s="22" t="e">
        <f aca="false">K51/J51-1</f>
        <v>#DIV/0!</v>
      </c>
      <c r="L52" s="22" t="n">
        <f aca="false">L51/K51-1</f>
        <v>-0.242066171505739</v>
      </c>
      <c r="M52" s="22" t="n">
        <f aca="false">M51/L51-1</f>
        <v>-0.707349665924276</v>
      </c>
      <c r="N52" s="23" t="n">
        <f aca="false">N51/M51-1</f>
        <v>0.852359208523592</v>
      </c>
    </row>
    <row r="53" customFormat="false" ht="15" hidden="false" customHeight="false" outlineLevel="0" collapsed="false">
      <c r="B53" s="16"/>
      <c r="C53" s="17"/>
      <c r="D53" s="17"/>
      <c r="E53" s="17"/>
      <c r="F53" s="26" t="s">
        <v>46</v>
      </c>
      <c r="G53" s="27" t="e">
        <f aca="false">G51/G49</f>
        <v>#DIV/0!</v>
      </c>
      <c r="H53" s="27" t="e">
        <f aca="false">H51/H49</f>
        <v>#DIV/0!</v>
      </c>
      <c r="I53" s="27" t="e">
        <f aca="false">I51/I49</f>
        <v>#DIV/0!</v>
      </c>
      <c r="J53" s="27" t="e">
        <f aca="false">J51/J49</f>
        <v>#DIV/0!</v>
      </c>
      <c r="K53" s="27" t="n">
        <f aca="false">K51/K49</f>
        <v>0.0258993057377193</v>
      </c>
      <c r="L53" s="27" t="n">
        <f aca="false">L51/L49</f>
        <v>0.0133568143551544</v>
      </c>
      <c r="M53" s="27" t="n">
        <f aca="false">M51/M49</f>
        <v>0.00289855072463768</v>
      </c>
      <c r="N53" s="28" t="n">
        <f aca="false">N51/N49</f>
        <v>0.00517894378484191</v>
      </c>
    </row>
    <row r="54" customFormat="false" ht="15" hidden="true" customHeight="false" outlineLevel="0" collapsed="false">
      <c r="B54" s="16" t="n">
        <v>82</v>
      </c>
      <c r="C54" s="17" t="s">
        <v>59</v>
      </c>
      <c r="D54" s="17" t="s">
        <v>51</v>
      </c>
      <c r="E54" s="17" t="s">
        <v>60</v>
      </c>
      <c r="F54" s="18" t="s">
        <v>43</v>
      </c>
      <c r="G54" s="19" t="n">
        <f aca="false">SUMIFS('Asset Value'!$F$4:$F$102,'Asset Value'!$B$4:$B$102,Register!G$3,'Asset Value'!$C$4:$C$102,Register!$C54)/1000</f>
        <v>0</v>
      </c>
      <c r="H54" s="19" t="n">
        <f aca="false">SUMIFS('Asset Value'!$F$4:$F$102,'Asset Value'!$B$4:$B$102,Register!H$3,'Asset Value'!$C$4:$C$102,Register!$C54)/1000</f>
        <v>0</v>
      </c>
      <c r="I54" s="19" t="n">
        <f aca="false">SUMIFS('Asset Value'!$F$4:$F$102,'Asset Value'!$B$4:$B$102,Register!I$3,'Asset Value'!$C$4:$C$102,Register!$C54)/1000</f>
        <v>0</v>
      </c>
      <c r="J54" s="19" t="n">
        <f aca="false">SUMIFS('Asset Value'!$F$4:$F$102,'Asset Value'!$B$4:$B$102,Register!J$3,'Asset Value'!$C$4:$C$102,Register!$C54)/1000</f>
        <v>0</v>
      </c>
      <c r="K54" s="19" t="n">
        <f aca="false">SUMIFS('Asset Value'!$F$4:$F$102,'Asset Value'!$B$4:$B$102,Register!K$3,'Asset Value'!$C$4:$C$102,Register!$C54)/1000</f>
        <v>0</v>
      </c>
      <c r="L54" s="19" t="n">
        <f aca="false">SUMIFS('Asset Value'!$F$4:$F$102,'Asset Value'!$B$4:$B$102,Register!L$3,'Asset Value'!$C$4:$C$102,Register!$C54)/1000</f>
        <v>0</v>
      </c>
      <c r="M54" s="19" t="n">
        <f aca="false">SUMIFS('Asset Value'!$F$4:$F$102,'Asset Value'!$B$4:$B$102,Register!M$3,'Asset Value'!$C$4:$C$102,Register!$C54)/1000</f>
        <v>0</v>
      </c>
      <c r="N54" s="20" t="n">
        <f aca="false">SUMIFS('Asset Value'!$F$4:$F$102,'Asset Value'!$B$4:$B$102,Register!N$3,'Asset Value'!$C$4:$C$102,Register!$C54)/1000</f>
        <v>0</v>
      </c>
    </row>
    <row r="55" customFormat="false" ht="15" hidden="true" customHeight="false" outlineLevel="0" collapsed="false">
      <c r="B55" s="16"/>
      <c r="C55" s="17"/>
      <c r="D55" s="17"/>
      <c r="E55" s="17"/>
      <c r="F55" s="21" t="s">
        <v>44</v>
      </c>
      <c r="H55" s="22" t="e">
        <f aca="false">H54/G54-1</f>
        <v>#DIV/0!</v>
      </c>
      <c r="I55" s="22" t="e">
        <f aca="false">I54/H54-1</f>
        <v>#DIV/0!</v>
      </c>
      <c r="J55" s="22" t="e">
        <f aca="false">J54/I54-1</f>
        <v>#DIV/0!</v>
      </c>
      <c r="K55" s="22" t="e">
        <f aca="false">K54/J54-1</f>
        <v>#DIV/0!</v>
      </c>
      <c r="L55" s="22" t="e">
        <f aca="false">L54/K54-1</f>
        <v>#DIV/0!</v>
      </c>
      <c r="M55" s="22" t="e">
        <f aca="false">M54/L54-1</f>
        <v>#DIV/0!</v>
      </c>
      <c r="N55" s="23" t="e">
        <f aca="false">N54/M54-1</f>
        <v>#DIV/0!</v>
      </c>
    </row>
    <row r="56" customFormat="false" ht="15" hidden="true" customHeight="false" outlineLevel="0" collapsed="false">
      <c r="B56" s="16"/>
      <c r="C56" s="17"/>
      <c r="D56" s="17"/>
      <c r="E56" s="17"/>
      <c r="F56" s="1" t="s">
        <v>45</v>
      </c>
      <c r="G56" s="24" t="n">
        <f aca="false">SUMIFS(Rent!$E$3:$E$110,Rent!$C$3:$C$110,Register!G$3,Rent!$D$3:$D$110,Register!$C54)/1000</f>
        <v>0</v>
      </c>
      <c r="H56" s="24" t="n">
        <f aca="false">SUMIFS(Rent!$E$3:$E$110,Rent!$C$3:$C$110,Register!H$3,Rent!$D$3:$D$110,Register!$C54)/1000</f>
        <v>0</v>
      </c>
      <c r="I56" s="24" t="n">
        <f aca="false">SUMIFS(Rent!$E$3:$E$110,Rent!$C$3:$C$110,Register!I$3,Rent!$D$3:$D$110,Register!$C54)/1000</f>
        <v>0</v>
      </c>
      <c r="J56" s="24" t="n">
        <f aca="false">SUMIFS(Rent!$E$3:$E$110,Rent!$C$3:$C$110,Register!J$3,Rent!$D$3:$D$110,Register!$C54)/1000</f>
        <v>0</v>
      </c>
      <c r="K56" s="24" t="n">
        <f aca="false">SUMIFS(Rent!$E$3:$E$110,Rent!$C$3:$C$110,Register!K$3,Rent!$D$3:$D$110,Register!$C54)/1000</f>
        <v>0</v>
      </c>
      <c r="L56" s="24" t="n">
        <f aca="false">SUMIFS(Rent!$E$3:$E$110,Rent!$C$3:$C$110,Register!L$3,Rent!$D$3:$D$110,Register!$C54)/1000</f>
        <v>0</v>
      </c>
      <c r="M56" s="24" t="n">
        <f aca="false">SUMIFS(Rent!$E$3:$E$110,Rent!$C$3:$C$110,Register!M$3,Rent!$D$3:$D$110,Register!$C54)/1000</f>
        <v>0</v>
      </c>
      <c r="N56" s="25" t="n">
        <f aca="false">SUMIFS(Rent!$E$3:$E$110,Rent!$C$3:$C$110,Register!N$3,Rent!$D$3:$D$110,Register!$C54)/1000</f>
        <v>0</v>
      </c>
    </row>
    <row r="57" customFormat="false" ht="15" hidden="true" customHeight="false" outlineLevel="0" collapsed="false">
      <c r="B57" s="16"/>
      <c r="C57" s="17"/>
      <c r="D57" s="17"/>
      <c r="E57" s="17"/>
      <c r="F57" s="21" t="s">
        <v>44</v>
      </c>
      <c r="H57" s="22" t="e">
        <f aca="false">H56/G56-1</f>
        <v>#DIV/0!</v>
      </c>
      <c r="I57" s="22" t="e">
        <f aca="false">I56/H56-1</f>
        <v>#DIV/0!</v>
      </c>
      <c r="J57" s="22" t="e">
        <f aca="false">J56/I56-1</f>
        <v>#DIV/0!</v>
      </c>
      <c r="K57" s="22" t="e">
        <f aca="false">K56/J56-1</f>
        <v>#DIV/0!</v>
      </c>
      <c r="L57" s="22" t="e">
        <f aca="false">L56/K56-1</f>
        <v>#DIV/0!</v>
      </c>
      <c r="M57" s="22" t="e">
        <f aca="false">M56/L56-1</f>
        <v>#DIV/0!</v>
      </c>
      <c r="N57" s="23" t="e">
        <f aca="false">N56/M56-1</f>
        <v>#DIV/0!</v>
      </c>
    </row>
    <row r="58" customFormat="false" ht="15" hidden="true" customHeight="false" outlineLevel="0" collapsed="false">
      <c r="B58" s="16"/>
      <c r="C58" s="17"/>
      <c r="D58" s="17"/>
      <c r="E58" s="17"/>
      <c r="F58" s="26" t="s">
        <v>46</v>
      </c>
      <c r="G58" s="27" t="e">
        <f aca="false">G56/G54</f>
        <v>#DIV/0!</v>
      </c>
      <c r="H58" s="27" t="e">
        <f aca="false">H56/H54</f>
        <v>#DIV/0!</v>
      </c>
      <c r="I58" s="27" t="e">
        <f aca="false">I56/I54</f>
        <v>#DIV/0!</v>
      </c>
      <c r="J58" s="27" t="e">
        <f aca="false">J56/J54</f>
        <v>#DIV/0!</v>
      </c>
      <c r="K58" s="27" t="e">
        <f aca="false">K56/K54</f>
        <v>#DIV/0!</v>
      </c>
      <c r="L58" s="27" t="e">
        <f aca="false">L56/L54</f>
        <v>#DIV/0!</v>
      </c>
      <c r="M58" s="27" t="e">
        <f aca="false">M56/M54</f>
        <v>#DIV/0!</v>
      </c>
      <c r="N58" s="28" t="e">
        <f aca="false">N56/N54</f>
        <v>#DIV/0!</v>
      </c>
    </row>
    <row r="59" customFormat="false" ht="15" hidden="false" customHeight="false" outlineLevel="0" collapsed="false">
      <c r="B59" s="16" t="n">
        <v>66</v>
      </c>
      <c r="C59" s="17" t="s">
        <v>29</v>
      </c>
      <c r="D59" s="17" t="s">
        <v>56</v>
      </c>
      <c r="E59" s="17" t="s">
        <v>61</v>
      </c>
      <c r="F59" s="18" t="s">
        <v>43</v>
      </c>
      <c r="G59" s="19" t="n">
        <f aca="false">SUMIFS('Asset Value'!$F$4:$F$102,'Asset Value'!$B$4:$B$102,Register!G$3,'Asset Value'!$C$4:$C$102,Register!$C59)/1000</f>
        <v>0</v>
      </c>
      <c r="H59" s="19" t="n">
        <f aca="false">SUMIFS('Asset Value'!$F$4:$F$102,'Asset Value'!$B$4:$B$102,Register!H$3,'Asset Value'!$C$4:$C$102,Register!$C59)/1000</f>
        <v>0</v>
      </c>
      <c r="I59" s="19" t="n">
        <f aca="false">SUMIFS('Asset Value'!$F$4:$F$102,'Asset Value'!$B$4:$B$102,Register!I$3,'Asset Value'!$C$4:$C$102,Register!$C59)/1000</f>
        <v>0</v>
      </c>
      <c r="J59" s="19" t="n">
        <f aca="false">SUMIFS('Asset Value'!$F$4:$F$102,'Asset Value'!$B$4:$B$102,Register!J$3,'Asset Value'!$C$4:$C$102,Register!$C59)/1000</f>
        <v>0</v>
      </c>
      <c r="K59" s="19" t="n">
        <f aca="false">SUMIFS('Asset Value'!$F$4:$F$102,'Asset Value'!$B$4:$B$102,Register!K$3,'Asset Value'!$C$4:$C$102,Register!$C59)/1000</f>
        <v>84185</v>
      </c>
      <c r="L59" s="19" t="n">
        <f aca="false">SUMIFS('Asset Value'!$F$4:$F$102,'Asset Value'!$B$4:$B$102,Register!L$3,'Asset Value'!$C$4:$C$102,Register!$C59)/1000</f>
        <v>165731</v>
      </c>
      <c r="M59" s="19" t="n">
        <f aca="false">SUMIFS('Asset Value'!$F$4:$F$102,'Asset Value'!$B$4:$B$102,Register!M$3,'Asset Value'!$C$4:$C$102,Register!$C59)/1000</f>
        <v>170931</v>
      </c>
      <c r="N59" s="20" t="n">
        <f aca="false">SUMIFS('Asset Value'!$F$4:$F$102,'Asset Value'!$B$4:$B$102,Register!N$3,'Asset Value'!$C$4:$C$102,Register!$C59)/1000</f>
        <v>175030</v>
      </c>
    </row>
    <row r="60" customFormat="false" ht="15" hidden="false" customHeight="false" outlineLevel="0" collapsed="false">
      <c r="B60" s="16"/>
      <c r="C60" s="17"/>
      <c r="D60" s="17"/>
      <c r="E60" s="17"/>
      <c r="F60" s="21" t="s">
        <v>44</v>
      </c>
      <c r="H60" s="22" t="e">
        <f aca="false">H59/G59-1</f>
        <v>#DIV/0!</v>
      </c>
      <c r="I60" s="22" t="e">
        <f aca="false">I59/H59-1</f>
        <v>#DIV/0!</v>
      </c>
      <c r="J60" s="22" t="e">
        <f aca="false">J59/I59-1</f>
        <v>#DIV/0!</v>
      </c>
      <c r="K60" s="22" t="e">
        <f aca="false">K59/J59-1</f>
        <v>#DIV/0!</v>
      </c>
      <c r="L60" s="22" t="n">
        <f aca="false">L59/K59-1</f>
        <v>0.96865237275049</v>
      </c>
      <c r="M60" s="22" t="n">
        <f aca="false">M59/L59-1</f>
        <v>0.031376145681858</v>
      </c>
      <c r="N60" s="23" t="n">
        <f aca="false">N59/M59-1</f>
        <v>0.023980436550421</v>
      </c>
    </row>
    <row r="61" customFormat="false" ht="15" hidden="false" customHeight="false" outlineLevel="0" collapsed="false">
      <c r="B61" s="16"/>
      <c r="C61" s="17"/>
      <c r="D61" s="17"/>
      <c r="E61" s="17"/>
      <c r="F61" s="1" t="s">
        <v>45</v>
      </c>
      <c r="G61" s="24" t="n">
        <f aca="false">SUMIFS(Rent!$E$3:$E$110,Rent!$C$3:$C$110,Register!G$3,Rent!$D$3:$D$110,Register!$C59)/1000</f>
        <v>0</v>
      </c>
      <c r="H61" s="24" t="n">
        <f aca="false">SUMIFS(Rent!$E$3:$E$110,Rent!$C$3:$C$110,Register!H$3,Rent!$D$3:$D$110,Register!$C59)/1000</f>
        <v>0</v>
      </c>
      <c r="I61" s="24" t="n">
        <f aca="false">SUMIFS(Rent!$E$3:$E$110,Rent!$C$3:$C$110,Register!I$3,Rent!$D$3:$D$110,Register!$C59)/1000</f>
        <v>0</v>
      </c>
      <c r="J61" s="24" t="n">
        <f aca="false">SUMIFS(Rent!$E$3:$E$110,Rent!$C$3:$C$110,Register!J$3,Rent!$D$3:$D$110,Register!$C59)/1000</f>
        <v>0</v>
      </c>
      <c r="K61" s="24" t="n">
        <f aca="false">SUMIFS(Rent!$E$3:$E$110,Rent!$C$3:$C$110,Register!K$3,Rent!$D$3:$D$110,Register!$C59)/1000</f>
        <v>5276</v>
      </c>
      <c r="L61" s="24" t="n">
        <f aca="false">SUMIFS(Rent!$E$3:$E$110,Rent!$C$3:$C$110,Register!L$3,Rent!$D$3:$D$110,Register!$C59)/1000</f>
        <v>4830</v>
      </c>
      <c r="M61" s="24" t="n">
        <f aca="false">SUMIFS(Rent!$E$3:$E$110,Rent!$C$3:$C$110,Register!M$3,Rent!$D$3:$D$110,Register!$C59)/1000</f>
        <v>5172</v>
      </c>
      <c r="N61" s="25" t="n">
        <f aca="false">SUMIFS(Rent!$E$3:$E$110,Rent!$C$3:$C$110,Register!N$3,Rent!$D$3:$D$110,Register!$C59)/1000</f>
        <v>5990</v>
      </c>
    </row>
    <row r="62" customFormat="false" ht="15" hidden="false" customHeight="false" outlineLevel="0" collapsed="false">
      <c r="B62" s="16"/>
      <c r="C62" s="17"/>
      <c r="D62" s="17"/>
      <c r="E62" s="17"/>
      <c r="F62" s="21" t="s">
        <v>44</v>
      </c>
      <c r="H62" s="22" t="e">
        <f aca="false">H61/G61-1</f>
        <v>#DIV/0!</v>
      </c>
      <c r="I62" s="22" t="e">
        <f aca="false">I61/H61-1</f>
        <v>#DIV/0!</v>
      </c>
      <c r="J62" s="22" t="e">
        <f aca="false">J61/I61-1</f>
        <v>#DIV/0!</v>
      </c>
      <c r="K62" s="22" t="e">
        <f aca="false">K61/J61-1</f>
        <v>#DIV/0!</v>
      </c>
      <c r="L62" s="22" t="n">
        <f aca="false">L61/K61-1</f>
        <v>-0.0845337376800607</v>
      </c>
      <c r="M62" s="22" t="n">
        <f aca="false">M61/L61-1</f>
        <v>0.0708074534161491</v>
      </c>
      <c r="N62" s="23" t="n">
        <f aca="false">N61/M61-1</f>
        <v>0.15815931941222</v>
      </c>
    </row>
    <row r="63" customFormat="false" ht="15" hidden="false" customHeight="false" outlineLevel="0" collapsed="false">
      <c r="B63" s="16"/>
      <c r="C63" s="17"/>
      <c r="D63" s="17"/>
      <c r="E63" s="17"/>
      <c r="F63" s="26" t="s">
        <v>46</v>
      </c>
      <c r="G63" s="27" t="e">
        <f aca="false">G61/G59</f>
        <v>#DIV/0!</v>
      </c>
      <c r="H63" s="27" t="e">
        <f aca="false">H61/H59</f>
        <v>#DIV/0!</v>
      </c>
      <c r="I63" s="27" t="e">
        <f aca="false">I61/I59</f>
        <v>#DIV/0!</v>
      </c>
      <c r="J63" s="27" t="e">
        <f aca="false">J61/J59</f>
        <v>#DIV/0!</v>
      </c>
      <c r="K63" s="27" t="n">
        <f aca="false">K61/K59</f>
        <v>0.0626714972976183</v>
      </c>
      <c r="L63" s="27" t="n">
        <f aca="false">L61/L59</f>
        <v>0.0291436122391104</v>
      </c>
      <c r="M63" s="27" t="n">
        <f aca="false">M61/M59</f>
        <v>0.0302578233322218</v>
      </c>
      <c r="N63" s="28" t="n">
        <f aca="false">N61/N59</f>
        <v>0.0342227046791979</v>
      </c>
    </row>
    <row r="64" customFormat="false" ht="15" hidden="false" customHeight="false" outlineLevel="0" collapsed="false">
      <c r="B64" s="16" t="n">
        <v>63</v>
      </c>
      <c r="C64" s="17" t="s">
        <v>30</v>
      </c>
      <c r="D64" s="17" t="s">
        <v>56</v>
      </c>
      <c r="E64" s="17" t="s">
        <v>62</v>
      </c>
      <c r="F64" s="18" t="s">
        <v>43</v>
      </c>
      <c r="G64" s="19" t="n">
        <f aca="false">SUMIFS('Asset Value'!$F$4:$F$102,'Asset Value'!$B$4:$B$102,Register!G$3,'Asset Value'!$C$4:$C$102,Register!$C64)/1000</f>
        <v>108480</v>
      </c>
      <c r="H64" s="19" t="n">
        <f aca="false">SUMIFS('Asset Value'!$F$4:$F$102,'Asset Value'!$B$4:$B$102,Register!H$3,'Asset Value'!$C$4:$C$102,Register!$C64)/1000</f>
        <v>232990</v>
      </c>
      <c r="I64" s="19" t="n">
        <f aca="false">SUMIFS('Asset Value'!$F$4:$F$102,'Asset Value'!$B$4:$B$102,Register!I$3,'Asset Value'!$C$4:$C$102,Register!$C64)/1000</f>
        <v>200050</v>
      </c>
      <c r="J64" s="19" t="n">
        <f aca="false">SUMIFS('Asset Value'!$F$4:$F$102,'Asset Value'!$B$4:$B$102,Register!J$3,'Asset Value'!$C$4:$C$102,Register!$C64)/1000</f>
        <v>219290</v>
      </c>
      <c r="K64" s="19" t="n">
        <f aca="false">SUMIFS('Asset Value'!$F$4:$F$102,'Asset Value'!$B$4:$B$102,Register!K$3,'Asset Value'!$C$4:$C$102,Register!$C64)/1000</f>
        <v>255020</v>
      </c>
      <c r="L64" s="19" t="n">
        <f aca="false">SUMIFS('Asset Value'!$F$4:$F$102,'Asset Value'!$B$4:$B$102,Register!L$3,'Asset Value'!$C$4:$C$102,Register!$C64)/1000</f>
        <v>256728</v>
      </c>
      <c r="M64" s="19" t="n">
        <f aca="false">SUMIFS('Asset Value'!$F$4:$F$102,'Asset Value'!$B$4:$B$102,Register!M$3,'Asset Value'!$C$4:$C$102,Register!$C64)/1000</f>
        <v>308243</v>
      </c>
      <c r="N64" s="20" t="n">
        <f aca="false">SUMIFS('Asset Value'!$F$4:$F$102,'Asset Value'!$B$4:$B$102,Register!N$3,'Asset Value'!$C$4:$C$102,Register!$C64)/1000</f>
        <v>315870</v>
      </c>
    </row>
    <row r="65" customFormat="false" ht="15" hidden="false" customHeight="false" outlineLevel="0" collapsed="false">
      <c r="B65" s="16"/>
      <c r="C65" s="17"/>
      <c r="D65" s="17"/>
      <c r="E65" s="17"/>
      <c r="F65" s="21" t="s">
        <v>44</v>
      </c>
      <c r="H65" s="22" t="n">
        <f aca="false">H64/G64-1</f>
        <v>1.1477691740413</v>
      </c>
      <c r="I65" s="22" t="n">
        <f aca="false">I64/H64-1</f>
        <v>-0.141379458345852</v>
      </c>
      <c r="J65" s="22" t="n">
        <f aca="false">J64/I64-1</f>
        <v>0.0961759560109972</v>
      </c>
      <c r="K65" s="22" t="n">
        <f aca="false">K64/J64-1</f>
        <v>0.162934926353231</v>
      </c>
      <c r="L65" s="22" t="n">
        <f aca="false">L64/K64-1</f>
        <v>0.00669751392047679</v>
      </c>
      <c r="M65" s="22" t="n">
        <f aca="false">M64/L64-1</f>
        <v>0.200659842323393</v>
      </c>
      <c r="N65" s="23" t="n">
        <f aca="false">N64/M64-1</f>
        <v>0.0247434653828311</v>
      </c>
    </row>
    <row r="66" customFormat="false" ht="15" hidden="false" customHeight="false" outlineLevel="0" collapsed="false">
      <c r="B66" s="16"/>
      <c r="C66" s="17"/>
      <c r="D66" s="17"/>
      <c r="E66" s="17"/>
      <c r="F66" s="1" t="s">
        <v>45</v>
      </c>
      <c r="G66" s="24" t="n">
        <f aca="false">SUMIFS(Rent!$E$3:$E$110,Rent!$C$3:$C$110,Register!G$3,Rent!$D$3:$D$110,Register!$C64)/1000</f>
        <v>0</v>
      </c>
      <c r="H66" s="24" t="n">
        <f aca="false">SUMIFS(Rent!$E$3:$E$110,Rent!$C$3:$C$110,Register!H$3,Rent!$D$3:$D$110,Register!$C64)/1000</f>
        <v>0</v>
      </c>
      <c r="I66" s="24" t="n">
        <f aca="false">SUMIFS(Rent!$E$3:$E$110,Rent!$C$3:$C$110,Register!I$3,Rent!$D$3:$D$110,Register!$C64)/1000</f>
        <v>0</v>
      </c>
      <c r="J66" s="24" t="n">
        <f aca="false">SUMIFS(Rent!$E$3:$E$110,Rent!$C$3:$C$110,Register!J$3,Rent!$D$3:$D$110,Register!$C64)/1000</f>
        <v>0</v>
      </c>
      <c r="K66" s="24" t="n">
        <f aca="false">SUMIFS(Rent!$E$3:$E$110,Rent!$C$3:$C$110,Register!K$3,Rent!$D$3:$D$110,Register!$C64)/1000</f>
        <v>0</v>
      </c>
      <c r="L66" s="24" t="n">
        <f aca="false">SUMIFS(Rent!$E$3:$E$110,Rent!$C$3:$C$110,Register!L$3,Rent!$D$3:$D$110,Register!$C64)/1000</f>
        <v>0</v>
      </c>
      <c r="M66" s="24" t="n">
        <f aca="false">SUMIFS(Rent!$E$3:$E$110,Rent!$C$3:$C$110,Register!M$3,Rent!$D$3:$D$110,Register!$C64)/1000</f>
        <v>0</v>
      </c>
      <c r="N66" s="25" t="n">
        <f aca="false">SUMIFS(Rent!$E$3:$E$110,Rent!$C$3:$C$110,Register!N$3,Rent!$D$3:$D$110,Register!$C64)/1000</f>
        <v>0</v>
      </c>
    </row>
    <row r="67" customFormat="false" ht="15" hidden="false" customHeight="false" outlineLevel="0" collapsed="false">
      <c r="B67" s="16"/>
      <c r="C67" s="17"/>
      <c r="D67" s="17"/>
      <c r="E67" s="17"/>
      <c r="F67" s="21" t="s">
        <v>44</v>
      </c>
      <c r="H67" s="22" t="e">
        <f aca="false">H66/G66-1</f>
        <v>#DIV/0!</v>
      </c>
      <c r="I67" s="22" t="e">
        <f aca="false">I66/H66-1</f>
        <v>#DIV/0!</v>
      </c>
      <c r="J67" s="22" t="e">
        <f aca="false">J66/I66-1</f>
        <v>#DIV/0!</v>
      </c>
      <c r="K67" s="22" t="e">
        <f aca="false">K66/J66-1</f>
        <v>#DIV/0!</v>
      </c>
      <c r="L67" s="22" t="e">
        <f aca="false">L66/K66-1</f>
        <v>#DIV/0!</v>
      </c>
      <c r="M67" s="22" t="e">
        <f aca="false">M66/L66-1</f>
        <v>#DIV/0!</v>
      </c>
      <c r="N67" s="23" t="e">
        <f aca="false">N66/M66-1</f>
        <v>#DIV/0!</v>
      </c>
    </row>
    <row r="68" customFormat="false" ht="15" hidden="false" customHeight="false" outlineLevel="0" collapsed="false">
      <c r="B68" s="16"/>
      <c r="C68" s="17"/>
      <c r="D68" s="17"/>
      <c r="E68" s="17"/>
      <c r="F68" s="26" t="s">
        <v>46</v>
      </c>
      <c r="G68" s="27" t="n">
        <f aca="false">G66/G64</f>
        <v>0</v>
      </c>
      <c r="H68" s="27" t="n">
        <f aca="false">H66/H64</f>
        <v>0</v>
      </c>
      <c r="I68" s="27" t="n">
        <f aca="false">I66/I64</f>
        <v>0</v>
      </c>
      <c r="J68" s="27" t="n">
        <f aca="false">J66/J64</f>
        <v>0</v>
      </c>
      <c r="K68" s="27" t="n">
        <f aca="false">K66/K64</f>
        <v>0</v>
      </c>
      <c r="L68" s="27" t="n">
        <f aca="false">L66/L64</f>
        <v>0</v>
      </c>
      <c r="M68" s="27" t="n">
        <f aca="false">M66/M64</f>
        <v>0</v>
      </c>
      <c r="N68" s="28" t="n">
        <f aca="false">N66/N64</f>
        <v>0</v>
      </c>
    </row>
    <row r="69" customFormat="false" ht="15" hidden="false" customHeight="false" outlineLevel="0" collapsed="false">
      <c r="B69" s="16" t="n">
        <v>110</v>
      </c>
      <c r="C69" s="17" t="s">
        <v>31</v>
      </c>
      <c r="D69" s="17" t="s">
        <v>63</v>
      </c>
      <c r="E69" s="17" t="s">
        <v>64</v>
      </c>
      <c r="F69" s="18" t="s">
        <v>43</v>
      </c>
      <c r="G69" s="19" t="n">
        <f aca="false">SUMIFS('Asset Value'!$F$4:$F$102,'Asset Value'!$B$4:$B$102,Register!G$3,'Asset Value'!$C$4:$C$102,Register!$C69)/1000</f>
        <v>0</v>
      </c>
      <c r="H69" s="19" t="n">
        <f aca="false">SUMIFS('Asset Value'!$F$4:$F$102,'Asset Value'!$B$4:$B$102,Register!H$3,'Asset Value'!$C$4:$C$102,Register!$C69)/1000</f>
        <v>49990</v>
      </c>
      <c r="I69" s="19" t="n">
        <f aca="false">SUMIFS('Asset Value'!$F$4:$F$102,'Asset Value'!$B$4:$B$102,Register!I$3,'Asset Value'!$C$4:$C$102,Register!$C69)/1000</f>
        <v>50760</v>
      </c>
      <c r="J69" s="19" t="n">
        <f aca="false">SUMIFS('Asset Value'!$F$4:$F$102,'Asset Value'!$B$4:$B$102,Register!J$3,'Asset Value'!$C$4:$C$102,Register!$C69)/1000</f>
        <v>60540</v>
      </c>
      <c r="K69" s="19" t="n">
        <f aca="false">SUMIFS('Asset Value'!$F$4:$F$102,'Asset Value'!$B$4:$B$102,Register!K$3,'Asset Value'!$C$4:$C$102,Register!$C69)/1000</f>
        <v>63480</v>
      </c>
      <c r="L69" s="19" t="n">
        <f aca="false">SUMIFS('Asset Value'!$F$4:$F$102,'Asset Value'!$B$4:$B$102,Register!L$3,'Asset Value'!$C$4:$C$102,Register!$C69)/1000</f>
        <v>86708</v>
      </c>
      <c r="M69" s="19" t="n">
        <f aca="false">SUMIFS('Asset Value'!$F$4:$F$102,'Asset Value'!$B$4:$B$102,Register!M$3,'Asset Value'!$C$4:$C$102,Register!$C69)/1000</f>
        <v>137610</v>
      </c>
      <c r="N69" s="20" t="n">
        <f aca="false">SUMIFS('Asset Value'!$F$4:$F$102,'Asset Value'!$B$4:$B$102,Register!N$3,'Asset Value'!$C$4:$C$102,Register!$C69)/1000</f>
        <v>143710</v>
      </c>
    </row>
    <row r="70" customFormat="false" ht="15" hidden="false" customHeight="false" outlineLevel="0" collapsed="false">
      <c r="B70" s="16"/>
      <c r="C70" s="17"/>
      <c r="D70" s="17"/>
      <c r="E70" s="17"/>
      <c r="F70" s="21" t="s">
        <v>44</v>
      </c>
      <c r="H70" s="22" t="e">
        <f aca="false">H69/G69-1</f>
        <v>#DIV/0!</v>
      </c>
      <c r="I70" s="22" t="n">
        <f aca="false">I69/H69-1</f>
        <v>0.0154030806161232</v>
      </c>
      <c r="J70" s="22" t="n">
        <f aca="false">J69/I69-1</f>
        <v>0.192671394799054</v>
      </c>
      <c r="K70" s="22" t="n">
        <f aca="false">K69/J69-1</f>
        <v>0.0485629335976214</v>
      </c>
      <c r="L70" s="22" t="n">
        <f aca="false">L69/K69-1</f>
        <v>0.36591052299937</v>
      </c>
      <c r="M70" s="22" t="n">
        <f aca="false">M69/L69-1</f>
        <v>0.587050791161139</v>
      </c>
      <c r="N70" s="23" t="n">
        <f aca="false">N69/M69-1</f>
        <v>0.0443281738245767</v>
      </c>
    </row>
    <row r="71" customFormat="false" ht="15" hidden="false" customHeight="false" outlineLevel="0" collapsed="false">
      <c r="B71" s="16"/>
      <c r="C71" s="17"/>
      <c r="D71" s="17"/>
      <c r="E71" s="17"/>
      <c r="F71" s="1" t="s">
        <v>45</v>
      </c>
      <c r="G71" s="24" t="n">
        <f aca="false">SUMIFS(Rent!$E$3:$E$110,Rent!$C$3:$C$110,Register!G$3,Rent!$D$3:$D$110,Register!$C69)/1000</f>
        <v>0</v>
      </c>
      <c r="H71" s="24" t="n">
        <f aca="false">SUMIFS(Rent!$E$3:$E$110,Rent!$C$3:$C$110,Register!H$3,Rent!$D$3:$D$110,Register!$C69)/1000</f>
        <v>0</v>
      </c>
      <c r="I71" s="24" t="n">
        <f aca="false">SUMIFS(Rent!$E$3:$E$110,Rent!$C$3:$C$110,Register!I$3,Rent!$D$3:$D$110,Register!$C69)/1000</f>
        <v>0</v>
      </c>
      <c r="J71" s="24" t="n">
        <f aca="false">SUMIFS(Rent!$E$3:$E$110,Rent!$C$3:$C$110,Register!J$3,Rent!$D$3:$D$110,Register!$C69)/1000</f>
        <v>0</v>
      </c>
      <c r="K71" s="24" t="n">
        <f aca="false">SUMIFS(Rent!$E$3:$E$110,Rent!$C$3:$C$110,Register!K$3,Rent!$D$3:$D$110,Register!$C69)/1000</f>
        <v>0</v>
      </c>
      <c r="L71" s="24" t="n">
        <f aca="false">SUMIFS(Rent!$E$3:$E$110,Rent!$C$3:$C$110,Register!L$3,Rent!$D$3:$D$110,Register!$C69)/1000</f>
        <v>2100</v>
      </c>
      <c r="M71" s="24" t="n">
        <f aca="false">SUMIFS(Rent!$E$3:$E$110,Rent!$C$3:$C$110,Register!M$3,Rent!$D$3:$D$110,Register!$C69)/1000</f>
        <v>0</v>
      </c>
      <c r="N71" s="25" t="n">
        <f aca="false">SUMIFS(Rent!$E$3:$E$110,Rent!$C$3:$C$110,Register!N$3,Rent!$D$3:$D$110,Register!$C69)/1000</f>
        <v>586</v>
      </c>
    </row>
    <row r="72" customFormat="false" ht="15" hidden="false" customHeight="false" outlineLevel="0" collapsed="false">
      <c r="B72" s="16"/>
      <c r="C72" s="17"/>
      <c r="D72" s="17"/>
      <c r="E72" s="17"/>
      <c r="F72" s="21" t="s">
        <v>44</v>
      </c>
      <c r="H72" s="22" t="e">
        <f aca="false">H71/G71-1</f>
        <v>#DIV/0!</v>
      </c>
      <c r="I72" s="22" t="e">
        <f aca="false">I71/H71-1</f>
        <v>#DIV/0!</v>
      </c>
      <c r="J72" s="22" t="e">
        <f aca="false">J71/I71-1</f>
        <v>#DIV/0!</v>
      </c>
      <c r="K72" s="22" t="e">
        <f aca="false">K71/J71-1</f>
        <v>#DIV/0!</v>
      </c>
      <c r="L72" s="22" t="e">
        <f aca="false">L71/K71-1</f>
        <v>#DIV/0!</v>
      </c>
      <c r="M72" s="22" t="n">
        <f aca="false">M71/L71-1</f>
        <v>-1</v>
      </c>
      <c r="N72" s="23" t="e">
        <f aca="false">N71/M71-1</f>
        <v>#DIV/0!</v>
      </c>
    </row>
    <row r="73" customFormat="false" ht="15" hidden="false" customHeight="false" outlineLevel="0" collapsed="false">
      <c r="B73" s="16"/>
      <c r="C73" s="17"/>
      <c r="D73" s="17"/>
      <c r="E73" s="17"/>
      <c r="F73" s="26" t="s">
        <v>46</v>
      </c>
      <c r="G73" s="27" t="e">
        <f aca="false">G71/G69</f>
        <v>#DIV/0!</v>
      </c>
      <c r="H73" s="27" t="n">
        <f aca="false">H71/H69</f>
        <v>0</v>
      </c>
      <c r="I73" s="27" t="n">
        <f aca="false">I71/I69</f>
        <v>0</v>
      </c>
      <c r="J73" s="27" t="n">
        <f aca="false">J71/J69</f>
        <v>0</v>
      </c>
      <c r="K73" s="27" t="n">
        <f aca="false">K71/K69</f>
        <v>0</v>
      </c>
      <c r="L73" s="27" t="n">
        <f aca="false">L71/L69</f>
        <v>0.0242192185265489</v>
      </c>
      <c r="M73" s="27" t="n">
        <f aca="false">M71/M69</f>
        <v>0</v>
      </c>
      <c r="N73" s="28" t="n">
        <f aca="false">N71/N69</f>
        <v>0.00407765639134368</v>
      </c>
    </row>
    <row r="74" customFormat="false" ht="15" hidden="false" customHeight="false" outlineLevel="0" collapsed="false">
      <c r="B74" s="16" t="n">
        <v>110</v>
      </c>
      <c r="C74" s="17" t="s">
        <v>32</v>
      </c>
      <c r="D74" s="17" t="s">
        <v>63</v>
      </c>
      <c r="E74" s="17" t="s">
        <v>65</v>
      </c>
      <c r="F74" s="18" t="s">
        <v>43</v>
      </c>
      <c r="G74" s="19" t="n">
        <f aca="false">SUMIFS('Asset Value'!$F$4:$F$102,'Asset Value'!$B$4:$B$102,Register!G$3,'Asset Value'!$C$4:$C$102,Register!$C74)/1000</f>
        <v>0</v>
      </c>
      <c r="H74" s="19" t="n">
        <f aca="false">SUMIFS('Asset Value'!$F$4:$F$102,'Asset Value'!$B$4:$B$102,Register!H$3,'Asset Value'!$C$4:$C$102,Register!$C74)/1000</f>
        <v>0</v>
      </c>
      <c r="I74" s="19" t="n">
        <f aca="false">SUMIFS('Asset Value'!$F$4:$F$102,'Asset Value'!$B$4:$B$102,Register!I$3,'Asset Value'!$C$4:$C$102,Register!$C74)/1000</f>
        <v>0</v>
      </c>
      <c r="J74" s="19" t="n">
        <f aca="false">SUMIFS('Asset Value'!$F$4:$F$102,'Asset Value'!$B$4:$B$102,Register!J$3,'Asset Value'!$C$4:$C$102,Register!$C74)/1000</f>
        <v>0</v>
      </c>
      <c r="K74" s="19" t="n">
        <f aca="false">SUMIFS('Asset Value'!$F$4:$F$102,'Asset Value'!$B$4:$B$102,Register!K$3,'Asset Value'!$C$4:$C$102,Register!$C74)/1000</f>
        <v>65475</v>
      </c>
      <c r="L74" s="19" t="n">
        <f aca="false">SUMIFS('Asset Value'!$F$4:$F$102,'Asset Value'!$B$4:$B$102,Register!L$3,'Asset Value'!$C$4:$C$102,Register!$C74)/1000</f>
        <v>83471</v>
      </c>
      <c r="M74" s="19" t="n">
        <f aca="false">SUMIFS('Asset Value'!$F$4:$F$102,'Asset Value'!$B$4:$B$102,Register!M$3,'Asset Value'!$C$4:$C$102,Register!$C74)/1000</f>
        <v>87257</v>
      </c>
      <c r="N74" s="20" t="n">
        <f aca="false">SUMIFS('Asset Value'!$F$4:$F$102,'Asset Value'!$B$4:$B$102,Register!N$3,'Asset Value'!$C$4:$C$102,Register!$C74)/1000</f>
        <v>93350</v>
      </c>
    </row>
    <row r="75" customFormat="false" ht="15" hidden="false" customHeight="false" outlineLevel="0" collapsed="false">
      <c r="B75" s="16"/>
      <c r="C75" s="17"/>
      <c r="D75" s="17"/>
      <c r="E75" s="17"/>
      <c r="F75" s="21" t="s">
        <v>44</v>
      </c>
      <c r="H75" s="22" t="e">
        <f aca="false">H74/G74-1</f>
        <v>#DIV/0!</v>
      </c>
      <c r="I75" s="22" t="e">
        <f aca="false">I74/H74-1</f>
        <v>#DIV/0!</v>
      </c>
      <c r="J75" s="22" t="e">
        <f aca="false">J74/I74-1</f>
        <v>#DIV/0!</v>
      </c>
      <c r="K75" s="22" t="e">
        <f aca="false">K74/J74-1</f>
        <v>#DIV/0!</v>
      </c>
      <c r="L75" s="22" t="n">
        <f aca="false">L74/K74-1</f>
        <v>0.274852997327224</v>
      </c>
      <c r="M75" s="22" t="n">
        <f aca="false">M74/L74-1</f>
        <v>0.0453570701201616</v>
      </c>
      <c r="N75" s="23" t="n">
        <f aca="false">N74/M74-1</f>
        <v>0.0698282086250961</v>
      </c>
    </row>
    <row r="76" customFormat="false" ht="15" hidden="false" customHeight="false" outlineLevel="0" collapsed="false">
      <c r="B76" s="16"/>
      <c r="C76" s="17"/>
      <c r="D76" s="17"/>
      <c r="E76" s="17"/>
      <c r="F76" s="1" t="s">
        <v>45</v>
      </c>
      <c r="G76" s="24" t="n">
        <f aca="false">SUMIFS(Rent!$E$3:$E$110,Rent!$C$3:$C$110,Register!G$3,Rent!$D$3:$D$110,Register!$C74)/1000</f>
        <v>0</v>
      </c>
      <c r="H76" s="24" t="n">
        <f aca="false">SUMIFS(Rent!$E$3:$E$110,Rent!$C$3:$C$110,Register!H$3,Rent!$D$3:$D$110,Register!$C74)/1000</f>
        <v>0</v>
      </c>
      <c r="I76" s="24" t="n">
        <f aca="false">SUMIFS(Rent!$E$3:$E$110,Rent!$C$3:$C$110,Register!I$3,Rent!$D$3:$D$110,Register!$C74)/1000</f>
        <v>0</v>
      </c>
      <c r="J76" s="24" t="n">
        <f aca="false">SUMIFS(Rent!$E$3:$E$110,Rent!$C$3:$C$110,Register!J$3,Rent!$D$3:$D$110,Register!$C74)/1000</f>
        <v>0</v>
      </c>
      <c r="K76" s="24" t="n">
        <f aca="false">SUMIFS(Rent!$E$3:$E$110,Rent!$C$3:$C$110,Register!K$3,Rent!$D$3:$D$110,Register!$C74)/1000</f>
        <v>2533</v>
      </c>
      <c r="L76" s="24" t="n">
        <f aca="false">SUMIFS(Rent!$E$3:$E$110,Rent!$C$3:$C$110,Register!L$3,Rent!$D$3:$D$110,Register!$C74)/1000</f>
        <v>1965</v>
      </c>
      <c r="M76" s="24" t="n">
        <f aca="false">SUMIFS(Rent!$E$3:$E$110,Rent!$C$3:$C$110,Register!M$3,Rent!$D$3:$D$110,Register!$C74)/1000</f>
        <v>2688</v>
      </c>
      <c r="N76" s="25" t="n">
        <f aca="false">SUMIFS(Rent!$E$3:$E$110,Rent!$C$3:$C$110,Register!N$3,Rent!$D$3:$D$110,Register!$C74)/1000</f>
        <v>0</v>
      </c>
    </row>
    <row r="77" customFormat="false" ht="15" hidden="false" customHeight="false" outlineLevel="0" collapsed="false">
      <c r="B77" s="16"/>
      <c r="C77" s="17"/>
      <c r="D77" s="17"/>
      <c r="E77" s="17"/>
      <c r="F77" s="21" t="s">
        <v>44</v>
      </c>
      <c r="H77" s="22" t="e">
        <f aca="false">H76/G76-1</f>
        <v>#DIV/0!</v>
      </c>
      <c r="I77" s="22" t="e">
        <f aca="false">I76/H76-1</f>
        <v>#DIV/0!</v>
      </c>
      <c r="J77" s="22" t="e">
        <f aca="false">J76/I76-1</f>
        <v>#DIV/0!</v>
      </c>
      <c r="K77" s="22" t="e">
        <f aca="false">K76/J76-1</f>
        <v>#DIV/0!</v>
      </c>
      <c r="L77" s="22" t="n">
        <f aca="false">L76/K76-1</f>
        <v>-0.224240031583103</v>
      </c>
      <c r="M77" s="22" t="n">
        <f aca="false">M76/L76-1</f>
        <v>0.36793893129771</v>
      </c>
      <c r="N77" s="23" t="n">
        <f aca="false">N76/M76-1</f>
        <v>-1</v>
      </c>
    </row>
    <row r="78" customFormat="false" ht="15" hidden="false" customHeight="false" outlineLevel="0" collapsed="false">
      <c r="B78" s="16"/>
      <c r="C78" s="17"/>
      <c r="D78" s="17"/>
      <c r="E78" s="17"/>
      <c r="F78" s="26" t="s">
        <v>46</v>
      </c>
      <c r="G78" s="27" t="e">
        <f aca="false">G76/G74</f>
        <v>#DIV/0!</v>
      </c>
      <c r="H78" s="27" t="e">
        <f aca="false">H76/H74</f>
        <v>#DIV/0!</v>
      </c>
      <c r="I78" s="27" t="e">
        <f aca="false">I76/I74</f>
        <v>#DIV/0!</v>
      </c>
      <c r="J78" s="27" t="e">
        <f aca="false">J76/J74</f>
        <v>#DIV/0!</v>
      </c>
      <c r="K78" s="27" t="n">
        <f aca="false">K76/K74</f>
        <v>0.0386865215731195</v>
      </c>
      <c r="L78" s="27" t="n">
        <f aca="false">L76/L74</f>
        <v>0.0235411100861377</v>
      </c>
      <c r="M78" s="27" t="n">
        <f aca="false">M76/M74</f>
        <v>0.0308055514170783</v>
      </c>
      <c r="N78" s="28" t="n">
        <f aca="false">N76/N74</f>
        <v>0</v>
      </c>
    </row>
    <row r="79" customFormat="false" ht="15" hidden="false" customHeight="false" outlineLevel="0" collapsed="false">
      <c r="B79" s="16" t="n">
        <v>117</v>
      </c>
      <c r="C79" s="17" t="s">
        <v>33</v>
      </c>
      <c r="D79" s="17" t="s">
        <v>49</v>
      </c>
      <c r="E79" s="17" t="s">
        <v>66</v>
      </c>
      <c r="F79" s="18" t="s">
        <v>43</v>
      </c>
      <c r="G79" s="19" t="n">
        <f aca="false">SUMIFS('Asset Value'!$F$4:$F$102,'Asset Value'!$B$4:$B$102,Register!G$3,'Asset Value'!$C$4:$C$102,Register!$C79)/1000</f>
        <v>20520</v>
      </c>
      <c r="H79" s="19" t="n">
        <f aca="false">SUMIFS('Asset Value'!$F$4:$F$102,'Asset Value'!$B$4:$B$102,Register!H$3,'Asset Value'!$C$4:$C$102,Register!$C79)/1000</f>
        <v>25260</v>
      </c>
      <c r="I79" s="19" t="n">
        <f aca="false">SUMIFS('Asset Value'!$F$4:$F$102,'Asset Value'!$B$4:$B$102,Register!I$3,'Asset Value'!$C$4:$C$102,Register!$C79)/1000</f>
        <v>24850</v>
      </c>
      <c r="J79" s="19" t="n">
        <f aca="false">SUMIFS('Asset Value'!$F$4:$F$102,'Asset Value'!$B$4:$B$102,Register!J$3,'Asset Value'!$C$4:$C$102,Register!$C79)/1000</f>
        <v>0</v>
      </c>
      <c r="K79" s="19" t="n">
        <f aca="false">SUMIFS('Asset Value'!$F$4:$F$102,'Asset Value'!$B$4:$B$102,Register!K$3,'Asset Value'!$C$4:$C$102,Register!$C79)/1000</f>
        <v>0</v>
      </c>
      <c r="L79" s="19" t="n">
        <f aca="false">SUMIFS('Asset Value'!$F$4:$F$102,'Asset Value'!$B$4:$B$102,Register!L$3,'Asset Value'!$C$4:$C$102,Register!$C79)/1000</f>
        <v>0</v>
      </c>
      <c r="M79" s="19" t="n">
        <f aca="false">SUMIFS('Asset Value'!$F$4:$F$102,'Asset Value'!$B$4:$B$102,Register!M$3,'Asset Value'!$C$4:$C$102,Register!$C79)/1000</f>
        <v>0</v>
      </c>
      <c r="N79" s="20" t="n">
        <f aca="false">SUMIFS('Asset Value'!$F$4:$F$102,'Asset Value'!$B$4:$B$102,Register!N$3,'Asset Value'!$C$4:$C$102,Register!$C79)/1000</f>
        <v>0</v>
      </c>
    </row>
    <row r="80" customFormat="false" ht="15" hidden="false" customHeight="false" outlineLevel="0" collapsed="false">
      <c r="B80" s="16"/>
      <c r="C80" s="17"/>
      <c r="D80" s="17"/>
      <c r="E80" s="17"/>
      <c r="F80" s="21" t="s">
        <v>44</v>
      </c>
      <c r="H80" s="22" t="n">
        <f aca="false">H79/G79-1</f>
        <v>0.230994152046784</v>
      </c>
      <c r="I80" s="22" t="n">
        <f aca="false">I79/H79-1</f>
        <v>-0.0162311955661124</v>
      </c>
      <c r="J80" s="22" t="n">
        <f aca="false">J79/I79-1</f>
        <v>-1</v>
      </c>
      <c r="K80" s="22" t="e">
        <f aca="false">K79/J79-1</f>
        <v>#DIV/0!</v>
      </c>
      <c r="L80" s="22" t="e">
        <f aca="false">L79/K79-1</f>
        <v>#DIV/0!</v>
      </c>
      <c r="M80" s="22" t="e">
        <f aca="false">M79/L79-1</f>
        <v>#DIV/0!</v>
      </c>
      <c r="N80" s="23" t="e">
        <f aca="false">N79/M79-1</f>
        <v>#DIV/0!</v>
      </c>
    </row>
    <row r="81" customFormat="false" ht="15" hidden="false" customHeight="false" outlineLevel="0" collapsed="false">
      <c r="B81" s="16"/>
      <c r="C81" s="17"/>
      <c r="D81" s="17"/>
      <c r="E81" s="17"/>
      <c r="F81" s="1" t="s">
        <v>45</v>
      </c>
      <c r="G81" s="24" t="n">
        <f aca="false">SUMIFS(Rent!$E$3:$E$110,Rent!$C$3:$C$110,Register!G$3,Rent!$D$3:$D$110,Register!$C79)/1000</f>
        <v>1083.6</v>
      </c>
      <c r="H81" s="24" t="n">
        <f aca="false">SUMIFS(Rent!$E$3:$E$110,Rent!$C$3:$C$110,Register!H$3,Rent!$D$3:$D$110,Register!$C79)/1000</f>
        <v>948.15</v>
      </c>
      <c r="I81" s="24" t="n">
        <f aca="false">SUMIFS(Rent!$E$3:$E$110,Rent!$C$3:$C$110,Register!I$3,Rent!$D$3:$D$110,Register!$C79)/1000</f>
        <v>0</v>
      </c>
      <c r="J81" s="24" t="n">
        <f aca="false">SUMIFS(Rent!$E$3:$E$110,Rent!$C$3:$C$110,Register!J$3,Rent!$D$3:$D$110,Register!$C79)/1000</f>
        <v>0</v>
      </c>
      <c r="K81" s="24" t="n">
        <f aca="false">SUMIFS(Rent!$E$3:$E$110,Rent!$C$3:$C$110,Register!K$3,Rent!$D$3:$D$110,Register!$C79)/1000</f>
        <v>0</v>
      </c>
      <c r="L81" s="24" t="n">
        <f aca="false">SUMIFS(Rent!$E$3:$E$110,Rent!$C$3:$C$110,Register!L$3,Rent!$D$3:$D$110,Register!$C79)/1000</f>
        <v>0</v>
      </c>
      <c r="M81" s="24" t="n">
        <f aca="false">SUMIFS(Rent!$E$3:$E$110,Rent!$C$3:$C$110,Register!M$3,Rent!$D$3:$D$110,Register!$C79)/1000</f>
        <v>0</v>
      </c>
      <c r="N81" s="25" t="n">
        <f aca="false">SUMIFS(Rent!$E$3:$E$110,Rent!$C$3:$C$110,Register!N$3,Rent!$D$3:$D$110,Register!$C79)/1000</f>
        <v>0</v>
      </c>
    </row>
    <row r="82" customFormat="false" ht="15" hidden="false" customHeight="false" outlineLevel="0" collapsed="false">
      <c r="B82" s="16"/>
      <c r="C82" s="17"/>
      <c r="D82" s="17"/>
      <c r="E82" s="17"/>
      <c r="F82" s="21" t="s">
        <v>44</v>
      </c>
      <c r="H82" s="22" t="n">
        <f aca="false">H81/G81-1</f>
        <v>-0.125</v>
      </c>
      <c r="I82" s="22" t="n">
        <f aca="false">I81/H81-1</f>
        <v>-1</v>
      </c>
      <c r="J82" s="22" t="e">
        <f aca="false">J81/I81-1</f>
        <v>#DIV/0!</v>
      </c>
      <c r="K82" s="22" t="e">
        <f aca="false">K81/J81-1</f>
        <v>#DIV/0!</v>
      </c>
      <c r="L82" s="22" t="e">
        <f aca="false">L81/K81-1</f>
        <v>#DIV/0!</v>
      </c>
      <c r="M82" s="22" t="e">
        <f aca="false">M81/L81-1</f>
        <v>#DIV/0!</v>
      </c>
      <c r="N82" s="23" t="e">
        <f aca="false">N81/M81-1</f>
        <v>#DIV/0!</v>
      </c>
    </row>
    <row r="83" customFormat="false" ht="15" hidden="false" customHeight="false" outlineLevel="0" collapsed="false">
      <c r="B83" s="16"/>
      <c r="C83" s="17"/>
      <c r="D83" s="17"/>
      <c r="E83" s="17"/>
      <c r="F83" s="26" t="s">
        <v>46</v>
      </c>
      <c r="G83" s="27" t="n">
        <f aca="false">G81/G79</f>
        <v>0.0528070175438596</v>
      </c>
      <c r="H83" s="27" t="n">
        <f aca="false">H81/H79</f>
        <v>0.0375356294536817</v>
      </c>
      <c r="I83" s="27" t="n">
        <f aca="false">I81/I79</f>
        <v>0</v>
      </c>
      <c r="J83" s="27" t="e">
        <f aca="false">J81/J79</f>
        <v>#DIV/0!</v>
      </c>
      <c r="K83" s="27" t="e">
        <f aca="false">K81/K79</f>
        <v>#DIV/0!</v>
      </c>
      <c r="L83" s="27" t="e">
        <f aca="false">L81/L79</f>
        <v>#DIV/0!</v>
      </c>
      <c r="M83" s="27" t="e">
        <f aca="false">M81/M79</f>
        <v>#DIV/0!</v>
      </c>
      <c r="N83" s="28" t="e">
        <f aca="false">N81/N79</f>
        <v>#DIV/0!</v>
      </c>
    </row>
    <row r="84" customFormat="false" ht="15" hidden="false" customHeight="false" outlineLevel="0" collapsed="false">
      <c r="B84" s="29"/>
      <c r="C84" s="29"/>
      <c r="D84" s="29"/>
      <c r="E84" s="29"/>
    </row>
    <row r="85" customFormat="false" ht="15" hidden="false" customHeight="false" outlineLevel="0" collapsed="false">
      <c r="B85" s="29"/>
      <c r="C85" s="29"/>
      <c r="D85" s="29"/>
      <c r="E85" s="29"/>
    </row>
    <row r="86" customFormat="false" ht="15" hidden="false" customHeight="false" outlineLevel="0" collapsed="false">
      <c r="B86" s="29"/>
      <c r="C86" s="29"/>
      <c r="D86" s="29"/>
      <c r="E86" s="29"/>
    </row>
    <row r="87" customFormat="false" ht="15" hidden="false" customHeight="false" outlineLevel="0" collapsed="false">
      <c r="B87" s="29"/>
      <c r="C87" s="29"/>
      <c r="D87" s="29"/>
      <c r="E87" s="29"/>
    </row>
    <row r="88" customFormat="false" ht="15" hidden="false" customHeight="false" outlineLevel="0" collapsed="false">
      <c r="B88" s="29"/>
      <c r="C88" s="29"/>
      <c r="D88" s="29"/>
      <c r="E88" s="29"/>
    </row>
    <row r="89" customFormat="false" ht="15" hidden="false" customHeight="false" outlineLevel="0" collapsed="false">
      <c r="B89" s="29"/>
      <c r="C89" s="29"/>
      <c r="D89" s="29"/>
      <c r="E89" s="29"/>
    </row>
    <row r="90" customFormat="false" ht="15" hidden="false" customHeight="false" outlineLevel="0" collapsed="false">
      <c r="B90" s="29"/>
      <c r="C90" s="29"/>
      <c r="D90" s="29"/>
      <c r="E90" s="29"/>
    </row>
    <row r="91" customFormat="false" ht="15" hidden="false" customHeight="false" outlineLevel="0" collapsed="false">
      <c r="B91" s="29"/>
      <c r="C91" s="29"/>
      <c r="D91" s="29"/>
      <c r="E91" s="29"/>
    </row>
    <row r="92" customFormat="false" ht="15" hidden="false" customHeight="false" outlineLevel="0" collapsed="false">
      <c r="B92" s="29"/>
      <c r="C92" s="29"/>
      <c r="D92" s="29"/>
      <c r="E92" s="29"/>
    </row>
    <row r="93" customFormat="false" ht="15" hidden="false" customHeight="false" outlineLevel="0" collapsed="false">
      <c r="B93" s="29"/>
      <c r="C93" s="29"/>
      <c r="D93" s="29"/>
      <c r="E93" s="29"/>
    </row>
    <row r="94" customFormat="false" ht="15" hidden="false" customHeight="false" outlineLevel="0" collapsed="false">
      <c r="B94" s="29"/>
      <c r="C94" s="29"/>
      <c r="D94" s="29"/>
      <c r="E94" s="29"/>
    </row>
    <row r="95" customFormat="false" ht="15" hidden="false" customHeight="false" outlineLevel="0" collapsed="false">
      <c r="B95" s="29"/>
      <c r="C95" s="29"/>
      <c r="D95" s="29"/>
      <c r="E95" s="29"/>
    </row>
    <row r="96" customFormat="false" ht="15" hidden="false" customHeight="false" outlineLevel="0" collapsed="false">
      <c r="B96" s="29"/>
      <c r="C96" s="29"/>
      <c r="D96" s="29"/>
      <c r="E96" s="29"/>
    </row>
    <row r="97" customFormat="false" ht="15" hidden="false" customHeight="false" outlineLevel="0" collapsed="false">
      <c r="B97" s="29"/>
      <c r="C97" s="29"/>
      <c r="D97" s="29"/>
      <c r="E97" s="29"/>
    </row>
    <row r="98" customFormat="false" ht="15" hidden="false" customHeight="false" outlineLevel="0" collapsed="false">
      <c r="B98" s="29"/>
      <c r="C98" s="29"/>
      <c r="D98" s="29"/>
      <c r="E98" s="29"/>
    </row>
    <row r="99" customFormat="false" ht="15" hidden="false" customHeight="false" outlineLevel="0" collapsed="false">
      <c r="C99" s="29"/>
      <c r="D99" s="29"/>
    </row>
    <row r="100" customFormat="false" ht="15" hidden="false" customHeight="false" outlineLevel="0" collapsed="false">
      <c r="C100" s="29"/>
      <c r="D100" s="29"/>
    </row>
    <row r="101" customFormat="false" ht="15" hidden="false" customHeight="false" outlineLevel="0" collapsed="false">
      <c r="C101" s="29"/>
      <c r="D101" s="29"/>
    </row>
    <row r="102" customFormat="false" ht="15" hidden="false" customHeight="false" outlineLevel="0" collapsed="false">
      <c r="C102" s="29"/>
      <c r="D102" s="29"/>
    </row>
    <row r="103" customFormat="false" ht="15" hidden="false" customHeight="false" outlineLevel="0" collapsed="false">
      <c r="C103" s="29"/>
      <c r="D103" s="29"/>
    </row>
    <row r="104" customFormat="false" ht="15" hidden="false" customHeight="false" outlineLevel="0" collapsed="false">
      <c r="D104" s="29"/>
    </row>
    <row r="105" customFormat="false" ht="15" hidden="false" customHeight="false" outlineLevel="0" collapsed="false">
      <c r="D105" s="29"/>
    </row>
    <row r="106" customFormat="false" ht="15" hidden="false" customHeight="false" outlineLevel="0" collapsed="false">
      <c r="D106" s="29"/>
    </row>
    <row r="107" customFormat="false" ht="15" hidden="false" customHeight="false" outlineLevel="0" collapsed="false">
      <c r="D107" s="29"/>
    </row>
    <row r="108" customFormat="false" ht="15" hidden="false" customHeight="false" outlineLevel="0" collapsed="false">
      <c r="D108" s="29"/>
    </row>
    <row r="109" customFormat="false" ht="15" hidden="false" customHeight="false" outlineLevel="0" collapsed="false">
      <c r="D109" s="29"/>
    </row>
    <row r="110" customFormat="false" ht="15" hidden="false" customHeight="false" outlineLevel="0" collapsed="false">
      <c r="D110" s="29"/>
    </row>
    <row r="111" customFormat="false" ht="15" hidden="false" customHeight="false" outlineLevel="0" collapsed="false">
      <c r="D111" s="29"/>
    </row>
    <row r="112" customFormat="false" ht="15" hidden="false" customHeight="false" outlineLevel="0" collapsed="false">
      <c r="D112" s="29"/>
    </row>
    <row r="113" customFormat="false" ht="15" hidden="false" customHeight="false" outlineLevel="0" collapsed="false">
      <c r="D113" s="29"/>
    </row>
  </sheetData>
  <mergeCells count="80">
    <mergeCell ref="B4:B8"/>
    <mergeCell ref="C4:C8"/>
    <mergeCell ref="D4:D8"/>
    <mergeCell ref="E4:E8"/>
    <mergeCell ref="B9:B13"/>
    <mergeCell ref="C9:C13"/>
    <mergeCell ref="D9:D13"/>
    <mergeCell ref="E9:E13"/>
    <mergeCell ref="B14:B18"/>
    <mergeCell ref="C14:C18"/>
    <mergeCell ref="D14:D18"/>
    <mergeCell ref="E14:E18"/>
    <mergeCell ref="B19:B23"/>
    <mergeCell ref="C19:C23"/>
    <mergeCell ref="D19:D23"/>
    <mergeCell ref="E19:E23"/>
    <mergeCell ref="B24:B28"/>
    <mergeCell ref="C24:C28"/>
    <mergeCell ref="D24:D28"/>
    <mergeCell ref="E24:E28"/>
    <mergeCell ref="B29:B33"/>
    <mergeCell ref="C29:C33"/>
    <mergeCell ref="D29:D33"/>
    <mergeCell ref="E29:E33"/>
    <mergeCell ref="B34:B38"/>
    <mergeCell ref="C34:C38"/>
    <mergeCell ref="D34:D38"/>
    <mergeCell ref="E34:E38"/>
    <mergeCell ref="B39:B43"/>
    <mergeCell ref="C39:C43"/>
    <mergeCell ref="D39:D43"/>
    <mergeCell ref="E39:E43"/>
    <mergeCell ref="B44:B48"/>
    <mergeCell ref="C44:C48"/>
    <mergeCell ref="D44:D48"/>
    <mergeCell ref="E44:E48"/>
    <mergeCell ref="B49:B53"/>
    <mergeCell ref="C49:C53"/>
    <mergeCell ref="D49:D53"/>
    <mergeCell ref="E49:E53"/>
    <mergeCell ref="B54:B58"/>
    <mergeCell ref="C54:C58"/>
    <mergeCell ref="D54:D58"/>
    <mergeCell ref="E54:E58"/>
    <mergeCell ref="B59:B63"/>
    <mergeCell ref="C59:C63"/>
    <mergeCell ref="D59:D63"/>
    <mergeCell ref="E59:E63"/>
    <mergeCell ref="B64:B68"/>
    <mergeCell ref="C64:C68"/>
    <mergeCell ref="D64:D68"/>
    <mergeCell ref="E64:E68"/>
    <mergeCell ref="B69:B73"/>
    <mergeCell ref="C69:C73"/>
    <mergeCell ref="D69:D73"/>
    <mergeCell ref="E69:E73"/>
    <mergeCell ref="B74:B78"/>
    <mergeCell ref="C74:C78"/>
    <mergeCell ref="D74:D78"/>
    <mergeCell ref="E74:E78"/>
    <mergeCell ref="B79:B83"/>
    <mergeCell ref="C79:C83"/>
    <mergeCell ref="D79:D83"/>
    <mergeCell ref="E79:E83"/>
    <mergeCell ref="B84:B88"/>
    <mergeCell ref="C84:C88"/>
    <mergeCell ref="D84:D88"/>
    <mergeCell ref="E84:E88"/>
    <mergeCell ref="B89:B93"/>
    <mergeCell ref="C89:C93"/>
    <mergeCell ref="D89:D93"/>
    <mergeCell ref="E89:E93"/>
    <mergeCell ref="B94:B98"/>
    <mergeCell ref="C94:C98"/>
    <mergeCell ref="D94:D98"/>
    <mergeCell ref="E94:E98"/>
    <mergeCell ref="C99:C103"/>
    <mergeCell ref="D99:D103"/>
    <mergeCell ref="D104:D108"/>
    <mergeCell ref="D109:D1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L102"/>
  <sheetViews>
    <sheetView showFormulas="false" showGridLines="true" showRowColHeaders="true" showZeros="true" rightToLeft="false" tabSelected="false" showOutlineSymbols="true" defaultGridColor="true" view="normal" topLeftCell="A64" colorId="64" zoomScale="100" zoomScaleNormal="100" zoomScalePageLayoutView="100" workbookViewId="0">
      <selection pane="topLeft" activeCell="P80" activeCellId="0" sqref="P80"/>
    </sheetView>
  </sheetViews>
  <sheetFormatPr defaultColWidth="8.53125" defaultRowHeight="15" zeroHeight="false" outlineLevelRow="0" outlineLevelCol="0"/>
  <cols>
    <col collapsed="false" customWidth="true" hidden="false" outlineLevel="0" max="1" min="1" style="1" width="9.42"/>
    <col collapsed="false" customWidth="true" hidden="false" outlineLevel="0" max="2" min="2" style="1" width="6"/>
    <col collapsed="false" customWidth="true" hidden="false" outlineLevel="0" max="3" min="3" style="1" width="18.42"/>
    <col collapsed="false" customWidth="true" hidden="false" outlineLevel="0" max="4" min="4" style="1" width="15.85"/>
    <col collapsed="false" customWidth="true" hidden="false" outlineLevel="0" max="5" min="5" style="1" width="13.28"/>
    <col collapsed="false" customWidth="true" hidden="false" outlineLevel="0" max="6" min="6" style="1" width="14"/>
    <col collapsed="false" customWidth="true" hidden="false" outlineLevel="0" max="7" min="7" style="1" width="9.57"/>
    <col collapsed="false" customWidth="true" hidden="false" outlineLevel="0" max="9" min="8" style="1" width="14"/>
    <col collapsed="false" customWidth="true" hidden="false" outlineLevel="0" max="10" min="10" style="1" width="10"/>
  </cols>
  <sheetData>
    <row r="3" customFormat="false" ht="15" hidden="false" customHeight="false" outlineLevel="0" collapsed="false">
      <c r="A3" s="1" t="s">
        <v>67</v>
      </c>
      <c r="B3" s="1" t="s">
        <v>3</v>
      </c>
      <c r="C3" s="1" t="s">
        <v>68</v>
      </c>
      <c r="D3" s="1" t="s">
        <v>69</v>
      </c>
      <c r="E3" s="1" t="s">
        <v>70</v>
      </c>
      <c r="F3" s="1" t="s">
        <v>71</v>
      </c>
      <c r="G3" s="1" t="s">
        <v>72</v>
      </c>
      <c r="H3" s="1" t="s">
        <v>73</v>
      </c>
      <c r="I3" s="1" t="s">
        <v>74</v>
      </c>
      <c r="J3" s="1" t="s">
        <v>75</v>
      </c>
      <c r="L3" s="3" t="s">
        <v>76</v>
      </c>
    </row>
    <row r="4" customFormat="false" ht="15" hidden="false" customHeight="false" outlineLevel="0" collapsed="false">
      <c r="A4" s="30" t="n">
        <v>39568</v>
      </c>
      <c r="B4" s="1" t="n">
        <v>2008</v>
      </c>
      <c r="C4" s="1" t="s">
        <v>19</v>
      </c>
      <c r="D4" s="31" t="n">
        <v>17094</v>
      </c>
      <c r="E4" s="31" t="n">
        <v>143610</v>
      </c>
      <c r="F4" s="31" t="n">
        <f aca="false">E4*1000</f>
        <v>143610000</v>
      </c>
      <c r="G4" s="32" t="n">
        <f aca="false">F4/D4</f>
        <v>8401.1934011934</v>
      </c>
      <c r="H4" s="33" t="str">
        <f aca="false">IFERROR(INDEX(PTAX!$C$5:$C$5000,MATCH($A4,PTAX!$B$5:$B$5000,1)),"")</f>
        <v/>
      </c>
      <c r="I4" s="9" t="str">
        <f aca="false">IF(H4="","",F4/H4)</f>
        <v/>
      </c>
      <c r="J4" s="34" t="str">
        <f aca="false">IF(H4="","",I4/D4)</f>
        <v/>
      </c>
    </row>
    <row r="5" customFormat="false" ht="15" hidden="false" customHeight="false" outlineLevel="0" collapsed="false">
      <c r="A5" s="30" t="n">
        <v>39568</v>
      </c>
      <c r="B5" s="1" t="n">
        <v>2008</v>
      </c>
      <c r="C5" s="1" t="s">
        <v>20</v>
      </c>
      <c r="D5" s="31" t="n">
        <v>17489</v>
      </c>
      <c r="E5" s="31" t="n">
        <v>207710</v>
      </c>
      <c r="F5" s="31" t="n">
        <f aca="false">E5*1000</f>
        <v>207710000</v>
      </c>
      <c r="G5" s="32" t="n">
        <f aca="false">F5/D5</f>
        <v>11876.6081536966</v>
      </c>
      <c r="H5" s="33" t="str">
        <f aca="false">IFERROR(INDEX(PTAX!$C$5:$C$5000,MATCH($A5,PTAX!$B$5:$B$5000,1)),"")</f>
        <v/>
      </c>
      <c r="I5" s="9" t="str">
        <f aca="false">IF(H5="","",F5/H5)</f>
        <v/>
      </c>
      <c r="J5" s="34" t="str">
        <f aca="false">IF(H5="","",I5/D5)</f>
        <v/>
      </c>
    </row>
    <row r="6" customFormat="false" ht="15" hidden="false" customHeight="false" outlineLevel="0" collapsed="false">
      <c r="A6" s="30" t="n">
        <v>39568</v>
      </c>
      <c r="B6" s="1" t="n">
        <v>2008</v>
      </c>
      <c r="C6" s="1" t="s">
        <v>21</v>
      </c>
      <c r="D6" s="31" t="n">
        <v>18256</v>
      </c>
      <c r="E6" s="31" t="n">
        <v>106940</v>
      </c>
      <c r="F6" s="31" t="n">
        <f aca="false">E6*1000</f>
        <v>106940000</v>
      </c>
      <c r="G6" s="32" t="n">
        <f aca="false">F6/D6</f>
        <v>5857.80017528484</v>
      </c>
      <c r="H6" s="33" t="str">
        <f aca="false">IFERROR(INDEX(PTAX!$C$5:$C$5000,MATCH($A6,PTAX!$B$5:$B$5000,1)),"")</f>
        <v/>
      </c>
      <c r="I6" s="9" t="str">
        <f aca="false">IF(H6="","",F6/H6)</f>
        <v/>
      </c>
      <c r="J6" s="34" t="str">
        <f aca="false">IF(H6="","",I6/D6)</f>
        <v/>
      </c>
    </row>
    <row r="7" customFormat="false" ht="15" hidden="false" customHeight="false" outlineLevel="0" collapsed="false">
      <c r="A7" s="30" t="n">
        <v>39568</v>
      </c>
      <c r="B7" s="1" t="n">
        <v>2008</v>
      </c>
      <c r="C7" s="1" t="s">
        <v>25</v>
      </c>
      <c r="D7" s="31" t="n">
        <v>26084</v>
      </c>
      <c r="E7" s="31" t="n">
        <v>156660</v>
      </c>
      <c r="F7" s="31" t="n">
        <f aca="false">E7*1000</f>
        <v>156660000</v>
      </c>
      <c r="G7" s="32" t="n">
        <f aca="false">F7/D7</f>
        <v>6005.98067781015</v>
      </c>
      <c r="H7" s="33" t="str">
        <f aca="false">IFERROR(INDEX(PTAX!$C$5:$C$5000,MATCH($A7,PTAX!$B$5:$B$5000,1)),"")</f>
        <v/>
      </c>
      <c r="I7" s="9" t="str">
        <f aca="false">IF(H7="","",F7/H7)</f>
        <v/>
      </c>
      <c r="J7" s="34" t="str">
        <f aca="false">IF(H7="","",I7/D7)</f>
        <v/>
      </c>
    </row>
    <row r="8" customFormat="false" ht="15" hidden="false" customHeight="false" outlineLevel="0" collapsed="false">
      <c r="A8" s="30" t="n">
        <v>39568</v>
      </c>
      <c r="B8" s="1" t="n">
        <v>2008</v>
      </c>
      <c r="C8" s="1" t="s">
        <v>33</v>
      </c>
      <c r="D8" s="31" t="n">
        <v>14963</v>
      </c>
      <c r="E8" s="31" t="n">
        <v>20520</v>
      </c>
      <c r="F8" s="31" t="n">
        <f aca="false">E8*1000</f>
        <v>20520000</v>
      </c>
      <c r="G8" s="32" t="n">
        <f aca="false">F8/D8</f>
        <v>1371.38274410212</v>
      </c>
      <c r="H8" s="33" t="str">
        <f aca="false">IFERROR(INDEX(PTAX!$C$5:$C$5000,MATCH($A8,PTAX!$B$5:$B$5000,1)),"")</f>
        <v/>
      </c>
      <c r="I8" s="9" t="str">
        <f aca="false">IF(H8="","",F8/H8)</f>
        <v/>
      </c>
      <c r="J8" s="34" t="str">
        <f aca="false">IF(H8="","",I8/D8)</f>
        <v/>
      </c>
    </row>
    <row r="9" customFormat="false" ht="15" hidden="false" customHeight="false" outlineLevel="0" collapsed="false">
      <c r="A9" s="30" t="n">
        <v>39568</v>
      </c>
      <c r="B9" s="1" t="n">
        <v>2008</v>
      </c>
      <c r="C9" s="1" t="s">
        <v>30</v>
      </c>
      <c r="D9" s="31" t="n">
        <v>13159</v>
      </c>
      <c r="E9" s="31" t="n">
        <v>108480</v>
      </c>
      <c r="F9" s="31" t="n">
        <f aca="false">E9*1000</f>
        <v>108480000</v>
      </c>
      <c r="G9" s="32" t="n">
        <f aca="false">F9/D9</f>
        <v>8243.78752184816</v>
      </c>
      <c r="H9" s="33" t="str">
        <f aca="false">IFERROR(INDEX(PTAX!$C$5:$C$5000,MATCH($A9,PTAX!$B$5:$B$5000,1)),"")</f>
        <v/>
      </c>
      <c r="I9" s="9" t="str">
        <f aca="false">IF(H9="","",F9/H9)</f>
        <v/>
      </c>
      <c r="J9" s="34" t="str">
        <f aca="false">IF(H9="","",I9/D9)</f>
        <v/>
      </c>
    </row>
    <row r="10" customFormat="false" ht="15" hidden="false" customHeight="false" outlineLevel="0" collapsed="false">
      <c r="A10" s="30" t="n">
        <v>39568</v>
      </c>
      <c r="B10" s="1" t="n">
        <v>2008</v>
      </c>
      <c r="C10" s="1" t="s">
        <v>26</v>
      </c>
      <c r="D10" s="31" t="n">
        <v>26257</v>
      </c>
      <c r="E10" s="31" t="n">
        <v>218840</v>
      </c>
      <c r="F10" s="31" t="n">
        <f aca="false">E10*1000</f>
        <v>218840000</v>
      </c>
      <c r="G10" s="32" t="n">
        <f aca="false">F10/D10</f>
        <v>8334.53936093232</v>
      </c>
      <c r="H10" s="33" t="str">
        <f aca="false">IFERROR(INDEX(PTAX!$C$5:$C$5000,MATCH($A10,PTAX!$B$5:$B$5000,1)),"")</f>
        <v/>
      </c>
      <c r="I10" s="9" t="str">
        <f aca="false">IF(H10="","",F10/H10)</f>
        <v/>
      </c>
      <c r="J10" s="34" t="str">
        <f aca="false">IF(H10="","",I10/D10)</f>
        <v/>
      </c>
    </row>
    <row r="11" customFormat="false" ht="15" hidden="false" customHeight="false" outlineLevel="0" collapsed="false">
      <c r="A11" s="30" t="n">
        <v>39568</v>
      </c>
      <c r="B11" s="1" t="n">
        <v>2008</v>
      </c>
      <c r="C11" s="1" t="s">
        <v>22</v>
      </c>
      <c r="D11" s="31" t="n">
        <v>9220</v>
      </c>
      <c r="E11" s="31" t="n">
        <v>75090</v>
      </c>
      <c r="F11" s="31" t="n">
        <f aca="false">E11*1000</f>
        <v>75090000</v>
      </c>
      <c r="G11" s="32" t="n">
        <f aca="false">F11/D11</f>
        <v>8144.25162689805</v>
      </c>
      <c r="H11" s="33" t="str">
        <f aca="false">IFERROR(INDEX(PTAX!$C$5:$C$5000,MATCH($A11,PTAX!$B$5:$B$5000,1)),"")</f>
        <v/>
      </c>
      <c r="I11" s="9" t="str">
        <f aca="false">IF(H11="","",F11/H11)</f>
        <v/>
      </c>
      <c r="J11" s="34" t="str">
        <f aca="false">IF(H11="","",I11/D11)</f>
        <v/>
      </c>
    </row>
    <row r="12" customFormat="false" ht="15" hidden="false" customHeight="false" outlineLevel="0" collapsed="false">
      <c r="A12" s="30" t="n">
        <v>39568</v>
      </c>
      <c r="B12" s="1" t="n">
        <v>2008</v>
      </c>
      <c r="C12" s="1" t="s">
        <v>23</v>
      </c>
      <c r="D12" s="31" t="n">
        <v>25002</v>
      </c>
      <c r="E12" s="31" t="n">
        <v>58920</v>
      </c>
      <c r="F12" s="31" t="n">
        <f aca="false">E12*1000</f>
        <v>58920000</v>
      </c>
      <c r="G12" s="32" t="n">
        <f aca="false">F12/D12</f>
        <v>2356.61147108231</v>
      </c>
      <c r="H12" s="33" t="str">
        <f aca="false">IFERROR(INDEX(PTAX!$C$5:$C$5000,MATCH($A12,PTAX!$B$5:$B$5000,1)),"")</f>
        <v/>
      </c>
      <c r="I12" s="9" t="str">
        <f aca="false">IF(H12="","",F12/H12)</f>
        <v/>
      </c>
      <c r="J12" s="34" t="str">
        <f aca="false">IF(H12="","",I12/D12)</f>
        <v/>
      </c>
    </row>
    <row r="13" customFormat="false" ht="15" hidden="false" customHeight="false" outlineLevel="0" collapsed="false">
      <c r="A13" s="30" t="n">
        <v>39961</v>
      </c>
      <c r="B13" s="1" t="n">
        <v>2009</v>
      </c>
      <c r="C13" s="1" t="s">
        <v>19</v>
      </c>
      <c r="D13" s="31" t="n">
        <v>17094</v>
      </c>
      <c r="E13" s="31" t="n">
        <v>158220</v>
      </c>
      <c r="F13" s="31" t="n">
        <f aca="false">E13*1000</f>
        <v>158220000</v>
      </c>
      <c r="G13" s="32" t="n">
        <f aca="false">F13/D13</f>
        <v>9255.87925587926</v>
      </c>
      <c r="H13" s="33" t="str">
        <f aca="false">IFERROR(INDEX(PTAX!$C$5:$C$5000,MATCH($A13,PTAX!$B$5:$B$5000,1)),"")</f>
        <v/>
      </c>
      <c r="I13" s="9" t="str">
        <f aca="false">IF(H13="","",F13/H13)</f>
        <v/>
      </c>
      <c r="J13" s="34" t="str">
        <f aca="false">IF(H13="","",I13/D13)</f>
        <v/>
      </c>
    </row>
    <row r="14" customFormat="false" ht="15" hidden="false" customHeight="false" outlineLevel="0" collapsed="false">
      <c r="A14" s="30" t="n">
        <v>39961</v>
      </c>
      <c r="B14" s="1" t="n">
        <v>2009</v>
      </c>
      <c r="C14" s="1" t="s">
        <v>20</v>
      </c>
      <c r="D14" s="31" t="n">
        <v>17489</v>
      </c>
      <c r="E14" s="31" t="n">
        <v>234810</v>
      </c>
      <c r="F14" s="31" t="n">
        <f aca="false">E14*1000</f>
        <v>234810000</v>
      </c>
      <c r="G14" s="32" t="n">
        <f aca="false">F14/D14</f>
        <v>13426.1535822517</v>
      </c>
      <c r="H14" s="33" t="str">
        <f aca="false">IFERROR(INDEX(PTAX!$C$5:$C$5000,MATCH($A14,PTAX!$B$5:$B$5000,1)),"")</f>
        <v/>
      </c>
      <c r="I14" s="9" t="str">
        <f aca="false">IF(H14="","",F14/H14)</f>
        <v/>
      </c>
      <c r="J14" s="34" t="str">
        <f aca="false">IF(H14="","",I14/D14)</f>
        <v/>
      </c>
    </row>
    <row r="15" customFormat="false" ht="15" hidden="false" customHeight="false" outlineLevel="0" collapsed="false">
      <c r="A15" s="30" t="n">
        <v>39961</v>
      </c>
      <c r="B15" s="1" t="n">
        <v>2009</v>
      </c>
      <c r="C15" s="1" t="s">
        <v>21</v>
      </c>
      <c r="D15" s="31" t="n">
        <v>18256</v>
      </c>
      <c r="E15" s="31" t="n">
        <v>118040</v>
      </c>
      <c r="F15" s="31" t="n">
        <f aca="false">E15*1000</f>
        <v>118040000</v>
      </c>
      <c r="G15" s="32" t="n">
        <f aca="false">F15/D15</f>
        <v>6465.819456617</v>
      </c>
      <c r="H15" s="33" t="str">
        <f aca="false">IFERROR(INDEX(PTAX!$C$5:$C$5000,MATCH($A15,PTAX!$B$5:$B$5000,1)),"")</f>
        <v/>
      </c>
      <c r="I15" s="9" t="str">
        <f aca="false">IF(H15="","",F15/H15)</f>
        <v/>
      </c>
      <c r="J15" s="34" t="str">
        <f aca="false">IF(H15="","",I15/D15)</f>
        <v/>
      </c>
    </row>
    <row r="16" customFormat="false" ht="15" hidden="false" customHeight="false" outlineLevel="0" collapsed="false">
      <c r="A16" s="30" t="n">
        <v>39961</v>
      </c>
      <c r="B16" s="1" t="n">
        <v>2009</v>
      </c>
      <c r="C16" s="1" t="s">
        <v>25</v>
      </c>
      <c r="D16" s="31" t="n">
        <v>33798</v>
      </c>
      <c r="E16" s="31" t="n">
        <v>207350</v>
      </c>
      <c r="F16" s="31" t="n">
        <f aca="false">E16*1000</f>
        <v>207350000</v>
      </c>
      <c r="G16" s="32" t="n">
        <f aca="false">F16/D16</f>
        <v>6134.97840108882</v>
      </c>
      <c r="H16" s="33" t="str">
        <f aca="false">IFERROR(INDEX(PTAX!$C$5:$C$5000,MATCH($A16,PTAX!$B$5:$B$5000,1)),"")</f>
        <v/>
      </c>
      <c r="I16" s="9" t="str">
        <f aca="false">IF(H16="","",F16/H16)</f>
        <v/>
      </c>
      <c r="J16" s="34" t="str">
        <f aca="false">IF(H16="","",I16/D16)</f>
        <v/>
      </c>
    </row>
    <row r="17" customFormat="false" ht="15" hidden="false" customHeight="false" outlineLevel="0" collapsed="false">
      <c r="A17" s="30" t="n">
        <v>39961</v>
      </c>
      <c r="B17" s="1" t="n">
        <v>2009</v>
      </c>
      <c r="C17" s="1" t="s">
        <v>33</v>
      </c>
      <c r="D17" s="31" t="n">
        <v>14963</v>
      </c>
      <c r="E17" s="31" t="n">
        <v>25260</v>
      </c>
      <c r="F17" s="31" t="n">
        <f aca="false">E17*1000</f>
        <v>25260000</v>
      </c>
      <c r="G17" s="32" t="n">
        <f aca="false">F17/D17</f>
        <v>1688.16413820758</v>
      </c>
      <c r="H17" s="33" t="str">
        <f aca="false">IFERROR(INDEX(PTAX!$C$5:$C$5000,MATCH($A17,PTAX!$B$5:$B$5000,1)),"")</f>
        <v/>
      </c>
      <c r="I17" s="9" t="str">
        <f aca="false">IF(H17="","",F17/H17)</f>
        <v/>
      </c>
      <c r="J17" s="34" t="str">
        <f aca="false">IF(H17="","",I17/D17)</f>
        <v/>
      </c>
    </row>
    <row r="18" customFormat="false" ht="15" hidden="false" customHeight="false" outlineLevel="0" collapsed="false">
      <c r="A18" s="30" t="n">
        <v>39961</v>
      </c>
      <c r="B18" s="1" t="n">
        <v>2009</v>
      </c>
      <c r="C18" s="1" t="s">
        <v>30</v>
      </c>
      <c r="D18" s="31" t="n">
        <v>23794</v>
      </c>
      <c r="E18" s="31" t="n">
        <v>232990</v>
      </c>
      <c r="F18" s="31" t="n">
        <f aca="false">E18*1000</f>
        <v>232990000</v>
      </c>
      <c r="G18" s="32" t="n">
        <f aca="false">F18/D18</f>
        <v>9791.96436076322</v>
      </c>
      <c r="H18" s="33" t="str">
        <f aca="false">IFERROR(INDEX(PTAX!$C$5:$C$5000,MATCH($A18,PTAX!$B$5:$B$5000,1)),"")</f>
        <v/>
      </c>
      <c r="I18" s="9" t="str">
        <f aca="false">IF(H18="","",F18/H18)</f>
        <v/>
      </c>
      <c r="J18" s="34" t="str">
        <f aca="false">IF(H18="","",I18/D18)</f>
        <v/>
      </c>
    </row>
    <row r="19" customFormat="false" ht="15" hidden="false" customHeight="false" outlineLevel="0" collapsed="false">
      <c r="A19" s="30" t="n">
        <v>39961</v>
      </c>
      <c r="B19" s="1" t="n">
        <v>2009</v>
      </c>
      <c r="C19" s="1" t="s">
        <v>26</v>
      </c>
      <c r="D19" s="31" t="n">
        <v>26257</v>
      </c>
      <c r="E19" s="31" t="n">
        <v>265050</v>
      </c>
      <c r="F19" s="31" t="n">
        <f aca="false">E19*1000</f>
        <v>265050000</v>
      </c>
      <c r="G19" s="32" t="n">
        <f aca="false">F19/D19</f>
        <v>10094.4510035419</v>
      </c>
      <c r="H19" s="33" t="str">
        <f aca="false">IFERROR(INDEX(PTAX!$C$5:$C$5000,MATCH($A19,PTAX!$B$5:$B$5000,1)),"")</f>
        <v/>
      </c>
      <c r="I19" s="9" t="str">
        <f aca="false">IF(H19="","",F19/H19)</f>
        <v/>
      </c>
      <c r="J19" s="34" t="str">
        <f aca="false">IF(H19="","",I19/D19)</f>
        <v/>
      </c>
    </row>
    <row r="20" customFormat="false" ht="15" hidden="false" customHeight="false" outlineLevel="0" collapsed="false">
      <c r="A20" s="30" t="n">
        <v>39961</v>
      </c>
      <c r="B20" s="1" t="n">
        <v>2009</v>
      </c>
      <c r="C20" s="1" t="s">
        <v>22</v>
      </c>
      <c r="D20" s="31" t="n">
        <v>9220</v>
      </c>
      <c r="E20" s="31" t="n">
        <v>86360</v>
      </c>
      <c r="F20" s="31" t="n">
        <f aca="false">E20*1000</f>
        <v>86360000</v>
      </c>
      <c r="G20" s="32" t="n">
        <f aca="false">F20/D20</f>
        <v>9366.59436008677</v>
      </c>
      <c r="H20" s="33" t="str">
        <f aca="false">IFERROR(INDEX(PTAX!$C$5:$C$5000,MATCH($A20,PTAX!$B$5:$B$5000,1)),"")</f>
        <v/>
      </c>
      <c r="I20" s="9" t="str">
        <f aca="false">IF(H20="","",F20/H20)</f>
        <v/>
      </c>
      <c r="J20" s="34" t="str">
        <f aca="false">IF(H20="","",I20/D20)</f>
        <v/>
      </c>
    </row>
    <row r="21" customFormat="false" ht="15" hidden="false" customHeight="false" outlineLevel="0" collapsed="false">
      <c r="A21" s="30" t="n">
        <v>39961</v>
      </c>
      <c r="B21" s="1" t="n">
        <v>2009</v>
      </c>
      <c r="C21" s="1" t="s">
        <v>23</v>
      </c>
      <c r="D21" s="31" t="n">
        <v>25002</v>
      </c>
      <c r="E21" s="31" t="n">
        <v>94840</v>
      </c>
      <c r="F21" s="31" t="n">
        <f aca="false">E21*1000</f>
        <v>94840000</v>
      </c>
      <c r="G21" s="32" t="n">
        <f aca="false">F21/D21</f>
        <v>3793.2965362771</v>
      </c>
      <c r="H21" s="33" t="str">
        <f aca="false">IFERROR(INDEX(PTAX!$C$5:$C$5000,MATCH($A21,PTAX!$B$5:$B$5000,1)),"")</f>
        <v/>
      </c>
      <c r="I21" s="9" t="str">
        <f aca="false">IF(H21="","",F21/H21)</f>
        <v/>
      </c>
      <c r="J21" s="34" t="str">
        <f aca="false">IF(H21="","",I21/D21)</f>
        <v/>
      </c>
    </row>
    <row r="22" customFormat="false" ht="15" hidden="false" customHeight="false" outlineLevel="0" collapsed="false">
      <c r="A22" s="30" t="n">
        <v>39961</v>
      </c>
      <c r="B22" s="1" t="n">
        <v>2009</v>
      </c>
      <c r="C22" s="1" t="s">
        <v>24</v>
      </c>
      <c r="D22" s="31" t="n">
        <v>5280</v>
      </c>
      <c r="E22" s="31" t="n">
        <v>22780</v>
      </c>
      <c r="F22" s="31" t="n">
        <f aca="false">E22*1000</f>
        <v>22780000</v>
      </c>
      <c r="G22" s="32" t="n">
        <f aca="false">F22/D22</f>
        <v>4314.39393939394</v>
      </c>
      <c r="H22" s="33" t="str">
        <f aca="false">IFERROR(INDEX(PTAX!$C$5:$C$5000,MATCH($A22,PTAX!$B$5:$B$5000,1)),"")</f>
        <v/>
      </c>
      <c r="I22" s="9" t="str">
        <f aca="false">IF(H22="","",F22/H22)</f>
        <v/>
      </c>
      <c r="J22" s="34" t="str">
        <f aca="false">IF(H22="","",I22/D22)</f>
        <v/>
      </c>
    </row>
    <row r="23" customFormat="false" ht="15" hidden="false" customHeight="false" outlineLevel="0" collapsed="false">
      <c r="A23" s="30" t="n">
        <v>39961</v>
      </c>
      <c r="B23" s="1" t="n">
        <v>2009</v>
      </c>
      <c r="C23" s="1" t="s">
        <v>31</v>
      </c>
      <c r="D23" s="31" t="n">
        <v>26712</v>
      </c>
      <c r="E23" s="31" t="n">
        <v>49990</v>
      </c>
      <c r="F23" s="31" t="n">
        <f aca="false">E23*1000</f>
        <v>49990000</v>
      </c>
      <c r="G23" s="32" t="n">
        <f aca="false">F23/D23</f>
        <v>1871.44354597185</v>
      </c>
      <c r="H23" s="33" t="str">
        <f aca="false">IFERROR(INDEX(PTAX!$C$5:$C$5000,MATCH($A23,PTAX!$B$5:$B$5000,1)),"")</f>
        <v/>
      </c>
      <c r="I23" s="9" t="str">
        <f aca="false">IF(H23="","",F23/H23)</f>
        <v/>
      </c>
      <c r="J23" s="34" t="str">
        <f aca="false">IF(H23="","",I23/D23)</f>
        <v/>
      </c>
    </row>
    <row r="24" customFormat="false" ht="15" hidden="false" customHeight="false" outlineLevel="0" collapsed="false">
      <c r="A24" s="30" t="n">
        <v>40298</v>
      </c>
      <c r="B24" s="1" t="n">
        <v>2010</v>
      </c>
      <c r="C24" s="1" t="s">
        <v>19</v>
      </c>
      <c r="D24" s="31" t="n">
        <v>17094</v>
      </c>
      <c r="E24" s="31" t="n">
        <v>164240</v>
      </c>
      <c r="F24" s="31" t="n">
        <f aca="false">E24*1000</f>
        <v>164240000</v>
      </c>
      <c r="G24" s="32" t="n">
        <f aca="false">F24/D24</f>
        <v>9608.04960804961</v>
      </c>
      <c r="H24" s="33" t="str">
        <f aca="false">IFERROR(INDEX(PTAX!$C$5:$C$5000,MATCH($A24,PTAX!$B$5:$B$5000,1)),"")</f>
        <v/>
      </c>
      <c r="I24" s="9" t="str">
        <f aca="false">IF(H24="","",F24/H24)</f>
        <v/>
      </c>
      <c r="J24" s="34" t="str">
        <f aca="false">IF(H24="","",I24/D24)</f>
        <v/>
      </c>
    </row>
    <row r="25" customFormat="false" ht="15" hidden="false" customHeight="false" outlineLevel="0" collapsed="false">
      <c r="A25" s="30" t="n">
        <v>40298</v>
      </c>
      <c r="B25" s="1" t="n">
        <v>2010</v>
      </c>
      <c r="C25" s="1" t="s">
        <v>20</v>
      </c>
      <c r="D25" s="31" t="n">
        <v>17490</v>
      </c>
      <c r="E25" s="31" t="n">
        <v>241810</v>
      </c>
      <c r="F25" s="31" t="n">
        <f aca="false">E25*1000</f>
        <v>241810000</v>
      </c>
      <c r="G25" s="32" t="n">
        <f aca="false">F25/D25</f>
        <v>13825.6146369354</v>
      </c>
      <c r="H25" s="33" t="str">
        <f aca="false">IFERROR(INDEX(PTAX!$C$5:$C$5000,MATCH($A25,PTAX!$B$5:$B$5000,1)),"")</f>
        <v/>
      </c>
      <c r="I25" s="9" t="str">
        <f aca="false">IF(H25="","",F25/H25)</f>
        <v/>
      </c>
      <c r="J25" s="34" t="str">
        <f aca="false">IF(H25="","",I25/D25)</f>
        <v/>
      </c>
    </row>
    <row r="26" customFormat="false" ht="15" hidden="false" customHeight="false" outlineLevel="0" collapsed="false">
      <c r="A26" s="30" t="n">
        <v>40298</v>
      </c>
      <c r="B26" s="1" t="n">
        <v>2010</v>
      </c>
      <c r="C26" s="1" t="s">
        <v>30</v>
      </c>
      <c r="D26" s="31" t="n">
        <v>23793</v>
      </c>
      <c r="E26" s="31" t="n">
        <v>200050</v>
      </c>
      <c r="F26" s="31" t="n">
        <f aca="false">E26*1000</f>
        <v>200050000</v>
      </c>
      <c r="G26" s="32" t="n">
        <f aca="false">F26/D26</f>
        <v>8407.93510696423</v>
      </c>
      <c r="H26" s="33" t="str">
        <f aca="false">IFERROR(INDEX(PTAX!$C$5:$C$5000,MATCH($A26,PTAX!$B$5:$B$5000,1)),"")</f>
        <v/>
      </c>
      <c r="I26" s="9" t="str">
        <f aca="false">IF(H26="","",F26/H26)</f>
        <v/>
      </c>
      <c r="J26" s="34" t="str">
        <f aca="false">IF(H26="","",I26/D26)</f>
        <v/>
      </c>
    </row>
    <row r="27" customFormat="false" ht="15" hidden="false" customHeight="false" outlineLevel="0" collapsed="false">
      <c r="A27" s="30" t="n">
        <v>40298</v>
      </c>
      <c r="B27" s="1" t="n">
        <v>2010</v>
      </c>
      <c r="C27" s="1" t="s">
        <v>26</v>
      </c>
      <c r="D27" s="31" t="n">
        <v>26257</v>
      </c>
      <c r="E27" s="31" t="n">
        <v>243950</v>
      </c>
      <c r="F27" s="31" t="n">
        <f aca="false">E27*1000</f>
        <v>243950000</v>
      </c>
      <c r="G27" s="32" t="n">
        <f aca="false">F27/D27</f>
        <v>9290.85577179419</v>
      </c>
      <c r="H27" s="33" t="str">
        <f aca="false">IFERROR(INDEX(PTAX!$C$5:$C$5000,MATCH($A27,PTAX!$B$5:$B$5000,1)),"")</f>
        <v/>
      </c>
      <c r="I27" s="9" t="str">
        <f aca="false">IF(H27="","",F27/H27)</f>
        <v/>
      </c>
      <c r="J27" s="34" t="str">
        <f aca="false">IF(H27="","",I27/D27)</f>
        <v/>
      </c>
    </row>
    <row r="28" customFormat="false" ht="15" hidden="false" customHeight="false" outlineLevel="0" collapsed="false">
      <c r="A28" s="30" t="n">
        <v>40298</v>
      </c>
      <c r="B28" s="1" t="n">
        <v>2010</v>
      </c>
      <c r="C28" s="1" t="s">
        <v>25</v>
      </c>
      <c r="D28" s="31" t="n">
        <v>33734</v>
      </c>
      <c r="E28" s="31" t="n">
        <v>199850</v>
      </c>
      <c r="F28" s="31" t="n">
        <f aca="false">E28*1000</f>
        <v>199850000</v>
      </c>
      <c r="G28" s="32" t="n">
        <f aca="false">F28/D28</f>
        <v>5924.2900337938</v>
      </c>
      <c r="H28" s="33" t="str">
        <f aca="false">IFERROR(INDEX(PTAX!$C$5:$C$5000,MATCH($A28,PTAX!$B$5:$B$5000,1)),"")</f>
        <v/>
      </c>
      <c r="I28" s="9" t="str">
        <f aca="false">IF(H28="","",F28/H28)</f>
        <v/>
      </c>
      <c r="J28" s="34" t="str">
        <f aca="false">IF(H28="","",I28/D28)</f>
        <v/>
      </c>
    </row>
    <row r="29" customFormat="false" ht="15" hidden="false" customHeight="false" outlineLevel="0" collapsed="false">
      <c r="A29" s="30" t="n">
        <v>40298</v>
      </c>
      <c r="B29" s="1" t="n">
        <v>2010</v>
      </c>
      <c r="C29" s="1" t="s">
        <v>21</v>
      </c>
      <c r="D29" s="31" t="n">
        <v>22787</v>
      </c>
      <c r="E29" s="31" t="n">
        <v>142170</v>
      </c>
      <c r="F29" s="31" t="n">
        <f aca="false">E29*1000</f>
        <v>142170000</v>
      </c>
      <c r="G29" s="32" t="n">
        <f aca="false">F29/D29</f>
        <v>6239.08368806776</v>
      </c>
      <c r="H29" s="33" t="str">
        <f aca="false">IFERROR(INDEX(PTAX!$C$5:$C$5000,MATCH($A29,PTAX!$B$5:$B$5000,1)),"")</f>
        <v/>
      </c>
      <c r="I29" s="9" t="str">
        <f aca="false">IF(H29="","",F29/H29)</f>
        <v/>
      </c>
      <c r="J29" s="34" t="str">
        <f aca="false">IF(H29="","",I29/D29)</f>
        <v/>
      </c>
    </row>
    <row r="30" customFormat="false" ht="15" hidden="false" customHeight="false" outlineLevel="0" collapsed="false">
      <c r="A30" s="30" t="n">
        <v>40298</v>
      </c>
      <c r="B30" s="1" t="n">
        <v>2010</v>
      </c>
      <c r="C30" s="1" t="s">
        <v>33</v>
      </c>
      <c r="D30" s="31" t="n">
        <v>14625</v>
      </c>
      <c r="E30" s="31" t="n">
        <v>24850</v>
      </c>
      <c r="F30" s="31" t="n">
        <f aca="false">E30*1000</f>
        <v>24850000</v>
      </c>
      <c r="G30" s="32" t="n">
        <f aca="false">F30/D30</f>
        <v>1699.1452991453</v>
      </c>
      <c r="H30" s="33" t="str">
        <f aca="false">IFERROR(INDEX(PTAX!$C$5:$C$5000,MATCH($A30,PTAX!$B$5:$B$5000,1)),"")</f>
        <v/>
      </c>
      <c r="I30" s="9" t="str">
        <f aca="false">IF(H30="","",F30/H30)</f>
        <v/>
      </c>
      <c r="J30" s="34" t="str">
        <f aca="false">IF(H30="","",I30/D30)</f>
        <v/>
      </c>
    </row>
    <row r="31" customFormat="false" ht="15" hidden="false" customHeight="false" outlineLevel="0" collapsed="false">
      <c r="A31" s="30" t="n">
        <v>40298</v>
      </c>
      <c r="B31" s="1" t="n">
        <v>2010</v>
      </c>
      <c r="C31" s="1" t="s">
        <v>22</v>
      </c>
      <c r="D31" s="31" t="n">
        <v>10374</v>
      </c>
      <c r="E31" s="31" t="n">
        <v>102810</v>
      </c>
      <c r="F31" s="31" t="n">
        <f aca="false">E31*1000</f>
        <v>102810000</v>
      </c>
      <c r="G31" s="32" t="n">
        <f aca="false">F31/D31</f>
        <v>9910.35280508965</v>
      </c>
      <c r="H31" s="33" t="str">
        <f aca="false">IFERROR(INDEX(PTAX!$C$5:$C$5000,MATCH($A31,PTAX!$B$5:$B$5000,1)),"")</f>
        <v/>
      </c>
      <c r="I31" s="9" t="str">
        <f aca="false">IF(H31="","",F31/H31)</f>
        <v/>
      </c>
      <c r="J31" s="34" t="str">
        <f aca="false">IF(H31="","",I31/D31)</f>
        <v/>
      </c>
    </row>
    <row r="32" customFormat="false" ht="15" hidden="false" customHeight="false" outlineLevel="0" collapsed="false">
      <c r="A32" s="30" t="n">
        <v>40298</v>
      </c>
      <c r="B32" s="1" t="n">
        <v>2010</v>
      </c>
      <c r="C32" s="1" t="s">
        <v>23</v>
      </c>
      <c r="D32" s="31" t="n">
        <v>25355</v>
      </c>
      <c r="E32" s="31" t="n">
        <v>81810</v>
      </c>
      <c r="F32" s="31" t="n">
        <f aca="false">E32*1000</f>
        <v>81810000</v>
      </c>
      <c r="G32" s="32" t="n">
        <f aca="false">F32/D32</f>
        <v>3226.58252810097</v>
      </c>
      <c r="H32" s="33" t="str">
        <f aca="false">IFERROR(INDEX(PTAX!$C$5:$C$5000,MATCH($A32,PTAX!$B$5:$B$5000,1)),"")</f>
        <v/>
      </c>
      <c r="I32" s="9" t="str">
        <f aca="false">IF(H32="","",F32/H32)</f>
        <v/>
      </c>
      <c r="J32" s="34" t="str">
        <f aca="false">IF(H32="","",I32/D32)</f>
        <v/>
      </c>
    </row>
    <row r="33" customFormat="false" ht="15" hidden="false" customHeight="false" outlineLevel="0" collapsed="false">
      <c r="A33" s="30" t="n">
        <v>40298</v>
      </c>
      <c r="B33" s="1" t="n">
        <v>2010</v>
      </c>
      <c r="C33" s="1" t="s">
        <v>24</v>
      </c>
      <c r="D33" s="31" t="n">
        <v>11356</v>
      </c>
      <c r="E33" s="31" t="n">
        <v>46320</v>
      </c>
      <c r="F33" s="31" t="n">
        <f aca="false">E33*1000</f>
        <v>46320000</v>
      </c>
      <c r="G33" s="32" t="n">
        <f aca="false">F33/D33</f>
        <v>4078.90102148644</v>
      </c>
      <c r="H33" s="33" t="str">
        <f aca="false">IFERROR(INDEX(PTAX!$C$5:$C$5000,MATCH($A33,PTAX!$B$5:$B$5000,1)),"")</f>
        <v/>
      </c>
      <c r="I33" s="9" t="str">
        <f aca="false">IF(H33="","",F33/H33)</f>
        <v/>
      </c>
      <c r="J33" s="34" t="str">
        <f aca="false">IF(H33="","",I33/D33)</f>
        <v/>
      </c>
    </row>
    <row r="34" customFormat="false" ht="15" hidden="false" customHeight="false" outlineLevel="0" collapsed="false">
      <c r="A34" s="30" t="n">
        <v>40298</v>
      </c>
      <c r="B34" s="1" t="n">
        <v>2010</v>
      </c>
      <c r="C34" s="1" t="s">
        <v>31</v>
      </c>
      <c r="D34" s="31" t="n">
        <v>26611</v>
      </c>
      <c r="E34" s="31" t="n">
        <v>50760</v>
      </c>
      <c r="F34" s="31" t="n">
        <f aca="false">E34*1000</f>
        <v>50760000</v>
      </c>
      <c r="G34" s="32" t="n">
        <f aca="false">F34/D34</f>
        <v>1907.48186840029</v>
      </c>
      <c r="H34" s="33" t="str">
        <f aca="false">IFERROR(INDEX(PTAX!$C$5:$C$5000,MATCH($A34,PTAX!$B$5:$B$5000,1)),"")</f>
        <v/>
      </c>
      <c r="I34" s="9" t="str">
        <f aca="false">IF(H34="","",F34/H34)</f>
        <v/>
      </c>
      <c r="J34" s="34" t="str">
        <f aca="false">IF(H34="","",I34/D34)</f>
        <v/>
      </c>
    </row>
    <row r="35" customFormat="false" ht="15" hidden="false" customHeight="false" outlineLevel="0" collapsed="false">
      <c r="A35" s="30" t="n">
        <v>40669</v>
      </c>
      <c r="B35" s="1" t="n">
        <v>2011</v>
      </c>
      <c r="C35" s="1" t="s">
        <v>19</v>
      </c>
      <c r="D35" s="31" t="n">
        <v>17094</v>
      </c>
      <c r="E35" s="31" t="n">
        <v>179570</v>
      </c>
      <c r="F35" s="31" t="n">
        <f aca="false">E35*1000</f>
        <v>179570000</v>
      </c>
      <c r="G35" s="32" t="n">
        <f aca="false">F35/D35</f>
        <v>10504.8555048555</v>
      </c>
      <c r="H35" s="33" t="str">
        <f aca="false">IFERROR(INDEX(PTAX!$C$5:$C$5000,MATCH($A35,PTAX!$B$5:$B$5000,1)),"")</f>
        <v/>
      </c>
      <c r="I35" s="9" t="str">
        <f aca="false">IF(H35="","",F35/H35)</f>
        <v/>
      </c>
      <c r="J35" s="34" t="str">
        <f aca="false">IF(H35="","",I35/D35)</f>
        <v/>
      </c>
    </row>
    <row r="36" customFormat="false" ht="15" hidden="false" customHeight="false" outlineLevel="0" collapsed="false">
      <c r="A36" s="30" t="n">
        <v>40669</v>
      </c>
      <c r="B36" s="1" t="n">
        <v>2011</v>
      </c>
      <c r="C36" s="1" t="s">
        <v>20</v>
      </c>
      <c r="D36" s="31" t="n">
        <v>17437</v>
      </c>
      <c r="E36" s="31" t="n">
        <v>273920</v>
      </c>
      <c r="F36" s="31" t="n">
        <f aca="false">E36*1000</f>
        <v>273920000</v>
      </c>
      <c r="G36" s="32" t="n">
        <f aca="false">F36/D36</f>
        <v>15709.1242759649</v>
      </c>
      <c r="H36" s="33" t="str">
        <f aca="false">IFERROR(INDEX(PTAX!$C$5:$C$5000,MATCH($A36,PTAX!$B$5:$B$5000,1)),"")</f>
        <v/>
      </c>
      <c r="I36" s="9" t="str">
        <f aca="false">IF(H36="","",F36/H36)</f>
        <v/>
      </c>
      <c r="J36" s="34" t="str">
        <f aca="false">IF(H36="","",I36/D36)</f>
        <v/>
      </c>
    </row>
    <row r="37" customFormat="false" ht="15" hidden="false" customHeight="false" outlineLevel="0" collapsed="false">
      <c r="A37" s="30" t="n">
        <v>40669</v>
      </c>
      <c r="B37" s="1" t="n">
        <v>2011</v>
      </c>
      <c r="C37" s="1" t="s">
        <v>30</v>
      </c>
      <c r="D37" s="31" t="n">
        <v>23793</v>
      </c>
      <c r="E37" s="31" t="n">
        <v>219290</v>
      </c>
      <c r="F37" s="31" t="n">
        <f aca="false">E37*1000</f>
        <v>219290000</v>
      </c>
      <c r="G37" s="32" t="n">
        <f aca="false">F37/D37</f>
        <v>9216.57630395495</v>
      </c>
      <c r="H37" s="33" t="str">
        <f aca="false">IFERROR(INDEX(PTAX!$C$5:$C$5000,MATCH($A37,PTAX!$B$5:$B$5000,1)),"")</f>
        <v/>
      </c>
      <c r="I37" s="9" t="str">
        <f aca="false">IF(H37="","",F37/H37)</f>
        <v/>
      </c>
      <c r="J37" s="34" t="str">
        <f aca="false">IF(H37="","",I37/D37)</f>
        <v/>
      </c>
    </row>
    <row r="38" customFormat="false" ht="15" hidden="false" customHeight="false" outlineLevel="0" collapsed="false">
      <c r="A38" s="30" t="n">
        <v>40669</v>
      </c>
      <c r="B38" s="1" t="n">
        <v>2011</v>
      </c>
      <c r="C38" s="1" t="s">
        <v>26</v>
      </c>
      <c r="D38" s="31" t="n">
        <v>26257</v>
      </c>
      <c r="E38" s="31" t="n">
        <v>279570</v>
      </c>
      <c r="F38" s="31" t="n">
        <f aca="false">E38*1000</f>
        <v>279570000</v>
      </c>
      <c r="G38" s="32" t="n">
        <f aca="false">F38/D38</f>
        <v>10647.446395247</v>
      </c>
      <c r="H38" s="33" t="str">
        <f aca="false">IFERROR(INDEX(PTAX!$C$5:$C$5000,MATCH($A38,PTAX!$B$5:$B$5000,1)),"")</f>
        <v/>
      </c>
      <c r="I38" s="9" t="str">
        <f aca="false">IF(H38="","",F38/H38)</f>
        <v/>
      </c>
      <c r="J38" s="34" t="str">
        <f aca="false">IF(H38="","",I38/D38)</f>
        <v/>
      </c>
    </row>
    <row r="39" customFormat="false" ht="15" hidden="false" customHeight="false" outlineLevel="0" collapsed="false">
      <c r="A39" s="30" t="n">
        <v>40669</v>
      </c>
      <c r="B39" s="1" t="n">
        <v>2011</v>
      </c>
      <c r="C39" s="1" t="s">
        <v>25</v>
      </c>
      <c r="D39" s="31" t="n">
        <v>33734</v>
      </c>
      <c r="E39" s="31" t="n">
        <v>222570</v>
      </c>
      <c r="F39" s="31" t="n">
        <f aca="false">E39*1000</f>
        <v>222570000</v>
      </c>
      <c r="G39" s="32" t="n">
        <f aca="false">F39/D39</f>
        <v>6597.79450998992</v>
      </c>
      <c r="H39" s="33" t="str">
        <f aca="false">IFERROR(INDEX(PTAX!$C$5:$C$5000,MATCH($A39,PTAX!$B$5:$B$5000,1)),"")</f>
        <v/>
      </c>
      <c r="I39" s="9" t="str">
        <f aca="false">IF(H39="","",F39/H39)</f>
        <v/>
      </c>
      <c r="J39" s="34" t="str">
        <f aca="false">IF(H39="","",I39/D39)</f>
        <v/>
      </c>
    </row>
    <row r="40" customFormat="false" ht="15" hidden="false" customHeight="false" outlineLevel="0" collapsed="false">
      <c r="A40" s="30" t="n">
        <v>40669</v>
      </c>
      <c r="B40" s="1" t="n">
        <v>2011</v>
      </c>
      <c r="C40" s="1" t="s">
        <v>21</v>
      </c>
      <c r="D40" s="31" t="n">
        <v>22787</v>
      </c>
      <c r="E40" s="31" t="n">
        <v>172970</v>
      </c>
      <c r="F40" s="31" t="n">
        <f aca="false">E40*1000</f>
        <v>172970000</v>
      </c>
      <c r="G40" s="32" t="n">
        <f aca="false">F40/D40</f>
        <v>7590.73155746698</v>
      </c>
      <c r="H40" s="33" t="str">
        <f aca="false">IFERROR(INDEX(PTAX!$C$5:$C$5000,MATCH($A40,PTAX!$B$5:$B$5000,1)),"")</f>
        <v/>
      </c>
      <c r="I40" s="9" t="str">
        <f aca="false">IF(H40="","",F40/H40)</f>
        <v/>
      </c>
      <c r="J40" s="34" t="str">
        <f aca="false">IF(H40="","",I40/D40)</f>
        <v/>
      </c>
    </row>
    <row r="41" customFormat="false" ht="15" hidden="false" customHeight="false" outlineLevel="0" collapsed="false">
      <c r="A41" s="30" t="n">
        <v>40669</v>
      </c>
      <c r="B41" s="1" t="n">
        <v>2011</v>
      </c>
      <c r="C41" s="1" t="s">
        <v>22</v>
      </c>
      <c r="D41" s="31" t="n">
        <v>12982</v>
      </c>
      <c r="E41" s="31" t="n">
        <v>146710</v>
      </c>
      <c r="F41" s="31" t="n">
        <f aca="false">E41*1000</f>
        <v>146710000</v>
      </c>
      <c r="G41" s="32" t="n">
        <f aca="false">F41/D41</f>
        <v>11301.0321984286</v>
      </c>
      <c r="H41" s="33" t="str">
        <f aca="false">IFERROR(INDEX(PTAX!$C$5:$C$5000,MATCH($A41,PTAX!$B$5:$B$5000,1)),"")</f>
        <v/>
      </c>
      <c r="I41" s="9" t="str">
        <f aca="false">IF(H41="","",F41/H41)</f>
        <v/>
      </c>
      <c r="J41" s="34" t="str">
        <f aca="false">IF(H41="","",I41/D41)</f>
        <v/>
      </c>
    </row>
    <row r="42" customFormat="false" ht="15" hidden="false" customHeight="false" outlineLevel="0" collapsed="false">
      <c r="A42" s="30" t="n">
        <v>40669</v>
      </c>
      <c r="B42" s="1" t="n">
        <v>2011</v>
      </c>
      <c r="C42" s="1" t="s">
        <v>23</v>
      </c>
      <c r="D42" s="31" t="n">
        <v>25355</v>
      </c>
      <c r="E42" s="31" t="n">
        <v>117020</v>
      </c>
      <c r="F42" s="31" t="n">
        <f aca="false">E42*1000</f>
        <v>117020000</v>
      </c>
      <c r="G42" s="32" t="n">
        <f aca="false">F42/D42</f>
        <v>4615.26326168409</v>
      </c>
      <c r="H42" s="33" t="str">
        <f aca="false">IFERROR(INDEX(PTAX!$C$5:$C$5000,MATCH($A42,PTAX!$B$5:$B$5000,1)),"")</f>
        <v/>
      </c>
      <c r="I42" s="9" t="str">
        <f aca="false">IF(H42="","",F42/H42)</f>
        <v/>
      </c>
      <c r="J42" s="34" t="str">
        <f aca="false">IF(H42="","",I42/D42)</f>
        <v/>
      </c>
    </row>
    <row r="43" customFormat="false" ht="15" hidden="false" customHeight="false" outlineLevel="0" collapsed="false">
      <c r="A43" s="30" t="n">
        <v>40669</v>
      </c>
      <c r="B43" s="1" t="n">
        <v>2011</v>
      </c>
      <c r="C43" s="1" t="s">
        <v>24</v>
      </c>
      <c r="D43" s="31" t="n">
        <v>16948</v>
      </c>
      <c r="E43" s="31" t="n">
        <v>83990</v>
      </c>
      <c r="F43" s="31" t="n">
        <f aca="false">E43*1000</f>
        <v>83990000</v>
      </c>
      <c r="G43" s="32" t="n">
        <f aca="false">F43/D43</f>
        <v>4955.74699079537</v>
      </c>
      <c r="H43" s="33" t="str">
        <f aca="false">IFERROR(INDEX(PTAX!$C$5:$C$5000,MATCH($A43,PTAX!$B$5:$B$5000,1)),"")</f>
        <v/>
      </c>
      <c r="I43" s="9" t="str">
        <f aca="false">IF(H43="","",F43/H43)</f>
        <v/>
      </c>
      <c r="J43" s="34" t="str">
        <f aca="false">IF(H43="","",I43/D43)</f>
        <v/>
      </c>
    </row>
    <row r="44" customFormat="false" ht="15" hidden="false" customHeight="false" outlineLevel="0" collapsed="false">
      <c r="A44" s="30" t="n">
        <v>40669</v>
      </c>
      <c r="B44" s="1" t="n">
        <v>2011</v>
      </c>
      <c r="C44" s="1" t="s">
        <v>31</v>
      </c>
      <c r="D44" s="31" t="n">
        <v>26611</v>
      </c>
      <c r="E44" s="31" t="n">
        <v>60540</v>
      </c>
      <c r="F44" s="31" t="n">
        <f aca="false">E44*1000</f>
        <v>60540000</v>
      </c>
      <c r="G44" s="32" t="n">
        <f aca="false">F44/D44</f>
        <v>2274.99906053888</v>
      </c>
      <c r="H44" s="33" t="str">
        <f aca="false">IFERROR(INDEX(PTAX!$C$5:$C$5000,MATCH($A44,PTAX!$B$5:$B$5000,1)),"")</f>
        <v/>
      </c>
      <c r="I44" s="9" t="str">
        <f aca="false">IF(H44="","",F44/H44)</f>
        <v/>
      </c>
      <c r="J44" s="34" t="str">
        <f aca="false">IF(H44="","",I44/D44)</f>
        <v/>
      </c>
    </row>
    <row r="45" customFormat="false" ht="15" hidden="false" customHeight="false" outlineLevel="0" collapsed="false">
      <c r="A45" s="30" t="n">
        <v>41120</v>
      </c>
      <c r="B45" s="1" t="n">
        <v>2012</v>
      </c>
      <c r="C45" s="1" t="s">
        <v>19</v>
      </c>
      <c r="D45" s="31" t="n">
        <v>17385</v>
      </c>
      <c r="E45" s="31" t="n">
        <v>215630</v>
      </c>
      <c r="F45" s="31" t="n">
        <f aca="false">E45*1000</f>
        <v>215630000</v>
      </c>
      <c r="G45" s="32" t="n">
        <f aca="false">F45/D45</f>
        <v>12403.2211676733</v>
      </c>
      <c r="H45" s="33" t="str">
        <f aca="false">IFERROR(INDEX(PTAX!$C$5:$C$5000,MATCH($A45,PTAX!$B$5:$B$5000,1)),"")</f>
        <v/>
      </c>
      <c r="I45" s="9" t="str">
        <f aca="false">IF(H45="","",F45/H45)</f>
        <v/>
      </c>
      <c r="J45" s="34" t="str">
        <f aca="false">IF(H45="","",I45/D45)</f>
        <v/>
      </c>
    </row>
    <row r="46" customFormat="false" ht="15" hidden="false" customHeight="false" outlineLevel="0" collapsed="false">
      <c r="A46" s="30" t="n">
        <v>41120</v>
      </c>
      <c r="B46" s="1" t="n">
        <v>2012</v>
      </c>
      <c r="C46" s="1" t="s">
        <v>20</v>
      </c>
      <c r="D46" s="31" t="n">
        <v>17437</v>
      </c>
      <c r="E46" s="31" t="n">
        <v>322340</v>
      </c>
      <c r="F46" s="31" t="n">
        <f aca="false">E46*1000</f>
        <v>322340000</v>
      </c>
      <c r="G46" s="32" t="n">
        <f aca="false">F46/D46</f>
        <v>18485.9780925618</v>
      </c>
      <c r="H46" s="33" t="str">
        <f aca="false">IFERROR(INDEX(PTAX!$C$5:$C$5000,MATCH($A46,PTAX!$B$5:$B$5000,1)),"")</f>
        <v/>
      </c>
      <c r="I46" s="9" t="str">
        <f aca="false">IF(H46="","",F46/H46)</f>
        <v/>
      </c>
      <c r="J46" s="34" t="str">
        <f aca="false">IF(H46="","",I46/D46)</f>
        <v/>
      </c>
    </row>
    <row r="47" customFormat="false" ht="15" hidden="false" customHeight="false" outlineLevel="0" collapsed="false">
      <c r="A47" s="30" t="n">
        <v>41120</v>
      </c>
      <c r="B47" s="1" t="n">
        <v>2012</v>
      </c>
      <c r="C47" s="1" t="s">
        <v>25</v>
      </c>
      <c r="D47" s="31" t="n">
        <v>33734</v>
      </c>
      <c r="E47" s="31" t="n">
        <v>262140</v>
      </c>
      <c r="F47" s="31" t="n">
        <f aca="false">E47*1000</f>
        <v>262140000</v>
      </c>
      <c r="G47" s="32" t="n">
        <f aca="false">F47/D47</f>
        <v>7770.79504357621</v>
      </c>
      <c r="H47" s="33" t="str">
        <f aca="false">IFERROR(INDEX(PTAX!$C$5:$C$5000,MATCH($A47,PTAX!$B$5:$B$5000,1)),"")</f>
        <v/>
      </c>
      <c r="I47" s="9" t="str">
        <f aca="false">IF(H47="","",F47/H47)</f>
        <v/>
      </c>
      <c r="J47" s="34" t="str">
        <f aca="false">IF(H47="","",I47/D47)</f>
        <v/>
      </c>
    </row>
    <row r="48" customFormat="false" ht="15" hidden="false" customHeight="false" outlineLevel="0" collapsed="false">
      <c r="A48" s="30" t="n">
        <v>41120</v>
      </c>
      <c r="B48" s="1" t="n">
        <v>2012</v>
      </c>
      <c r="C48" s="1" t="s">
        <v>30</v>
      </c>
      <c r="D48" s="31" t="n">
        <v>23793</v>
      </c>
      <c r="E48" s="31" t="n">
        <v>255020</v>
      </c>
      <c r="F48" s="31" t="n">
        <f aca="false">E48*1000</f>
        <v>255020000</v>
      </c>
      <c r="G48" s="32" t="n">
        <f aca="false">F48/D48</f>
        <v>10718.2784852688</v>
      </c>
      <c r="H48" s="33" t="str">
        <f aca="false">IFERROR(INDEX(PTAX!$C$5:$C$5000,MATCH($A48,PTAX!$B$5:$B$5000,1)),"")</f>
        <v/>
      </c>
      <c r="I48" s="9" t="str">
        <f aca="false">IF(H48="","",F48/H48)</f>
        <v/>
      </c>
      <c r="J48" s="34" t="str">
        <f aca="false">IF(H48="","",I48/D48)</f>
        <v/>
      </c>
    </row>
    <row r="49" customFormat="false" ht="15" hidden="false" customHeight="false" outlineLevel="0" collapsed="false">
      <c r="A49" s="30" t="n">
        <v>41120</v>
      </c>
      <c r="B49" s="1" t="n">
        <v>2012</v>
      </c>
      <c r="C49" s="1" t="s">
        <v>26</v>
      </c>
      <c r="D49" s="31" t="n">
        <v>22878</v>
      </c>
      <c r="E49" s="31" t="n">
        <v>290580</v>
      </c>
      <c r="F49" s="31" t="n">
        <f aca="false">E49*1000</f>
        <v>290580000</v>
      </c>
      <c r="G49" s="32" t="n">
        <f aca="false">F49/D49</f>
        <v>12701.2850773669</v>
      </c>
      <c r="H49" s="33" t="str">
        <f aca="false">IFERROR(INDEX(PTAX!$C$5:$C$5000,MATCH($A49,PTAX!$B$5:$B$5000,1)),"")</f>
        <v/>
      </c>
      <c r="I49" s="9" t="str">
        <f aca="false">IF(H49="","",F49/H49)</f>
        <v/>
      </c>
      <c r="J49" s="34" t="str">
        <f aca="false">IF(H49="","",I49/D49)</f>
        <v/>
      </c>
    </row>
    <row r="50" customFormat="false" ht="15" hidden="false" customHeight="false" outlineLevel="0" collapsed="false">
      <c r="A50" s="30" t="n">
        <v>41120</v>
      </c>
      <c r="B50" s="1" t="n">
        <v>2012</v>
      </c>
      <c r="C50" s="1" t="s">
        <v>24</v>
      </c>
      <c r="D50" s="31" t="n">
        <v>16948</v>
      </c>
      <c r="E50" s="31" t="n">
        <v>102260</v>
      </c>
      <c r="F50" s="31" t="n">
        <f aca="false">E50*1000</f>
        <v>102260000</v>
      </c>
      <c r="G50" s="32" t="n">
        <f aca="false">F50/D50</f>
        <v>6033.75029502006</v>
      </c>
      <c r="H50" s="33" t="str">
        <f aca="false">IFERROR(INDEX(PTAX!$C$5:$C$5000,MATCH($A50,PTAX!$B$5:$B$5000,1)),"")</f>
        <v/>
      </c>
      <c r="I50" s="9" t="str">
        <f aca="false">IF(H50="","",F50/H50)</f>
        <v/>
      </c>
      <c r="J50" s="34" t="str">
        <f aca="false">IF(H50="","",I50/D50)</f>
        <v/>
      </c>
    </row>
    <row r="51" customFormat="false" ht="15" hidden="false" customHeight="false" outlineLevel="0" collapsed="false">
      <c r="A51" s="30" t="n">
        <v>41120</v>
      </c>
      <c r="B51" s="1" t="n">
        <v>2012</v>
      </c>
      <c r="C51" s="1" t="s">
        <v>31</v>
      </c>
      <c r="D51" s="31" t="n">
        <v>23742</v>
      </c>
      <c r="E51" s="31" t="n">
        <v>63480</v>
      </c>
      <c r="F51" s="31" t="n">
        <f aca="false">E51*1000</f>
        <v>63480000</v>
      </c>
      <c r="G51" s="32" t="n">
        <f aca="false">F51/D51</f>
        <v>2673.74273439474</v>
      </c>
      <c r="H51" s="33" t="str">
        <f aca="false">IFERROR(INDEX(PTAX!$C$5:$C$5000,MATCH($A51,PTAX!$B$5:$B$5000,1)),"")</f>
        <v/>
      </c>
      <c r="I51" s="9" t="str">
        <f aca="false">IF(H51="","",F51/H51)</f>
        <v/>
      </c>
      <c r="J51" s="34" t="str">
        <f aca="false">IF(H51="","",I51/D51)</f>
        <v/>
      </c>
    </row>
    <row r="52" customFormat="false" ht="15" hidden="false" customHeight="false" outlineLevel="0" collapsed="false">
      <c r="A52" s="30" t="n">
        <v>41120</v>
      </c>
      <c r="B52" s="1" t="n">
        <v>2012</v>
      </c>
      <c r="C52" s="1" t="s">
        <v>27</v>
      </c>
      <c r="D52" s="31" t="n">
        <v>3379</v>
      </c>
      <c r="E52" s="31" t="n">
        <v>41600</v>
      </c>
      <c r="F52" s="31" t="n">
        <f aca="false">E52*1000</f>
        <v>41600000</v>
      </c>
      <c r="G52" s="32" t="n">
        <f aca="false">F52/D52</f>
        <v>12311.3347144125</v>
      </c>
      <c r="H52" s="33" t="str">
        <f aca="false">IFERROR(INDEX(PTAX!$C$5:$C$5000,MATCH($A52,PTAX!$B$5:$B$5000,1)),"")</f>
        <v/>
      </c>
      <c r="I52" s="9" t="str">
        <f aca="false">IF(H52="","",F52/H52)</f>
        <v/>
      </c>
      <c r="J52" s="34" t="str">
        <f aca="false">IF(H52="","",I52/D52)</f>
        <v/>
      </c>
    </row>
    <row r="53" customFormat="false" ht="15" hidden="false" customHeight="false" outlineLevel="0" collapsed="false">
      <c r="A53" s="30" t="n">
        <v>41120</v>
      </c>
      <c r="B53" s="1" t="n">
        <v>2012</v>
      </c>
      <c r="C53" s="1" t="s">
        <v>32</v>
      </c>
      <c r="D53" s="31" t="n">
        <v>12872</v>
      </c>
      <c r="E53" s="31" t="n">
        <v>65475</v>
      </c>
      <c r="F53" s="31" t="n">
        <f aca="false">E53*1000</f>
        <v>65475000</v>
      </c>
      <c r="G53" s="32" t="n">
        <f aca="false">F53/D53</f>
        <v>5086.62212554382</v>
      </c>
      <c r="H53" s="33" t="str">
        <f aca="false">IFERROR(INDEX(PTAX!$C$5:$C$5000,MATCH($A53,PTAX!$B$5:$B$5000,1)),"")</f>
        <v/>
      </c>
      <c r="I53" s="9" t="str">
        <f aca="false">IF(H53="","",F53/H53)</f>
        <v/>
      </c>
      <c r="J53" s="34" t="str">
        <f aca="false">IF(H53="","",I53/D53)</f>
        <v/>
      </c>
    </row>
    <row r="54" customFormat="false" ht="15" hidden="false" customHeight="false" outlineLevel="0" collapsed="false">
      <c r="A54" s="30" t="n">
        <v>41120</v>
      </c>
      <c r="B54" s="1" t="n">
        <v>2012</v>
      </c>
      <c r="C54" s="1" t="s">
        <v>28</v>
      </c>
      <c r="D54" s="31" t="n">
        <v>32816</v>
      </c>
      <c r="E54" s="31" t="n">
        <v>114366</v>
      </c>
      <c r="F54" s="31" t="n">
        <f aca="false">E54*1000</f>
        <v>114366000</v>
      </c>
      <c r="G54" s="32" t="n">
        <f aca="false">F54/D54</f>
        <v>3485.06825938567</v>
      </c>
      <c r="H54" s="33" t="str">
        <f aca="false">IFERROR(INDEX(PTAX!$C$5:$C$5000,MATCH($A54,PTAX!$B$5:$B$5000,1)),"")</f>
        <v/>
      </c>
      <c r="I54" s="9" t="str">
        <f aca="false">IF(H54="","",F54/H54)</f>
        <v/>
      </c>
      <c r="J54" s="34" t="str">
        <f aca="false">IF(H54="","",I54/D54)</f>
        <v/>
      </c>
    </row>
    <row r="55" customFormat="false" ht="15" hidden="false" customHeight="false" outlineLevel="0" collapsed="false">
      <c r="A55" s="30" t="n">
        <v>41120</v>
      </c>
      <c r="B55" s="1" t="n">
        <v>2012</v>
      </c>
      <c r="C55" s="1" t="s">
        <v>29</v>
      </c>
      <c r="D55" s="31" t="n">
        <v>28837</v>
      </c>
      <c r="E55" s="31" t="n">
        <v>84185</v>
      </c>
      <c r="F55" s="31" t="n">
        <f aca="false">E55*1000</f>
        <v>84185000</v>
      </c>
      <c r="G55" s="32" t="n">
        <f aca="false">F55/D55</f>
        <v>2919.33973714325</v>
      </c>
      <c r="H55" s="33" t="str">
        <f aca="false">IFERROR(INDEX(PTAX!$C$5:$C$5000,MATCH($A55,PTAX!$B$5:$B$5000,1)),"")</f>
        <v/>
      </c>
      <c r="I55" s="9" t="str">
        <f aca="false">IF(H55="","",F55/H55)</f>
        <v/>
      </c>
      <c r="J55" s="34" t="str">
        <f aca="false">IF(H55="","",I55/D55)</f>
        <v/>
      </c>
    </row>
    <row r="56" customFormat="false" ht="15" hidden="false" customHeight="false" outlineLevel="0" collapsed="false">
      <c r="A56" s="30" t="n">
        <v>41120</v>
      </c>
      <c r="B56" s="1" t="n">
        <v>2012</v>
      </c>
      <c r="C56" s="1" t="s">
        <v>21</v>
      </c>
      <c r="D56" s="31" t="n">
        <v>23325</v>
      </c>
      <c r="E56" s="31" t="n">
        <v>197471</v>
      </c>
      <c r="F56" s="31" t="n">
        <f aca="false">E56*1000</f>
        <v>197471000</v>
      </c>
      <c r="G56" s="32" t="n">
        <f aca="false">F56/D56</f>
        <v>8466.06645230439</v>
      </c>
      <c r="H56" s="33" t="str">
        <f aca="false">IFERROR(INDEX(PTAX!$C$5:$C$5000,MATCH($A56,PTAX!$B$5:$B$5000,1)),"")</f>
        <v/>
      </c>
      <c r="I56" s="9" t="str">
        <f aca="false">IF(H56="","",F56/H56)</f>
        <v/>
      </c>
      <c r="J56" s="34" t="str">
        <f aca="false">IF(H56="","",I56/D56)</f>
        <v/>
      </c>
    </row>
    <row r="57" customFormat="false" ht="15" hidden="false" customHeight="false" outlineLevel="0" collapsed="false">
      <c r="A57" s="30" t="n">
        <v>41120</v>
      </c>
      <c r="B57" s="1" t="n">
        <v>2012</v>
      </c>
      <c r="C57" s="1" t="s">
        <v>22</v>
      </c>
      <c r="D57" s="31" t="n">
        <v>12983</v>
      </c>
      <c r="E57" s="31" t="n">
        <v>167470</v>
      </c>
      <c r="F57" s="31" t="n">
        <f aca="false">E57*1000</f>
        <v>167470000</v>
      </c>
      <c r="G57" s="32" t="n">
        <f aca="false">F57/D57</f>
        <v>12899.1758453362</v>
      </c>
      <c r="H57" s="33" t="str">
        <f aca="false">IFERROR(INDEX(PTAX!$C$5:$C$5000,MATCH($A57,PTAX!$B$5:$B$5000,1)),"")</f>
        <v/>
      </c>
      <c r="I57" s="9" t="str">
        <f aca="false">IF(H57="","",F57/H57)</f>
        <v/>
      </c>
      <c r="J57" s="34" t="str">
        <f aca="false">IF(H57="","",I57/D57)</f>
        <v/>
      </c>
    </row>
    <row r="58" customFormat="false" ht="15" hidden="false" customHeight="false" outlineLevel="0" collapsed="false">
      <c r="A58" s="30" t="n">
        <v>41120</v>
      </c>
      <c r="B58" s="1" t="n">
        <v>2012</v>
      </c>
      <c r="C58" s="1" t="s">
        <v>23</v>
      </c>
      <c r="D58" s="31" t="n">
        <v>25355</v>
      </c>
      <c r="E58" s="31" t="n">
        <v>133583</v>
      </c>
      <c r="F58" s="31" t="n">
        <f aca="false">E58*1000</f>
        <v>133583000</v>
      </c>
      <c r="G58" s="32" t="n">
        <f aca="false">F58/D58</f>
        <v>5268.50719779136</v>
      </c>
      <c r="H58" s="33" t="str">
        <f aca="false">IFERROR(INDEX(PTAX!$C$5:$C$5000,MATCH($A58,PTAX!$B$5:$B$5000,1)),"")</f>
        <v/>
      </c>
      <c r="I58" s="9" t="str">
        <f aca="false">IF(H58="","",F58/H58)</f>
        <v/>
      </c>
      <c r="J58" s="34" t="str">
        <f aca="false">IF(H58="","",I58/D58)</f>
        <v/>
      </c>
    </row>
    <row r="59" customFormat="false" ht="15" hidden="false" customHeight="false" outlineLevel="0" collapsed="false">
      <c r="A59" s="30" t="n">
        <v>41485</v>
      </c>
      <c r="B59" s="1" t="n">
        <v>2013</v>
      </c>
      <c r="C59" s="1" t="s">
        <v>19</v>
      </c>
      <c r="D59" s="31" t="n">
        <v>17385</v>
      </c>
      <c r="E59" s="31" t="n">
        <v>224342</v>
      </c>
      <c r="F59" s="31" t="n">
        <f aca="false">E59*1000</f>
        <v>224342000</v>
      </c>
      <c r="G59" s="32" t="n">
        <f aca="false">F59/D59</f>
        <v>12904.3428242738</v>
      </c>
      <c r="H59" s="33" t="str">
        <f aca="false">IFERROR(INDEX(PTAX!$C$5:$C$5000,MATCH($A59,PTAX!$B$5:$B$5000,1)),"")</f>
        <v/>
      </c>
      <c r="I59" s="9" t="str">
        <f aca="false">IF(H59="","",F59/H59)</f>
        <v/>
      </c>
      <c r="J59" s="34" t="str">
        <f aca="false">IF(H59="","",I59/D59)</f>
        <v/>
      </c>
    </row>
    <row r="60" customFormat="false" ht="15" hidden="false" customHeight="false" outlineLevel="0" collapsed="false">
      <c r="A60" s="30" t="n">
        <v>41485</v>
      </c>
      <c r="B60" s="1" t="n">
        <v>2013</v>
      </c>
      <c r="C60" s="1" t="s">
        <v>20</v>
      </c>
      <c r="D60" s="31" t="n">
        <v>17437</v>
      </c>
      <c r="E60" s="31" t="n">
        <v>331712</v>
      </c>
      <c r="F60" s="31" t="n">
        <f aca="false">E60*1000</f>
        <v>331712000</v>
      </c>
      <c r="G60" s="32" t="n">
        <f aca="false">F60/D60</f>
        <v>19023.4558697024</v>
      </c>
      <c r="H60" s="33" t="str">
        <f aca="false">IFERROR(INDEX(PTAX!$C$5:$C$5000,MATCH($A60,PTAX!$B$5:$B$5000,1)),"")</f>
        <v/>
      </c>
      <c r="I60" s="9" t="str">
        <f aca="false">IF(H60="","",F60/H60)</f>
        <v/>
      </c>
      <c r="J60" s="34" t="str">
        <f aca="false">IF(H60="","",I60/D60)</f>
        <v/>
      </c>
    </row>
    <row r="61" customFormat="false" ht="15" hidden="false" customHeight="false" outlineLevel="0" collapsed="false">
      <c r="A61" s="30" t="n">
        <v>41485</v>
      </c>
      <c r="B61" s="1" t="n">
        <v>2013</v>
      </c>
      <c r="C61" s="1" t="s">
        <v>25</v>
      </c>
      <c r="D61" s="31" t="n">
        <v>32818</v>
      </c>
      <c r="E61" s="31" t="n">
        <v>305364</v>
      </c>
      <c r="F61" s="31" t="n">
        <f aca="false">E61*1000</f>
        <v>305364000</v>
      </c>
      <c r="G61" s="32" t="n">
        <f aca="false">F61/D61</f>
        <v>9304.77177158876</v>
      </c>
      <c r="H61" s="33" t="str">
        <f aca="false">IFERROR(INDEX(PTAX!$C$5:$C$5000,MATCH($A61,PTAX!$B$5:$B$5000,1)),"")</f>
        <v/>
      </c>
      <c r="I61" s="9" t="str">
        <f aca="false">IF(H61="","",F61/H61)</f>
        <v/>
      </c>
      <c r="J61" s="34" t="str">
        <f aca="false">IF(H61="","",I61/D61)</f>
        <v/>
      </c>
    </row>
    <row r="62" customFormat="false" ht="15" hidden="false" customHeight="false" outlineLevel="0" collapsed="false">
      <c r="A62" s="30" t="n">
        <v>41485</v>
      </c>
      <c r="B62" s="1" t="n">
        <v>2013</v>
      </c>
      <c r="C62" s="1" t="s">
        <v>30</v>
      </c>
      <c r="D62" s="31" t="n">
        <v>23784</v>
      </c>
      <c r="E62" s="31" t="n">
        <v>256728</v>
      </c>
      <c r="F62" s="31" t="n">
        <f aca="false">E62*1000</f>
        <v>256728000</v>
      </c>
      <c r="G62" s="32" t="n">
        <f aca="false">F62/D62</f>
        <v>10794.1473259334</v>
      </c>
      <c r="H62" s="33" t="str">
        <f aca="false">IFERROR(INDEX(PTAX!$C$5:$C$5000,MATCH($A62,PTAX!$B$5:$B$5000,1)),"")</f>
        <v/>
      </c>
      <c r="I62" s="9" t="str">
        <f aca="false">IF(H62="","",F62/H62)</f>
        <v/>
      </c>
      <c r="J62" s="34" t="str">
        <f aca="false">IF(H62="","",I62/D62)</f>
        <v/>
      </c>
    </row>
    <row r="63" customFormat="false" ht="15" hidden="false" customHeight="false" outlineLevel="0" collapsed="false">
      <c r="A63" s="30" t="n">
        <v>41485</v>
      </c>
      <c r="B63" s="1" t="n">
        <v>2013</v>
      </c>
      <c r="C63" s="1" t="s">
        <v>26</v>
      </c>
      <c r="D63" s="31" t="n">
        <v>22878</v>
      </c>
      <c r="E63" s="31" t="n">
        <v>298605</v>
      </c>
      <c r="F63" s="31" t="n">
        <f aca="false">E63*1000</f>
        <v>298605000</v>
      </c>
      <c r="G63" s="32" t="n">
        <f aca="false">F63/D63</f>
        <v>13052.0587463939</v>
      </c>
      <c r="H63" s="33" t="str">
        <f aca="false">IFERROR(INDEX(PTAX!$C$5:$C$5000,MATCH($A63,PTAX!$B$5:$B$5000,1)),"")</f>
        <v/>
      </c>
      <c r="I63" s="9" t="str">
        <f aca="false">IF(H63="","",F63/H63)</f>
        <v/>
      </c>
      <c r="J63" s="34" t="str">
        <f aca="false">IF(H63="","",I63/D63)</f>
        <v/>
      </c>
    </row>
    <row r="64" customFormat="false" ht="15" hidden="false" customHeight="false" outlineLevel="0" collapsed="false">
      <c r="A64" s="30" t="n">
        <v>41485</v>
      </c>
      <c r="B64" s="1" t="n">
        <v>2013</v>
      </c>
      <c r="C64" s="1" t="s">
        <v>24</v>
      </c>
      <c r="D64" s="31" t="n">
        <v>16948</v>
      </c>
      <c r="E64" s="31" t="n">
        <v>173185</v>
      </c>
      <c r="F64" s="31" t="n">
        <f aca="false">E64*1000</f>
        <v>173185000</v>
      </c>
      <c r="G64" s="32" t="n">
        <f aca="false">F64/D64</f>
        <v>10218.6098654709</v>
      </c>
      <c r="H64" s="33" t="str">
        <f aca="false">IFERROR(INDEX(PTAX!$C$5:$C$5000,MATCH($A64,PTAX!$B$5:$B$5000,1)),"")</f>
        <v/>
      </c>
      <c r="I64" s="9" t="str">
        <f aca="false">IF(H64="","",F64/H64)</f>
        <v/>
      </c>
      <c r="J64" s="34" t="str">
        <f aca="false">IF(H64="","",I64/D64)</f>
        <v/>
      </c>
    </row>
    <row r="65" customFormat="false" ht="15" hidden="false" customHeight="false" outlineLevel="0" collapsed="false">
      <c r="A65" s="30" t="n">
        <v>41485</v>
      </c>
      <c r="B65" s="1" t="n">
        <v>2013</v>
      </c>
      <c r="C65" s="1" t="s">
        <v>31</v>
      </c>
      <c r="D65" s="31" t="n">
        <v>24603</v>
      </c>
      <c r="E65" s="31" t="n">
        <v>86708</v>
      </c>
      <c r="F65" s="31" t="n">
        <f aca="false">E65*1000</f>
        <v>86708000</v>
      </c>
      <c r="G65" s="32" t="n">
        <f aca="false">F65/D65</f>
        <v>3524.28565622079</v>
      </c>
      <c r="H65" s="33" t="str">
        <f aca="false">IFERROR(INDEX(PTAX!$C$5:$C$5000,MATCH($A65,PTAX!$B$5:$B$5000,1)),"")</f>
        <v/>
      </c>
      <c r="I65" s="9" t="str">
        <f aca="false">IF(H65="","",F65/H65)</f>
        <v/>
      </c>
      <c r="J65" s="34" t="str">
        <f aca="false">IF(H65="","",I65/D65)</f>
        <v/>
      </c>
    </row>
    <row r="66" customFormat="false" ht="15" hidden="false" customHeight="false" outlineLevel="0" collapsed="false">
      <c r="A66" s="30" t="n">
        <v>41485</v>
      </c>
      <c r="B66" s="1" t="n">
        <v>2013</v>
      </c>
      <c r="C66" s="1" t="s">
        <v>27</v>
      </c>
      <c r="D66" s="31" t="n">
        <v>3379</v>
      </c>
      <c r="E66" s="31" t="n">
        <v>42627</v>
      </c>
      <c r="F66" s="31" t="n">
        <f aca="false">E66*1000</f>
        <v>42627000</v>
      </c>
      <c r="G66" s="32" t="n">
        <f aca="false">F66/D66</f>
        <v>12615.2707901746</v>
      </c>
      <c r="H66" s="33" t="str">
        <f aca="false">IFERROR(INDEX(PTAX!$C$5:$C$5000,MATCH($A66,PTAX!$B$5:$B$5000,1)),"")</f>
        <v/>
      </c>
      <c r="I66" s="9" t="str">
        <f aca="false">IF(H66="","",F66/H66)</f>
        <v/>
      </c>
      <c r="J66" s="34" t="str">
        <f aca="false">IF(H66="","",I66/D66)</f>
        <v/>
      </c>
    </row>
    <row r="67" customFormat="false" ht="15" hidden="false" customHeight="false" outlineLevel="0" collapsed="false">
      <c r="A67" s="30" t="n">
        <v>41485</v>
      </c>
      <c r="B67" s="1" t="n">
        <v>2013</v>
      </c>
      <c r="C67" s="1" t="s">
        <v>32</v>
      </c>
      <c r="D67" s="31" t="n">
        <v>12317</v>
      </c>
      <c r="E67" s="31" t="n">
        <v>83471</v>
      </c>
      <c r="F67" s="31" t="n">
        <f aca="false">E67*1000</f>
        <v>83471000</v>
      </c>
      <c r="G67" s="32" t="n">
        <f aca="false">F67/D67</f>
        <v>6776.89372412113</v>
      </c>
      <c r="H67" s="33" t="str">
        <f aca="false">IFERROR(INDEX(PTAX!$C$5:$C$5000,MATCH($A67,PTAX!$B$5:$B$5000,1)),"")</f>
        <v/>
      </c>
      <c r="I67" s="9" t="str">
        <f aca="false">IF(H67="","",F67/H67)</f>
        <v/>
      </c>
      <c r="J67" s="34" t="str">
        <f aca="false">IF(H67="","",I67/D67)</f>
        <v/>
      </c>
    </row>
    <row r="68" customFormat="false" ht="15" hidden="false" customHeight="false" outlineLevel="0" collapsed="false">
      <c r="A68" s="30" t="n">
        <v>41485</v>
      </c>
      <c r="B68" s="1" t="n">
        <v>2013</v>
      </c>
      <c r="C68" s="1" t="s">
        <v>28</v>
      </c>
      <c r="D68" s="31" t="n">
        <v>31512</v>
      </c>
      <c r="E68" s="31" t="n">
        <v>168079</v>
      </c>
      <c r="F68" s="31" t="n">
        <f aca="false">E68*1000</f>
        <v>168079000</v>
      </c>
      <c r="G68" s="32" t="n">
        <f aca="false">F68/D68</f>
        <v>5333.80934247271</v>
      </c>
      <c r="H68" s="33" t="str">
        <f aca="false">IFERROR(INDEX(PTAX!$C$5:$C$5000,MATCH($A68,PTAX!$B$5:$B$5000,1)),"")</f>
        <v/>
      </c>
      <c r="I68" s="9" t="str">
        <f aca="false">IF(H68="","",F68/H68)</f>
        <v/>
      </c>
      <c r="J68" s="34" t="str">
        <f aca="false">IF(H68="","",I68/D68)</f>
        <v/>
      </c>
    </row>
    <row r="69" customFormat="false" ht="15" hidden="false" customHeight="false" outlineLevel="0" collapsed="false">
      <c r="A69" s="30" t="n">
        <v>41485</v>
      </c>
      <c r="B69" s="1" t="n">
        <v>2013</v>
      </c>
      <c r="C69" s="1" t="s">
        <v>29</v>
      </c>
      <c r="D69" s="31" t="n">
        <v>28837</v>
      </c>
      <c r="E69" s="31" t="n">
        <v>165731</v>
      </c>
      <c r="F69" s="31" t="n">
        <f aca="false">E69*1000</f>
        <v>165731000</v>
      </c>
      <c r="G69" s="32" t="n">
        <f aca="false">F69/D69</f>
        <v>5747.16510039186</v>
      </c>
      <c r="H69" s="33" t="str">
        <f aca="false">IFERROR(INDEX(PTAX!$C$5:$C$5000,MATCH($A69,PTAX!$B$5:$B$5000,1)),"")</f>
        <v/>
      </c>
      <c r="I69" s="9" t="str">
        <f aca="false">IF(H69="","",F69/H69)</f>
        <v/>
      </c>
      <c r="J69" s="34" t="str">
        <f aca="false">IF(H69="","",I69/D69)</f>
        <v/>
      </c>
    </row>
    <row r="70" customFormat="false" ht="15" hidden="false" customHeight="false" outlineLevel="0" collapsed="false">
      <c r="A70" s="30" t="n">
        <v>41485</v>
      </c>
      <c r="B70" s="1" t="n">
        <v>2013</v>
      </c>
      <c r="C70" s="1" t="s">
        <v>21</v>
      </c>
      <c r="D70" s="31" t="n">
        <v>23325</v>
      </c>
      <c r="E70" s="31" t="n">
        <v>220203</v>
      </c>
      <c r="F70" s="31" t="n">
        <f aca="false">E70*1000</f>
        <v>220203000</v>
      </c>
      <c r="G70" s="32" t="n">
        <f aca="false">F70/D70</f>
        <v>9440.64308681672</v>
      </c>
      <c r="H70" s="33" t="str">
        <f aca="false">IFERROR(INDEX(PTAX!$C$5:$C$5000,MATCH($A70,PTAX!$B$5:$B$5000,1)),"")</f>
        <v/>
      </c>
      <c r="I70" s="9" t="str">
        <f aca="false">IF(H70="","",F70/H70)</f>
        <v/>
      </c>
      <c r="J70" s="34" t="str">
        <f aca="false">IF(H70="","",I70/D70)</f>
        <v/>
      </c>
    </row>
    <row r="71" customFormat="false" ht="15" hidden="false" customHeight="false" outlineLevel="0" collapsed="false">
      <c r="A71" s="30" t="n">
        <v>41485</v>
      </c>
      <c r="B71" s="1" t="n">
        <v>2013</v>
      </c>
      <c r="C71" s="1" t="s">
        <v>22</v>
      </c>
      <c r="D71" s="31" t="n">
        <v>10374</v>
      </c>
      <c r="E71" s="31" t="n">
        <v>145456</v>
      </c>
      <c r="F71" s="31" t="n">
        <f aca="false">E71*1000</f>
        <v>145456000</v>
      </c>
      <c r="G71" s="32" t="n">
        <f aca="false">F71/D71</f>
        <v>14021.2068633121</v>
      </c>
      <c r="H71" s="33" t="str">
        <f aca="false">IFERROR(INDEX(PTAX!$C$5:$C$5000,MATCH($A71,PTAX!$B$5:$B$5000,1)),"")</f>
        <v/>
      </c>
      <c r="I71" s="9" t="str">
        <f aca="false">IF(H71="","",F71/H71)</f>
        <v/>
      </c>
      <c r="J71" s="34" t="str">
        <f aca="false">IF(H71="","",I71/D71)</f>
        <v/>
      </c>
    </row>
    <row r="72" customFormat="false" ht="15" hidden="false" customHeight="false" outlineLevel="0" collapsed="false">
      <c r="A72" s="30" t="n">
        <v>41485</v>
      </c>
      <c r="B72" s="1" t="n">
        <v>2013</v>
      </c>
      <c r="C72" s="1" t="s">
        <v>23</v>
      </c>
      <c r="D72" s="31" t="n">
        <v>25355</v>
      </c>
      <c r="E72" s="31" t="n">
        <v>176404</v>
      </c>
      <c r="F72" s="31" t="n">
        <f aca="false">E72*1000</f>
        <v>176404000</v>
      </c>
      <c r="G72" s="32" t="n">
        <f aca="false">F72/D72</f>
        <v>6957.36541116151</v>
      </c>
      <c r="H72" s="33" t="str">
        <f aca="false">IFERROR(INDEX(PTAX!$C$5:$C$5000,MATCH($A72,PTAX!$B$5:$B$5000,1)),"")</f>
        <v/>
      </c>
      <c r="I72" s="9" t="str">
        <f aca="false">IF(H72="","",F72/H72)</f>
        <v/>
      </c>
      <c r="J72" s="34" t="str">
        <f aca="false">IF(H72="","",I72/D72)</f>
        <v/>
      </c>
    </row>
    <row r="73" customFormat="false" ht="15" hidden="false" customHeight="false" outlineLevel="0" collapsed="false">
      <c r="A73" s="30" t="n">
        <v>41851</v>
      </c>
      <c r="B73" s="1" t="n">
        <v>2014</v>
      </c>
      <c r="C73" s="1" t="s">
        <v>19</v>
      </c>
      <c r="D73" s="31" t="n">
        <v>17385</v>
      </c>
      <c r="E73" s="31" t="n">
        <v>269921</v>
      </c>
      <c r="F73" s="31" t="n">
        <f aca="false">E73*1000</f>
        <v>269921000</v>
      </c>
      <c r="G73" s="32" t="n">
        <f aca="false">F73/D73</f>
        <v>15526.0857060685</v>
      </c>
      <c r="H73" s="33" t="str">
        <f aca="false">IFERROR(INDEX(PTAX!$C$5:$C$5000,MATCH($A73,PTAX!$B$5:$B$5000,1)),"")</f>
        <v/>
      </c>
      <c r="I73" s="9" t="str">
        <f aca="false">IF(H73="","",F73/H73)</f>
        <v/>
      </c>
      <c r="J73" s="34" t="str">
        <f aca="false">IF(H73="","",I73/D73)</f>
        <v/>
      </c>
    </row>
    <row r="74" customFormat="false" ht="15" hidden="false" customHeight="false" outlineLevel="0" collapsed="false">
      <c r="A74" s="30" t="n">
        <v>41851</v>
      </c>
      <c r="B74" s="1" t="n">
        <v>2014</v>
      </c>
      <c r="C74" s="1" t="s">
        <v>20</v>
      </c>
      <c r="D74" s="31" t="n">
        <v>17437</v>
      </c>
      <c r="E74" s="31" t="n">
        <v>453258</v>
      </c>
      <c r="F74" s="31" t="n">
        <f aca="false">E74*1000</f>
        <v>453258000</v>
      </c>
      <c r="G74" s="32" t="n">
        <f aca="false">F74/D74</f>
        <v>25994.0356712737</v>
      </c>
      <c r="H74" s="33" t="str">
        <f aca="false">IFERROR(INDEX(PTAX!$C$5:$C$5000,MATCH($A74,PTAX!$B$5:$B$5000,1)),"")</f>
        <v/>
      </c>
      <c r="I74" s="9" t="str">
        <f aca="false">IF(H74="","",F74/H74)</f>
        <v/>
      </c>
      <c r="J74" s="34" t="str">
        <f aca="false">IF(H74="","",I74/D74)</f>
        <v/>
      </c>
    </row>
    <row r="75" customFormat="false" ht="15" hidden="false" customHeight="false" outlineLevel="0" collapsed="false">
      <c r="A75" s="30" t="n">
        <v>41851</v>
      </c>
      <c r="B75" s="1" t="n">
        <v>2014</v>
      </c>
      <c r="C75" s="1" t="s">
        <v>25</v>
      </c>
      <c r="D75" s="31" t="n">
        <v>31580</v>
      </c>
      <c r="E75" s="31" t="n">
        <v>308053</v>
      </c>
      <c r="F75" s="31" t="n">
        <f aca="false">E75*1000</f>
        <v>308053000</v>
      </c>
      <c r="G75" s="32" t="n">
        <f aca="false">F75/D75</f>
        <v>9754.68651044965</v>
      </c>
      <c r="H75" s="33" t="str">
        <f aca="false">IFERROR(INDEX(PTAX!$C$5:$C$5000,MATCH($A75,PTAX!$B$5:$B$5000,1)),"")</f>
        <v/>
      </c>
      <c r="I75" s="9" t="str">
        <f aca="false">IF(H75="","",F75/H75)</f>
        <v/>
      </c>
      <c r="J75" s="34" t="str">
        <f aca="false">IF(H75="","",I75/D75)</f>
        <v/>
      </c>
    </row>
    <row r="76" customFormat="false" ht="15" hidden="false" customHeight="false" outlineLevel="0" collapsed="false">
      <c r="A76" s="30" t="n">
        <v>41851</v>
      </c>
      <c r="B76" s="1" t="n">
        <v>2014</v>
      </c>
      <c r="C76" s="1" t="s">
        <v>30</v>
      </c>
      <c r="D76" s="31" t="n">
        <v>23784</v>
      </c>
      <c r="E76" s="31" t="n">
        <v>308243</v>
      </c>
      <c r="F76" s="31" t="n">
        <f aca="false">E76*1000</f>
        <v>308243000</v>
      </c>
      <c r="G76" s="32" t="n">
        <f aca="false">F76/D76</f>
        <v>12960.0992263707</v>
      </c>
      <c r="H76" s="33" t="str">
        <f aca="false">IFERROR(INDEX(PTAX!$C$5:$C$5000,MATCH($A76,PTAX!$B$5:$B$5000,1)),"")</f>
        <v/>
      </c>
      <c r="I76" s="9" t="str">
        <f aca="false">IF(H76="","",F76/H76)</f>
        <v/>
      </c>
      <c r="J76" s="34" t="str">
        <f aca="false">IF(H76="","",I76/D76)</f>
        <v/>
      </c>
    </row>
    <row r="77" customFormat="false" ht="15" hidden="false" customHeight="false" outlineLevel="0" collapsed="false">
      <c r="A77" s="30" t="n">
        <v>41851</v>
      </c>
      <c r="B77" s="1" t="n">
        <v>2014</v>
      </c>
      <c r="C77" s="1" t="s">
        <v>26</v>
      </c>
      <c r="D77" s="31" t="n">
        <v>26257</v>
      </c>
      <c r="E77" s="31" t="n">
        <v>420555</v>
      </c>
      <c r="F77" s="31" t="n">
        <f aca="false">E77*1000</f>
        <v>420555000</v>
      </c>
      <c r="G77" s="32" t="n">
        <f aca="false">F77/D77</f>
        <v>16016.8716913585</v>
      </c>
      <c r="H77" s="33" t="str">
        <f aca="false">IFERROR(INDEX(PTAX!$C$5:$C$5000,MATCH($A77,PTAX!$B$5:$B$5000,1)),"")</f>
        <v/>
      </c>
      <c r="I77" s="9" t="str">
        <f aca="false">IF(H77="","",F77/H77)</f>
        <v/>
      </c>
      <c r="J77" s="34" t="str">
        <f aca="false">IF(H77="","",I77/D77)</f>
        <v/>
      </c>
    </row>
    <row r="78" customFormat="false" ht="15" hidden="false" customHeight="false" outlineLevel="0" collapsed="false">
      <c r="A78" s="30" t="n">
        <v>41851</v>
      </c>
      <c r="B78" s="1" t="n">
        <v>2014</v>
      </c>
      <c r="C78" s="1" t="s">
        <v>24</v>
      </c>
      <c r="D78" s="31" t="n">
        <v>16168</v>
      </c>
      <c r="E78" s="31" t="n">
        <v>183096</v>
      </c>
      <c r="F78" s="31" t="n">
        <f aca="false">E78*1000</f>
        <v>183096000</v>
      </c>
      <c r="G78" s="32" t="n">
        <f aca="false">F78/D78</f>
        <v>11324.5917862444</v>
      </c>
      <c r="H78" s="33" t="str">
        <f aca="false">IFERROR(INDEX(PTAX!$C$5:$C$5000,MATCH($A78,PTAX!$B$5:$B$5000,1)),"")</f>
        <v/>
      </c>
      <c r="I78" s="9" t="str">
        <f aca="false">IF(H78="","",F78/H78)</f>
        <v/>
      </c>
      <c r="J78" s="34" t="str">
        <f aca="false">IF(H78="","",I78/D78)</f>
        <v/>
      </c>
    </row>
    <row r="79" customFormat="false" ht="15" hidden="false" customHeight="false" outlineLevel="0" collapsed="false">
      <c r="A79" s="30" t="n">
        <v>41851</v>
      </c>
      <c r="B79" s="1" t="n">
        <v>2014</v>
      </c>
      <c r="C79" s="1" t="s">
        <v>31</v>
      </c>
      <c r="D79" s="31" t="n">
        <v>24603</v>
      </c>
      <c r="E79" s="31" t="n">
        <v>137610</v>
      </c>
      <c r="F79" s="31" t="n">
        <f aca="false">E79*1000</f>
        <v>137610000</v>
      </c>
      <c r="G79" s="32" t="n">
        <f aca="false">F79/D79</f>
        <v>5593.22033898305</v>
      </c>
      <c r="H79" s="33" t="str">
        <f aca="false">IFERROR(INDEX(PTAX!$C$5:$C$5000,MATCH($A79,PTAX!$B$5:$B$5000,1)),"")</f>
        <v/>
      </c>
      <c r="I79" s="9" t="str">
        <f aca="false">IF(H79="","",F79/H79)</f>
        <v/>
      </c>
      <c r="J79" s="34" t="str">
        <f aca="false">IF(H79="","",I79/D79)</f>
        <v/>
      </c>
    </row>
    <row r="80" customFormat="false" ht="15" hidden="false" customHeight="false" outlineLevel="0" collapsed="false">
      <c r="A80" s="30" t="n">
        <v>41851</v>
      </c>
      <c r="B80" s="1" t="n">
        <v>2014</v>
      </c>
      <c r="C80" s="1" t="s">
        <v>32</v>
      </c>
      <c r="D80" s="31" t="n">
        <v>12040</v>
      </c>
      <c r="E80" s="31" t="n">
        <v>87257</v>
      </c>
      <c r="F80" s="31" t="n">
        <f aca="false">E80*1000</f>
        <v>87257000</v>
      </c>
      <c r="G80" s="32" t="n">
        <f aca="false">F80/D80</f>
        <v>7247.25913621263</v>
      </c>
      <c r="H80" s="33" t="str">
        <f aca="false">IFERROR(INDEX(PTAX!$C$5:$C$5000,MATCH($A80,PTAX!$B$5:$B$5000,1)),"")</f>
        <v/>
      </c>
      <c r="I80" s="9" t="str">
        <f aca="false">IF(H80="","",F80/H80)</f>
        <v/>
      </c>
      <c r="J80" s="34" t="str">
        <f aca="false">IF(H80="","",I80/D80)</f>
        <v/>
      </c>
    </row>
    <row r="81" customFormat="false" ht="15" hidden="false" customHeight="false" outlineLevel="0" collapsed="false">
      <c r="A81" s="30" t="n">
        <v>41851</v>
      </c>
      <c r="B81" s="1" t="n">
        <v>2014</v>
      </c>
      <c r="C81" s="1" t="s">
        <v>28</v>
      </c>
      <c r="D81" s="31" t="n">
        <v>32983</v>
      </c>
      <c r="E81" s="31" t="n">
        <v>208221</v>
      </c>
      <c r="F81" s="31" t="n">
        <f aca="false">E81*1000</f>
        <v>208221000</v>
      </c>
      <c r="G81" s="32" t="n">
        <f aca="false">F81/D81</f>
        <v>6312.97941363733</v>
      </c>
      <c r="H81" s="33" t="str">
        <f aca="false">IFERROR(INDEX(PTAX!$C$5:$C$5000,MATCH($A81,PTAX!$B$5:$B$5000,1)),"")</f>
        <v/>
      </c>
      <c r="I81" s="9" t="str">
        <f aca="false">IF(H81="","",F81/H81)</f>
        <v/>
      </c>
      <c r="J81" s="34" t="str">
        <f aca="false">IF(H81="","",I81/D81)</f>
        <v/>
      </c>
    </row>
    <row r="82" customFormat="false" ht="15" hidden="false" customHeight="false" outlineLevel="0" collapsed="false">
      <c r="A82" s="30" t="n">
        <v>41851</v>
      </c>
      <c r="B82" s="1" t="n">
        <v>2014</v>
      </c>
      <c r="C82" s="1" t="s">
        <v>29</v>
      </c>
      <c r="D82" s="31" t="n">
        <v>28857</v>
      </c>
      <c r="E82" s="31" t="n">
        <v>170931</v>
      </c>
      <c r="F82" s="31" t="n">
        <f aca="false">E82*1000</f>
        <v>170931000</v>
      </c>
      <c r="G82" s="32" t="n">
        <f aca="false">F82/D82</f>
        <v>5923.38080881589</v>
      </c>
      <c r="H82" s="33" t="str">
        <f aca="false">IFERROR(INDEX(PTAX!$C$5:$C$5000,MATCH($A82,PTAX!$B$5:$B$5000,1)),"")</f>
        <v/>
      </c>
      <c r="I82" s="9" t="str">
        <f aca="false">IF(H82="","",F82/H82)</f>
        <v/>
      </c>
      <c r="J82" s="34" t="str">
        <f aca="false">IF(H82="","",I82/D82)</f>
        <v/>
      </c>
    </row>
    <row r="83" customFormat="false" ht="15" hidden="false" customHeight="false" outlineLevel="0" collapsed="false">
      <c r="A83" s="30" t="n">
        <v>41851</v>
      </c>
      <c r="B83" s="1" t="n">
        <v>2014</v>
      </c>
      <c r="C83" s="1" t="s">
        <v>21</v>
      </c>
      <c r="D83" s="31" t="n">
        <v>23325</v>
      </c>
      <c r="E83" s="31" t="n">
        <v>229674</v>
      </c>
      <c r="F83" s="31" t="n">
        <f aca="false">E83*1000</f>
        <v>229674000</v>
      </c>
      <c r="G83" s="32" t="n">
        <f aca="false">F83/D83</f>
        <v>9846.68810289389</v>
      </c>
      <c r="H83" s="33" t="str">
        <f aca="false">IFERROR(INDEX(PTAX!$C$5:$C$5000,MATCH($A83,PTAX!$B$5:$B$5000,1)),"")</f>
        <v/>
      </c>
      <c r="I83" s="9" t="str">
        <f aca="false">IF(H83="","",F83/H83)</f>
        <v/>
      </c>
      <c r="J83" s="34" t="str">
        <f aca="false">IF(H83="","",I83/D83)</f>
        <v/>
      </c>
    </row>
    <row r="84" customFormat="false" ht="15" hidden="false" customHeight="false" outlineLevel="0" collapsed="false">
      <c r="A84" s="30" t="n">
        <v>41851</v>
      </c>
      <c r="B84" s="1" t="n">
        <v>2014</v>
      </c>
      <c r="C84" s="1" t="s">
        <v>25</v>
      </c>
      <c r="D84" s="31" t="n">
        <v>10200</v>
      </c>
      <c r="E84" s="31" t="n">
        <v>38937</v>
      </c>
      <c r="F84" s="31" t="n">
        <f aca="false">E84*1000</f>
        <v>38937000</v>
      </c>
      <c r="G84" s="32" t="n">
        <f aca="false">F84/D84</f>
        <v>3817.35294117647</v>
      </c>
      <c r="H84" s="33" t="str">
        <f aca="false">IFERROR(INDEX(PTAX!$C$5:$C$5000,MATCH($A84,PTAX!$B$5:$B$5000,1)),"")</f>
        <v/>
      </c>
      <c r="I84" s="9" t="str">
        <f aca="false">IF(H84="","",F84/H84)</f>
        <v/>
      </c>
      <c r="J84" s="34" t="str">
        <f aca="false">IF(H84="","",I84/D84)</f>
        <v/>
      </c>
    </row>
    <row r="85" customFormat="false" ht="15" hidden="false" customHeight="false" outlineLevel="0" collapsed="false">
      <c r="A85" s="30" t="n">
        <v>41851</v>
      </c>
      <c r="B85" s="1" t="n">
        <v>2014</v>
      </c>
      <c r="C85" s="1" t="s">
        <v>22</v>
      </c>
      <c r="D85" s="31" t="n">
        <v>10374</v>
      </c>
      <c r="E85" s="31" t="n">
        <v>156350</v>
      </c>
      <c r="F85" s="31" t="n">
        <f aca="false">E85*1000</f>
        <v>156350000</v>
      </c>
      <c r="G85" s="32" t="n">
        <f aca="false">F85/D85</f>
        <v>15071.3321765953</v>
      </c>
      <c r="H85" s="33" t="str">
        <f aca="false">IFERROR(INDEX(PTAX!$C$5:$C$5000,MATCH($A85,PTAX!$B$5:$B$5000,1)),"")</f>
        <v/>
      </c>
      <c r="I85" s="9" t="str">
        <f aca="false">IF(H85="","",F85/H85)</f>
        <v/>
      </c>
      <c r="J85" s="34" t="str">
        <f aca="false">IF(H85="","",I85/D85)</f>
        <v/>
      </c>
    </row>
    <row r="86" customFormat="false" ht="15" hidden="false" customHeight="false" outlineLevel="0" collapsed="false">
      <c r="A86" s="30" t="n">
        <v>41851</v>
      </c>
      <c r="B86" s="1" t="n">
        <v>2014</v>
      </c>
      <c r="C86" s="1" t="s">
        <v>28</v>
      </c>
      <c r="D86" s="31" t="n">
        <v>3680</v>
      </c>
      <c r="E86" s="31" t="n">
        <v>18444</v>
      </c>
      <c r="F86" s="31" t="n">
        <f aca="false">E86*1000</f>
        <v>18444000</v>
      </c>
      <c r="G86" s="32" t="n">
        <f aca="false">F86/D86</f>
        <v>5011.95652173913</v>
      </c>
      <c r="H86" s="33" t="str">
        <f aca="false">IFERROR(INDEX(PTAX!$C$5:$C$5000,MATCH($A86,PTAX!$B$5:$B$5000,1)),"")</f>
        <v/>
      </c>
      <c r="I86" s="9" t="str">
        <f aca="false">IF(H86="","",F86/H86)</f>
        <v/>
      </c>
      <c r="J86" s="34" t="str">
        <f aca="false">IF(H86="","",I86/D86)</f>
        <v/>
      </c>
    </row>
    <row r="87" customFormat="false" ht="15" hidden="false" customHeight="false" outlineLevel="0" collapsed="false">
      <c r="A87" s="30" t="n">
        <v>41851</v>
      </c>
      <c r="B87" s="1" t="n">
        <v>2014</v>
      </c>
      <c r="C87" s="1" t="s">
        <v>23</v>
      </c>
      <c r="D87" s="31" t="n">
        <v>25355</v>
      </c>
      <c r="E87" s="31" t="n">
        <v>198210</v>
      </c>
      <c r="F87" s="31" t="n">
        <f aca="false">E87*1000</f>
        <v>198210000</v>
      </c>
      <c r="G87" s="32" t="n">
        <f aca="false">F87/D87</f>
        <v>7817.39301912838</v>
      </c>
      <c r="H87" s="33" t="str">
        <f aca="false">IFERROR(INDEX(PTAX!$C$5:$C$5000,MATCH($A87,PTAX!$B$5:$B$5000,1)),"")</f>
        <v/>
      </c>
      <c r="I87" s="9" t="str">
        <f aca="false">IF(H87="","",F87/H87)</f>
        <v/>
      </c>
      <c r="J87" s="34" t="str">
        <f aca="false">IF(H87="","",I87/D87)</f>
        <v/>
      </c>
    </row>
    <row r="88" customFormat="false" ht="15" hidden="false" customHeight="false" outlineLevel="0" collapsed="false">
      <c r="A88" s="30" t="n">
        <v>42216</v>
      </c>
      <c r="B88" s="1" t="n">
        <v>2015</v>
      </c>
      <c r="C88" s="1" t="s">
        <v>19</v>
      </c>
      <c r="D88" s="31" t="n">
        <v>18188</v>
      </c>
      <c r="E88" s="31" t="n">
        <v>290900</v>
      </c>
      <c r="F88" s="31" t="n">
        <f aca="false">E88*1000</f>
        <v>290900000</v>
      </c>
      <c r="G88" s="32" t="n">
        <f aca="false">F88/D88</f>
        <v>15994.0620189136</v>
      </c>
      <c r="H88" s="33" t="str">
        <f aca="false">IFERROR(INDEX(PTAX!$C$5:$C$5000,MATCH($A88,PTAX!$B$5:$B$5000,1)),"")</f>
        <v/>
      </c>
      <c r="I88" s="9" t="str">
        <f aca="false">IF(H88="","",F88/H88)</f>
        <v/>
      </c>
      <c r="J88" s="34" t="str">
        <f aca="false">IF(H88="","",I88/D88)</f>
        <v/>
      </c>
    </row>
    <row r="89" customFormat="false" ht="15" hidden="false" customHeight="false" outlineLevel="0" collapsed="false">
      <c r="A89" s="30" t="n">
        <v>42216</v>
      </c>
      <c r="B89" s="1" t="n">
        <v>2015</v>
      </c>
      <c r="C89" s="1" t="s">
        <v>20</v>
      </c>
      <c r="D89" s="31" t="n">
        <v>17437</v>
      </c>
      <c r="E89" s="31" t="n">
        <v>473550</v>
      </c>
      <c r="F89" s="31" t="n">
        <f aca="false">E89*1000</f>
        <v>473550000</v>
      </c>
      <c r="G89" s="32" t="n">
        <f aca="false">F89/D89</f>
        <v>27157.7679646728</v>
      </c>
      <c r="H89" s="33" t="str">
        <f aca="false">IFERROR(INDEX(PTAX!$C$5:$C$5000,MATCH($A89,PTAX!$B$5:$B$5000,1)),"")</f>
        <v/>
      </c>
      <c r="I89" s="9" t="str">
        <f aca="false">IF(H89="","",F89/H89)</f>
        <v/>
      </c>
      <c r="J89" s="34" t="str">
        <f aca="false">IF(H89="","",I89/D89)</f>
        <v/>
      </c>
    </row>
    <row r="90" customFormat="false" ht="15" hidden="false" customHeight="false" outlineLevel="0" collapsed="false">
      <c r="A90" s="30" t="n">
        <v>42216</v>
      </c>
      <c r="B90" s="1" t="n">
        <v>2015</v>
      </c>
      <c r="C90" s="1" t="s">
        <v>25</v>
      </c>
      <c r="D90" s="31" t="n">
        <v>37013</v>
      </c>
      <c r="E90" s="31" t="n">
        <v>371040</v>
      </c>
      <c r="F90" s="31" t="n">
        <f aca="false">E90*1000</f>
        <v>371040000</v>
      </c>
      <c r="G90" s="32" t="n">
        <f aca="false">F90/D90</f>
        <v>10024.5859562856</v>
      </c>
      <c r="H90" s="33" t="str">
        <f aca="false">IFERROR(INDEX(PTAX!$C$5:$C$5000,MATCH($A90,PTAX!$B$5:$B$5000,1)),"")</f>
        <v/>
      </c>
      <c r="I90" s="9" t="str">
        <f aca="false">IF(H90="","",F90/H90)</f>
        <v/>
      </c>
      <c r="J90" s="34" t="str">
        <f aca="false">IF(H90="","",I90/D90)</f>
        <v/>
      </c>
    </row>
    <row r="91" customFormat="false" ht="15" hidden="false" customHeight="false" outlineLevel="0" collapsed="false">
      <c r="A91" s="30" t="n">
        <v>42216</v>
      </c>
      <c r="B91" s="1" t="n">
        <v>2015</v>
      </c>
      <c r="C91" s="1" t="s">
        <v>30</v>
      </c>
      <c r="D91" s="31" t="n">
        <v>23439</v>
      </c>
      <c r="E91" s="31" t="n">
        <v>315870</v>
      </c>
      <c r="F91" s="31" t="n">
        <f aca="false">E91*1000</f>
        <v>315870000</v>
      </c>
      <c r="G91" s="32" t="n">
        <f aca="false">F91/D91</f>
        <v>13476.2575195188</v>
      </c>
      <c r="H91" s="33" t="str">
        <f aca="false">IFERROR(INDEX(PTAX!$C$5:$C$5000,MATCH($A91,PTAX!$B$5:$B$5000,1)),"")</f>
        <v/>
      </c>
      <c r="I91" s="9" t="str">
        <f aca="false">IF(H91="","",F91/H91)</f>
        <v/>
      </c>
      <c r="J91" s="34" t="str">
        <f aca="false">IF(H91="","",I91/D91)</f>
        <v/>
      </c>
    </row>
    <row r="92" customFormat="false" ht="15" hidden="false" customHeight="false" outlineLevel="0" collapsed="false">
      <c r="A92" s="30" t="n">
        <v>42216</v>
      </c>
      <c r="B92" s="1" t="n">
        <v>2015</v>
      </c>
      <c r="C92" s="1" t="s">
        <v>26</v>
      </c>
      <c r="D92" s="31" t="n">
        <v>26257</v>
      </c>
      <c r="E92" s="31" t="n">
        <v>450910</v>
      </c>
      <c r="F92" s="31" t="n">
        <f aca="false">E92*1000</f>
        <v>450910000</v>
      </c>
      <c r="G92" s="32" t="n">
        <f aca="false">F92/D92</f>
        <v>17172.9443576951</v>
      </c>
      <c r="H92" s="33" t="str">
        <f aca="false">IFERROR(INDEX(PTAX!$C$5:$C$5000,MATCH($A92,PTAX!$B$5:$B$5000,1)),"")</f>
        <v/>
      </c>
      <c r="I92" s="9" t="str">
        <f aca="false">IF(H92="","",F92/H92)</f>
        <v/>
      </c>
      <c r="J92" s="34" t="str">
        <f aca="false">IF(H92="","",I92/D92)</f>
        <v/>
      </c>
    </row>
    <row r="93" customFormat="false" ht="15" hidden="false" customHeight="false" outlineLevel="0" collapsed="false">
      <c r="A93" s="30" t="n">
        <v>42216</v>
      </c>
      <c r="B93" s="1" t="n">
        <v>2015</v>
      </c>
      <c r="C93" s="1" t="s">
        <v>24</v>
      </c>
      <c r="D93" s="31" t="n">
        <v>16167</v>
      </c>
      <c r="E93" s="31" t="n">
        <v>187600</v>
      </c>
      <c r="F93" s="31" t="n">
        <f aca="false">E93*1000</f>
        <v>187600000</v>
      </c>
      <c r="G93" s="32" t="n">
        <f aca="false">F93/D93</f>
        <v>11603.8844559906</v>
      </c>
      <c r="H93" s="33" t="str">
        <f aca="false">IFERROR(INDEX(PTAX!$C$5:$C$5000,MATCH($A93,PTAX!$B$5:$B$5000,1)),"")</f>
        <v/>
      </c>
      <c r="I93" s="9" t="str">
        <f aca="false">IF(H93="","",F93/H93)</f>
        <v/>
      </c>
      <c r="J93" s="34" t="str">
        <f aca="false">IF(H93="","",I93/D93)</f>
        <v/>
      </c>
    </row>
    <row r="94" customFormat="false" ht="15" hidden="false" customHeight="false" outlineLevel="0" collapsed="false">
      <c r="A94" s="30" t="n">
        <v>42216</v>
      </c>
      <c r="B94" s="1" t="n">
        <v>2015</v>
      </c>
      <c r="C94" s="1" t="s">
        <v>31</v>
      </c>
      <c r="D94" s="31" t="n">
        <v>23420</v>
      </c>
      <c r="E94" s="31" t="n">
        <v>143710</v>
      </c>
      <c r="F94" s="31" t="n">
        <f aca="false">E94*1000</f>
        <v>143710000</v>
      </c>
      <c r="G94" s="32" t="n">
        <f aca="false">F94/D94</f>
        <v>6136.20836891546</v>
      </c>
      <c r="H94" s="33" t="str">
        <f aca="false">IFERROR(INDEX(PTAX!$C$5:$C$5000,MATCH($A94,PTAX!$B$5:$B$5000,1)),"")</f>
        <v/>
      </c>
      <c r="I94" s="9" t="str">
        <f aca="false">IF(H94="","",F94/H94)</f>
        <v/>
      </c>
      <c r="J94" s="34" t="str">
        <f aca="false">IF(H94="","",I94/D94)</f>
        <v/>
      </c>
    </row>
    <row r="95" customFormat="false" ht="15" hidden="false" customHeight="false" outlineLevel="0" collapsed="false">
      <c r="A95" s="30" t="n">
        <v>42216</v>
      </c>
      <c r="B95" s="1" t="n">
        <v>2015</v>
      </c>
      <c r="C95" s="1" t="s">
        <v>32</v>
      </c>
      <c r="D95" s="31" t="n">
        <v>12040</v>
      </c>
      <c r="E95" s="31" t="n">
        <v>93350</v>
      </c>
      <c r="F95" s="31" t="n">
        <f aca="false">E95*1000</f>
        <v>93350000</v>
      </c>
      <c r="G95" s="32" t="n">
        <f aca="false">F95/D95</f>
        <v>7753.32225913621</v>
      </c>
      <c r="H95" s="33" t="str">
        <f aca="false">IFERROR(INDEX(PTAX!$C$5:$C$5000,MATCH($A95,PTAX!$B$5:$B$5000,1)),"")</f>
        <v/>
      </c>
      <c r="I95" s="9" t="str">
        <f aca="false">IF(H95="","",F95/H95)</f>
        <v/>
      </c>
      <c r="J95" s="34" t="str">
        <f aca="false">IF(H95="","",I95/D95)</f>
        <v/>
      </c>
    </row>
    <row r="96" customFormat="false" ht="15" hidden="false" customHeight="false" outlineLevel="0" collapsed="false">
      <c r="A96" s="30" t="n">
        <v>42216</v>
      </c>
      <c r="B96" s="1" t="n">
        <v>2015</v>
      </c>
      <c r="C96" s="1" t="s">
        <v>28</v>
      </c>
      <c r="D96" s="31" t="n">
        <v>32984</v>
      </c>
      <c r="E96" s="31" t="n">
        <v>215970</v>
      </c>
      <c r="F96" s="31" t="n">
        <f aca="false">E96*1000</f>
        <v>215970000</v>
      </c>
      <c r="G96" s="32" t="n">
        <f aca="false">F96/D96</f>
        <v>6547.72010671841</v>
      </c>
      <c r="H96" s="33" t="str">
        <f aca="false">IFERROR(INDEX(PTAX!$C$5:$C$5000,MATCH($A96,PTAX!$B$5:$B$5000,1)),"")</f>
        <v/>
      </c>
      <c r="I96" s="9" t="str">
        <f aca="false">IF(H96="","",F96/H96)</f>
        <v/>
      </c>
      <c r="J96" s="34" t="str">
        <f aca="false">IF(H96="","",I96/D96)</f>
        <v/>
      </c>
    </row>
    <row r="97" customFormat="false" ht="15" hidden="false" customHeight="false" outlineLevel="0" collapsed="false">
      <c r="A97" s="30" t="n">
        <v>42216</v>
      </c>
      <c r="B97" s="1" t="n">
        <v>2015</v>
      </c>
      <c r="C97" s="1" t="s">
        <v>29</v>
      </c>
      <c r="D97" s="31" t="n">
        <v>28837</v>
      </c>
      <c r="E97" s="31" t="n">
        <v>175030</v>
      </c>
      <c r="F97" s="31" t="n">
        <f aca="false">E97*1000</f>
        <v>175030000</v>
      </c>
      <c r="G97" s="32" t="n">
        <f aca="false">F97/D97</f>
        <v>6069.63276346361</v>
      </c>
      <c r="H97" s="33" t="str">
        <f aca="false">IFERROR(INDEX(PTAX!$C$5:$C$5000,MATCH($A97,PTAX!$B$5:$B$5000,1)),"")</f>
        <v/>
      </c>
      <c r="I97" s="9" t="str">
        <f aca="false">IF(H97="","",F97/H97)</f>
        <v/>
      </c>
      <c r="J97" s="34" t="str">
        <f aca="false">IF(H97="","",I97/D97)</f>
        <v/>
      </c>
    </row>
    <row r="98" customFormat="false" ht="15" hidden="false" customHeight="false" outlineLevel="0" collapsed="false">
      <c r="A98" s="30" t="n">
        <v>42216</v>
      </c>
      <c r="B98" s="1" t="n">
        <v>2015</v>
      </c>
      <c r="C98" s="1" t="s">
        <v>21</v>
      </c>
      <c r="D98" s="31" t="n">
        <v>23326</v>
      </c>
      <c r="E98" s="31" t="n">
        <v>234550</v>
      </c>
      <c r="F98" s="31" t="n">
        <f aca="false">E98*1000</f>
        <v>234550000</v>
      </c>
      <c r="G98" s="32" t="n">
        <f aca="false">F98/D98</f>
        <v>10055.3030952585</v>
      </c>
      <c r="H98" s="33" t="str">
        <f aca="false">IFERROR(INDEX(PTAX!$C$5:$C$5000,MATCH($A98,PTAX!$B$5:$B$5000,1)),"")</f>
        <v/>
      </c>
      <c r="I98" s="9" t="str">
        <f aca="false">IF(H98="","",F98/H98)</f>
        <v/>
      </c>
      <c r="J98" s="34" t="str">
        <f aca="false">IF(H98="","",I98/D98)</f>
        <v/>
      </c>
    </row>
    <row r="99" customFormat="false" ht="15" hidden="false" customHeight="false" outlineLevel="0" collapsed="false">
      <c r="A99" s="30" t="n">
        <v>42216</v>
      </c>
      <c r="B99" s="1" t="n">
        <v>2015</v>
      </c>
      <c r="C99" s="1" t="s">
        <v>25</v>
      </c>
      <c r="D99" s="31" t="n">
        <v>10200</v>
      </c>
      <c r="E99" s="31" t="n">
        <v>41050</v>
      </c>
      <c r="F99" s="31" t="n">
        <f aca="false">E99*1000</f>
        <v>41050000</v>
      </c>
      <c r="G99" s="32" t="n">
        <f aca="false">F99/D99</f>
        <v>4024.50980392157</v>
      </c>
      <c r="H99" s="33" t="str">
        <f aca="false">IFERROR(INDEX(PTAX!$C$5:$C$5000,MATCH($A99,PTAX!$B$5:$B$5000,1)),"")</f>
        <v/>
      </c>
      <c r="I99" s="9" t="str">
        <f aca="false">IF(H99="","",F99/H99)</f>
        <v/>
      </c>
      <c r="J99" s="34" t="str">
        <f aca="false">IF(H99="","",I99/D99)</f>
        <v/>
      </c>
    </row>
    <row r="100" customFormat="false" ht="15" hidden="false" customHeight="false" outlineLevel="0" collapsed="false">
      <c r="A100" s="30" t="n">
        <v>42216</v>
      </c>
      <c r="B100" s="1" t="n">
        <v>2015</v>
      </c>
      <c r="C100" s="1" t="s">
        <v>22</v>
      </c>
      <c r="D100" s="31" t="n">
        <v>10374</v>
      </c>
      <c r="E100" s="31" t="n">
        <v>166430</v>
      </c>
      <c r="F100" s="31" t="n">
        <f aca="false">E100*1000</f>
        <v>166430000</v>
      </c>
      <c r="G100" s="32" t="n">
        <f aca="false">F100/D100</f>
        <v>16042.9920956237</v>
      </c>
      <c r="H100" s="33" t="str">
        <f aca="false">IFERROR(INDEX(PTAX!$C$5:$C$5000,MATCH($A100,PTAX!$B$5:$B$5000,1)),"")</f>
        <v/>
      </c>
      <c r="I100" s="9" t="str">
        <f aca="false">IF(H100="","",F100/H100)</f>
        <v/>
      </c>
      <c r="J100" s="34" t="str">
        <f aca="false">IF(H100="","",I100/D100)</f>
        <v/>
      </c>
    </row>
    <row r="101" customFormat="false" ht="15" hidden="false" customHeight="false" outlineLevel="0" collapsed="false">
      <c r="A101" s="30" t="n">
        <v>42216</v>
      </c>
      <c r="B101" s="1" t="n">
        <v>2015</v>
      </c>
      <c r="C101" s="1" t="s">
        <v>28</v>
      </c>
      <c r="D101" s="31" t="n">
        <v>3680</v>
      </c>
      <c r="E101" s="31" t="n">
        <v>19020</v>
      </c>
      <c r="F101" s="31" t="n">
        <f aca="false">E101*1000</f>
        <v>19020000</v>
      </c>
      <c r="G101" s="32" t="n">
        <f aca="false">F101/D101</f>
        <v>5168.47826086957</v>
      </c>
      <c r="H101" s="33" t="str">
        <f aca="false">IFERROR(INDEX(PTAX!$C$5:$C$5000,MATCH($A101,PTAX!$B$5:$B$5000,1)),"")</f>
        <v/>
      </c>
      <c r="I101" s="9" t="str">
        <f aca="false">IF(H101="","",F101/H101)</f>
        <v/>
      </c>
      <c r="J101" s="34" t="str">
        <f aca="false">IF(H101="","",I101/D101)</f>
        <v/>
      </c>
    </row>
    <row r="102" customFormat="false" ht="15" hidden="false" customHeight="false" outlineLevel="0" collapsed="false">
      <c r="A102" s="30" t="n">
        <v>42216</v>
      </c>
      <c r="B102" s="1" t="n">
        <v>2015</v>
      </c>
      <c r="C102" s="1" t="s">
        <v>23</v>
      </c>
      <c r="D102" s="31" t="n">
        <v>25356</v>
      </c>
      <c r="E102" s="31" t="n">
        <v>222860</v>
      </c>
      <c r="F102" s="31" t="n">
        <f aca="false">E102*1000</f>
        <v>222860000</v>
      </c>
      <c r="G102" s="32" t="n">
        <f aca="false">F102/D102</f>
        <v>8789.24120523742</v>
      </c>
      <c r="H102" s="33" t="str">
        <f aca="false">IFERROR(INDEX(PTAX!$C$5:$C$5000,MATCH($A102,PTAX!$B$5:$B$5000,1)),"")</f>
        <v/>
      </c>
      <c r="I102" s="9" t="str">
        <f aca="false">IF(H102="","",F102/H102)</f>
        <v/>
      </c>
      <c r="J102" s="34" t="str">
        <f aca="false">IF(H102="","",I102/D102)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10"/>
  <sheetViews>
    <sheetView showFormulas="false" showGridLines="true" showRowColHeaders="true" showZeros="true" rightToLeft="false" tabSelected="false" showOutlineSymbols="true" defaultGridColor="true" view="normal" topLeftCell="A76" colorId="64" zoomScale="100" zoomScaleNormal="100" zoomScalePageLayoutView="100" workbookViewId="0">
      <selection pane="topLeft" activeCell="B86" activeCellId="0" sqref="B86"/>
    </sheetView>
  </sheetViews>
  <sheetFormatPr defaultColWidth="8.53125" defaultRowHeight="15" zeroHeight="false" outlineLevelRow="0" outlineLevelCol="0"/>
  <cols>
    <col collapsed="false" customWidth="true" hidden="false" outlineLevel="0" max="2" min="2" style="1" width="10.42"/>
    <col collapsed="false" customWidth="true" hidden="false" outlineLevel="0" max="4" min="4" style="1" width="18.42"/>
    <col collapsed="false" customWidth="true" hidden="false" outlineLevel="0" max="7" min="5" style="1" width="14"/>
  </cols>
  <sheetData>
    <row r="2" customFormat="false" ht="15" hidden="false" customHeight="false" outlineLevel="0" collapsed="false">
      <c r="B2" s="1" t="s">
        <v>67</v>
      </c>
      <c r="C2" s="1" t="s">
        <v>77</v>
      </c>
      <c r="D2" s="1" t="s">
        <v>12</v>
      </c>
      <c r="E2" s="1" t="s">
        <v>78</v>
      </c>
      <c r="F2" s="1" t="s">
        <v>73</v>
      </c>
      <c r="G2" s="1" t="s">
        <v>79</v>
      </c>
      <c r="I2" s="3" t="s">
        <v>80</v>
      </c>
    </row>
    <row r="3" customFormat="false" ht="15" hidden="false" customHeight="false" outlineLevel="0" collapsed="false">
      <c r="B3" s="30" t="n">
        <v>39447</v>
      </c>
      <c r="C3" s="0" t="n">
        <v>2007</v>
      </c>
      <c r="D3" s="1" t="s">
        <v>20</v>
      </c>
      <c r="E3" s="1" t="n">
        <v>6223629.94</v>
      </c>
      <c r="F3" s="33" t="str">
        <f aca="false">IFERROR(INDEX(PTAX!$C$5:$C$5000,MATCH($B3,PTAX!$B$5:$B$5000,1)),"")</f>
        <v/>
      </c>
      <c r="G3" s="9" t="str">
        <f aca="false">IF(F3="","",E3/F3)</f>
        <v/>
      </c>
    </row>
    <row r="4" customFormat="false" ht="15" hidden="false" customHeight="false" outlineLevel="0" collapsed="false">
      <c r="B4" s="30" t="n">
        <v>39447</v>
      </c>
      <c r="C4" s="0" t="n">
        <v>2007</v>
      </c>
      <c r="D4" s="1" t="s">
        <v>19</v>
      </c>
      <c r="E4" s="1" t="n">
        <v>5489634.75</v>
      </c>
      <c r="F4" s="33" t="str">
        <f aca="false">IFERROR(INDEX(PTAX!$C$5:$C$5000,MATCH($B4,PTAX!$B$5:$B$5000,1)),"")</f>
        <v/>
      </c>
      <c r="G4" s="9" t="str">
        <f aca="false">IF(F4="","",E4/F4)</f>
        <v/>
      </c>
    </row>
    <row r="5" customFormat="false" ht="15" hidden="false" customHeight="false" outlineLevel="0" collapsed="false">
      <c r="B5" s="30" t="n">
        <v>39447</v>
      </c>
      <c r="C5" s="0" t="n">
        <v>2007</v>
      </c>
      <c r="D5" s="1" t="s">
        <v>21</v>
      </c>
      <c r="E5" s="1" t="n">
        <v>3727492.65</v>
      </c>
      <c r="F5" s="33" t="str">
        <f aca="false">IFERROR(INDEX(PTAX!$C$5:$C$5000,MATCH($B5,PTAX!$B$5:$B$5000,1)),"")</f>
        <v/>
      </c>
      <c r="G5" s="9" t="str">
        <f aca="false">IF(F5="","",E5/F5)</f>
        <v/>
      </c>
    </row>
    <row r="6" customFormat="false" ht="15" hidden="false" customHeight="false" outlineLevel="0" collapsed="false">
      <c r="B6" s="30" t="n">
        <v>39447</v>
      </c>
      <c r="C6" s="0" t="n">
        <v>2007</v>
      </c>
      <c r="D6" s="1" t="s">
        <v>33</v>
      </c>
      <c r="E6" s="1" t="n">
        <v>936862.5</v>
      </c>
      <c r="F6" s="33" t="str">
        <f aca="false">IFERROR(INDEX(PTAX!$C$5:$C$5000,MATCH($B6,PTAX!$B$5:$B$5000,1)),"")</f>
        <v/>
      </c>
      <c r="G6" s="9" t="str">
        <f aca="false">IF(F6="","",E6/F6)</f>
        <v/>
      </c>
    </row>
    <row r="7" customFormat="false" ht="15" hidden="false" customHeight="false" outlineLevel="0" collapsed="false">
      <c r="B7" s="30" t="n">
        <v>39447</v>
      </c>
      <c r="C7" s="0" t="n">
        <v>2007</v>
      </c>
      <c r="D7" s="1" t="s">
        <v>22</v>
      </c>
      <c r="E7" s="1" t="n">
        <v>2049840</v>
      </c>
      <c r="F7" s="33" t="str">
        <f aca="false">IFERROR(INDEX(PTAX!$C$5:$C$5000,MATCH($B7,PTAX!$B$5:$B$5000,1)),"")</f>
        <v/>
      </c>
      <c r="G7" s="9" t="str">
        <f aca="false">IF(F7="","",E7/F7)</f>
        <v/>
      </c>
    </row>
    <row r="8" customFormat="false" ht="15" hidden="false" customHeight="false" outlineLevel="0" collapsed="false">
      <c r="B8" s="30" t="n">
        <v>39447</v>
      </c>
      <c r="C8" s="0" t="n">
        <v>2007</v>
      </c>
      <c r="D8" s="1" t="s">
        <v>26</v>
      </c>
      <c r="E8" s="1" t="n">
        <v>7507249.555</v>
      </c>
      <c r="F8" s="33" t="str">
        <f aca="false">IFERROR(INDEX(PTAX!$C$5:$C$5000,MATCH($B8,PTAX!$B$5:$B$5000,1)),"")</f>
        <v/>
      </c>
      <c r="G8" s="9" t="str">
        <f aca="false">IF(F8="","",E8/F8)</f>
        <v/>
      </c>
    </row>
    <row r="9" customFormat="false" ht="15" hidden="false" customHeight="false" outlineLevel="0" collapsed="false">
      <c r="B9" s="30" t="n">
        <v>39813</v>
      </c>
      <c r="C9" s="0" t="n">
        <v>2008</v>
      </c>
      <c r="D9" s="1" t="s">
        <v>20</v>
      </c>
      <c r="E9" s="1" t="n">
        <v>6078894.36</v>
      </c>
      <c r="F9" s="33" t="str">
        <f aca="false">IFERROR(INDEX(PTAX!$C$5:$C$5000,MATCH($B9,PTAX!$B$5:$B$5000,1)),"")</f>
        <v/>
      </c>
      <c r="G9" s="9" t="str">
        <f aca="false">IF(F9="","",E9/F9)</f>
        <v/>
      </c>
    </row>
    <row r="10" customFormat="false" ht="15" hidden="false" customHeight="false" outlineLevel="0" collapsed="false">
      <c r="B10" s="30" t="n">
        <v>39813</v>
      </c>
      <c r="C10" s="0" t="n">
        <v>2008</v>
      </c>
      <c r="D10" s="1" t="s">
        <v>19</v>
      </c>
      <c r="E10" s="1" t="n">
        <v>5764116.4875</v>
      </c>
      <c r="F10" s="33" t="str">
        <f aca="false">IFERROR(INDEX(PTAX!$C$5:$C$5000,MATCH($B10,PTAX!$B$5:$B$5000,1)),"")</f>
        <v/>
      </c>
      <c r="G10" s="9" t="str">
        <f aca="false">IF(F10="","",E10/F10)</f>
        <v/>
      </c>
    </row>
    <row r="11" customFormat="false" ht="15" hidden="false" customHeight="false" outlineLevel="0" collapsed="false">
      <c r="B11" s="30" t="n">
        <v>39813</v>
      </c>
      <c r="C11" s="0" t="n">
        <v>2008</v>
      </c>
      <c r="D11" s="1" t="s">
        <v>21</v>
      </c>
      <c r="E11" s="1" t="n">
        <v>3727492.65</v>
      </c>
      <c r="F11" s="33" t="str">
        <f aca="false">IFERROR(INDEX(PTAX!$C$5:$C$5000,MATCH($B11,PTAX!$B$5:$B$5000,1)),"")</f>
        <v/>
      </c>
      <c r="G11" s="9" t="str">
        <f aca="false">IF(F11="","",E11/F11)</f>
        <v/>
      </c>
    </row>
    <row r="12" customFormat="false" ht="15" hidden="false" customHeight="false" outlineLevel="0" collapsed="false">
      <c r="B12" s="30" t="n">
        <v>39813</v>
      </c>
      <c r="C12" s="0" t="n">
        <v>2008</v>
      </c>
      <c r="D12" s="1" t="s">
        <v>33</v>
      </c>
      <c r="E12" s="1" t="n">
        <v>1083600</v>
      </c>
      <c r="F12" s="33" t="str">
        <f aca="false">IFERROR(INDEX(PTAX!$C$5:$C$5000,MATCH($B12,PTAX!$B$5:$B$5000,1)),"")</f>
        <v/>
      </c>
      <c r="G12" s="9" t="str">
        <f aca="false">IF(F12="","",E12/F12)</f>
        <v/>
      </c>
    </row>
    <row r="13" customFormat="false" ht="15" hidden="false" customHeight="false" outlineLevel="0" collapsed="false">
      <c r="B13" s="30" t="n">
        <v>39813</v>
      </c>
      <c r="C13" s="0" t="n">
        <v>2008</v>
      </c>
      <c r="D13" s="1" t="s">
        <v>22</v>
      </c>
      <c r="E13" s="1" t="n">
        <v>2181240</v>
      </c>
      <c r="F13" s="33" t="str">
        <f aca="false">IFERROR(INDEX(PTAX!$C$5:$C$5000,MATCH($B13,PTAX!$B$5:$B$5000,1)),"")</f>
        <v/>
      </c>
      <c r="G13" s="9" t="str">
        <f aca="false">IF(F13="","",E13/F13)</f>
        <v/>
      </c>
    </row>
    <row r="14" customFormat="false" ht="15" hidden="false" customHeight="false" outlineLevel="0" collapsed="false">
      <c r="B14" s="30" t="n">
        <v>39813</v>
      </c>
      <c r="C14" s="0" t="n">
        <v>2008</v>
      </c>
      <c r="D14" s="1" t="s">
        <v>26</v>
      </c>
      <c r="E14" s="1" t="n">
        <v>7507249.555</v>
      </c>
      <c r="F14" s="33" t="str">
        <f aca="false">IFERROR(INDEX(PTAX!$C$5:$C$5000,MATCH($B14,PTAX!$B$5:$B$5000,1)),"")</f>
        <v/>
      </c>
      <c r="G14" s="9" t="str">
        <f aca="false">IF(F14="","",E14/F14)</f>
        <v/>
      </c>
    </row>
    <row r="15" customFormat="false" ht="15" hidden="false" customHeight="false" outlineLevel="0" collapsed="false">
      <c r="B15" s="30" t="n">
        <v>39813</v>
      </c>
      <c r="C15" s="0" t="n">
        <v>2008</v>
      </c>
      <c r="D15" s="1" t="s">
        <v>23</v>
      </c>
      <c r="E15" s="1" t="n">
        <v>0</v>
      </c>
      <c r="F15" s="33" t="str">
        <f aca="false">IFERROR(INDEX(PTAX!$C$5:$C$5000,MATCH($B15,PTAX!$B$5:$B$5000,1)),"")</f>
        <v/>
      </c>
      <c r="G15" s="9" t="str">
        <f aca="false">IF(F15="","",E15/F15)</f>
        <v/>
      </c>
    </row>
    <row r="16" customFormat="false" ht="15" hidden="false" customHeight="false" outlineLevel="0" collapsed="false">
      <c r="B16" s="30" t="n">
        <v>39813</v>
      </c>
      <c r="C16" s="0" t="n">
        <v>2008</v>
      </c>
      <c r="D16" s="1" t="s">
        <v>24</v>
      </c>
      <c r="E16" s="1" t="n">
        <v>565677</v>
      </c>
      <c r="F16" s="33" t="str">
        <f aca="false">IFERROR(INDEX(PTAX!$C$5:$C$5000,MATCH($B16,PTAX!$B$5:$B$5000,1)),"")</f>
        <v/>
      </c>
      <c r="G16" s="9" t="str">
        <f aca="false">IF(F16="","",E16/F16)</f>
        <v/>
      </c>
    </row>
    <row r="17" customFormat="false" ht="15" hidden="false" customHeight="false" outlineLevel="0" collapsed="false">
      <c r="B17" s="30" t="n">
        <v>40178</v>
      </c>
      <c r="C17" s="0" t="n">
        <v>2009</v>
      </c>
      <c r="D17" s="1" t="s">
        <v>20</v>
      </c>
      <c r="E17" s="1" t="n">
        <v>5934158.78</v>
      </c>
      <c r="F17" s="33" t="str">
        <f aca="false">IFERROR(INDEX(PTAX!$C$5:$C$5000,MATCH($B17,PTAX!$B$5:$B$5000,1)),"")</f>
        <v/>
      </c>
      <c r="G17" s="9" t="str">
        <f aca="false">IF(F17="","",E17/F17)</f>
        <v/>
      </c>
    </row>
    <row r="18" customFormat="false" ht="15" hidden="false" customHeight="false" outlineLevel="0" collapsed="false">
      <c r="B18" s="30" t="n">
        <v>40178</v>
      </c>
      <c r="C18" s="0" t="n">
        <v>2009</v>
      </c>
      <c r="D18" s="1" t="s">
        <v>19</v>
      </c>
      <c r="E18" s="1" t="n">
        <v>5432845.425</v>
      </c>
      <c r="F18" s="33" t="str">
        <f aca="false">IFERROR(INDEX(PTAX!$C$5:$C$5000,MATCH($B18,PTAX!$B$5:$B$5000,1)),"")</f>
        <v/>
      </c>
      <c r="G18" s="9" t="str">
        <f aca="false">IF(F18="","",E18/F18)</f>
        <v/>
      </c>
    </row>
    <row r="19" customFormat="false" ht="15" hidden="false" customHeight="false" outlineLevel="0" collapsed="false">
      <c r="B19" s="30" t="n">
        <v>40178</v>
      </c>
      <c r="C19" s="0" t="n">
        <v>2009</v>
      </c>
      <c r="D19" s="1" t="s">
        <v>21</v>
      </c>
      <c r="E19" s="1" t="n">
        <v>3502944.9</v>
      </c>
      <c r="F19" s="33" t="str">
        <f aca="false">IFERROR(INDEX(PTAX!$C$5:$C$5000,MATCH($B19,PTAX!$B$5:$B$5000,1)),"")</f>
        <v/>
      </c>
      <c r="G19" s="9" t="str">
        <f aca="false">IF(F19="","",E19/F19)</f>
        <v/>
      </c>
    </row>
    <row r="20" customFormat="false" ht="15" hidden="false" customHeight="false" outlineLevel="0" collapsed="false">
      <c r="B20" s="30" t="n">
        <v>40178</v>
      </c>
      <c r="C20" s="0" t="n">
        <v>2009</v>
      </c>
      <c r="D20" s="1" t="s">
        <v>33</v>
      </c>
      <c r="E20" s="1" t="n">
        <v>948150</v>
      </c>
      <c r="F20" s="33" t="str">
        <f aca="false">IFERROR(INDEX(PTAX!$C$5:$C$5000,MATCH($B20,PTAX!$B$5:$B$5000,1)),"")</f>
        <v/>
      </c>
      <c r="G20" s="9" t="str">
        <f aca="false">IF(F20="","",E20/F20)</f>
        <v/>
      </c>
    </row>
    <row r="21" customFormat="false" ht="15" hidden="false" customHeight="false" outlineLevel="0" collapsed="false">
      <c r="B21" s="30" t="n">
        <v>40178</v>
      </c>
      <c r="C21" s="0" t="n">
        <v>2009</v>
      </c>
      <c r="D21" s="1" t="s">
        <v>22</v>
      </c>
      <c r="E21" s="1" t="n">
        <v>2049840</v>
      </c>
      <c r="F21" s="33" t="str">
        <f aca="false">IFERROR(INDEX(PTAX!$C$5:$C$5000,MATCH($B21,PTAX!$B$5:$B$5000,1)),"")</f>
        <v/>
      </c>
      <c r="G21" s="9" t="str">
        <f aca="false">IF(F21="","",E21/F21)</f>
        <v/>
      </c>
    </row>
    <row r="22" customFormat="false" ht="15" hidden="false" customHeight="false" outlineLevel="0" collapsed="false">
      <c r="B22" s="30" t="n">
        <v>40178</v>
      </c>
      <c r="C22" s="0" t="n">
        <v>2009</v>
      </c>
      <c r="D22" s="1" t="s">
        <v>26</v>
      </c>
      <c r="E22" s="1" t="n">
        <v>7007611.31</v>
      </c>
      <c r="F22" s="33" t="str">
        <f aca="false">IFERROR(INDEX(PTAX!$C$5:$C$5000,MATCH($B22,PTAX!$B$5:$B$5000,1)),"")</f>
        <v/>
      </c>
      <c r="G22" s="9" t="str">
        <f aca="false">IF(F22="","",E22/F22)</f>
        <v/>
      </c>
    </row>
    <row r="23" customFormat="false" ht="15" hidden="false" customHeight="false" outlineLevel="0" collapsed="false">
      <c r="B23" s="30" t="n">
        <v>40178</v>
      </c>
      <c r="C23" s="0" t="n">
        <v>2009</v>
      </c>
      <c r="D23" s="1" t="s">
        <v>23</v>
      </c>
      <c r="E23" s="1" t="n">
        <v>0</v>
      </c>
      <c r="F23" s="33" t="str">
        <f aca="false">IFERROR(INDEX(PTAX!$C$5:$C$5000,MATCH($B23,PTAX!$B$5:$B$5000,1)),"")</f>
        <v/>
      </c>
      <c r="G23" s="9" t="str">
        <f aca="false">IF(F23="","",E23/F23)</f>
        <v/>
      </c>
    </row>
    <row r="24" customFormat="false" ht="15" hidden="false" customHeight="false" outlineLevel="0" collapsed="false">
      <c r="B24" s="30" t="n">
        <v>40178</v>
      </c>
      <c r="C24" s="0" t="n">
        <v>2009</v>
      </c>
      <c r="D24" s="1" t="s">
        <v>24</v>
      </c>
      <c r="E24" s="1" t="n">
        <v>1155042.72</v>
      </c>
      <c r="F24" s="33" t="str">
        <f aca="false">IFERROR(INDEX(PTAX!$C$5:$C$5000,MATCH($B24,PTAX!$B$5:$B$5000,1)),"")</f>
        <v/>
      </c>
      <c r="G24" s="9" t="str">
        <f aca="false">IF(F24="","",E24/F24)</f>
        <v/>
      </c>
    </row>
    <row r="25" customFormat="false" ht="15" hidden="false" customHeight="false" outlineLevel="0" collapsed="false">
      <c r="B25" s="30" t="n">
        <v>40543</v>
      </c>
      <c r="C25" s="0" t="n">
        <v>2010</v>
      </c>
      <c r="D25" s="1" t="s">
        <v>20</v>
      </c>
      <c r="E25" s="1" t="n">
        <v>6802572.26</v>
      </c>
      <c r="F25" s="33" t="str">
        <f aca="false">IFERROR(INDEX(PTAX!$C$5:$C$5000,MATCH($B25,PTAX!$B$5:$B$5000,1)),"")</f>
        <v/>
      </c>
      <c r="G25" s="9" t="str">
        <f aca="false">IF(F25="","",E25/F25)</f>
        <v/>
      </c>
    </row>
    <row r="26" customFormat="false" ht="15" hidden="false" customHeight="false" outlineLevel="0" collapsed="false">
      <c r="B26" s="30" t="n">
        <v>40543</v>
      </c>
      <c r="C26" s="0" t="n">
        <v>2010</v>
      </c>
      <c r="D26" s="1" t="s">
        <v>19</v>
      </c>
      <c r="E26" s="1" t="n">
        <v>5962879.125</v>
      </c>
      <c r="F26" s="33" t="str">
        <f aca="false">IFERROR(INDEX(PTAX!$C$5:$C$5000,MATCH($B26,PTAX!$B$5:$B$5000,1)),"")</f>
        <v/>
      </c>
      <c r="G26" s="9" t="str">
        <f aca="false">IF(F26="","",E26/F26)</f>
        <v/>
      </c>
    </row>
    <row r="27" customFormat="false" ht="15" hidden="false" customHeight="false" outlineLevel="0" collapsed="false">
      <c r="B27" s="30" t="n">
        <v>40543</v>
      </c>
      <c r="C27" s="0" t="n">
        <v>2010</v>
      </c>
      <c r="D27" s="1" t="s">
        <v>21</v>
      </c>
      <c r="E27" s="1" t="n">
        <v>3907130.85</v>
      </c>
      <c r="F27" s="33" t="str">
        <f aca="false">IFERROR(INDEX(PTAX!$C$5:$C$5000,MATCH($B27,PTAX!$B$5:$B$5000,1)),"")</f>
        <v/>
      </c>
      <c r="G27" s="9" t="str">
        <f aca="false">IF(F27="","",E27/F27)</f>
        <v/>
      </c>
    </row>
    <row r="28" customFormat="false" ht="15" hidden="false" customHeight="false" outlineLevel="0" collapsed="false">
      <c r="B28" s="30" t="n">
        <v>40543</v>
      </c>
      <c r="C28" s="0" t="n">
        <v>2010</v>
      </c>
      <c r="D28" s="1" t="s">
        <v>22</v>
      </c>
      <c r="E28" s="1" t="n">
        <v>2897280</v>
      </c>
      <c r="F28" s="33" t="str">
        <f aca="false">IFERROR(INDEX(PTAX!$C$5:$C$5000,MATCH($B28,PTAX!$B$5:$B$5000,1)),"")</f>
        <v/>
      </c>
      <c r="G28" s="9" t="str">
        <f aca="false">IF(F28="","",E28/F28)</f>
        <v/>
      </c>
    </row>
    <row r="29" customFormat="false" ht="15" hidden="false" customHeight="false" outlineLevel="0" collapsed="false">
      <c r="B29" s="30" t="n">
        <v>40543</v>
      </c>
      <c r="C29" s="0" t="n">
        <v>2010</v>
      </c>
      <c r="D29" s="1" t="s">
        <v>26</v>
      </c>
      <c r="E29" s="1" t="n">
        <v>8841956.6235</v>
      </c>
      <c r="F29" s="33" t="str">
        <f aca="false">IFERROR(INDEX(PTAX!$C$5:$C$5000,MATCH($B29,PTAX!$B$5:$B$5000,1)),"")</f>
        <v/>
      </c>
      <c r="G29" s="9" t="str">
        <f aca="false">IF(F29="","",E29/F29)</f>
        <v/>
      </c>
    </row>
    <row r="30" customFormat="false" ht="15" hidden="false" customHeight="false" outlineLevel="0" collapsed="false">
      <c r="B30" s="30" t="n">
        <v>40543</v>
      </c>
      <c r="C30" s="0" t="n">
        <v>2010</v>
      </c>
      <c r="D30" s="1" t="s">
        <v>23</v>
      </c>
      <c r="E30" s="1" t="n">
        <v>455000</v>
      </c>
      <c r="F30" s="33" t="str">
        <f aca="false">IFERROR(INDEX(PTAX!$C$5:$C$5000,MATCH($B30,PTAX!$B$5:$B$5000,1)),"")</f>
        <v/>
      </c>
      <c r="G30" s="9" t="str">
        <f aca="false">IF(F30="","",E30/F30)</f>
        <v/>
      </c>
    </row>
    <row r="31" customFormat="false" ht="15" hidden="false" customHeight="false" outlineLevel="0" collapsed="false">
      <c r="B31" s="30" t="n">
        <v>40543</v>
      </c>
      <c r="C31" s="0" t="n">
        <v>2010</v>
      </c>
      <c r="D31" s="1" t="s">
        <v>24</v>
      </c>
      <c r="E31" s="1" t="n">
        <v>2568870</v>
      </c>
      <c r="F31" s="33" t="str">
        <f aca="false">IFERROR(INDEX(PTAX!$C$5:$C$5000,MATCH($B31,PTAX!$B$5:$B$5000,1)),"")</f>
        <v/>
      </c>
      <c r="G31" s="9" t="str">
        <f aca="false">IF(F31="","",E31/F31)</f>
        <v/>
      </c>
    </row>
    <row r="32" customFormat="false" ht="15" hidden="false" customHeight="false" outlineLevel="0" collapsed="false">
      <c r="B32" s="30" t="n">
        <v>40908</v>
      </c>
      <c r="C32" s="0" t="n">
        <v>2011</v>
      </c>
      <c r="D32" s="1" t="s">
        <v>20</v>
      </c>
      <c r="E32" s="1" t="n">
        <v>4563675.1968</v>
      </c>
      <c r="F32" s="33" t="str">
        <f aca="false">IFERROR(INDEX(PTAX!$C$5:$C$5000,MATCH($B32,PTAX!$B$5:$B$5000,1)),"")</f>
        <v/>
      </c>
      <c r="G32" s="9" t="str">
        <f aca="false">IF(F32="","",E32/F32)</f>
        <v/>
      </c>
    </row>
    <row r="33" customFormat="false" ht="15" hidden="false" customHeight="false" outlineLevel="0" collapsed="false">
      <c r="B33" s="30" t="n">
        <v>40908</v>
      </c>
      <c r="C33" s="0" t="n">
        <v>2011</v>
      </c>
      <c r="D33" s="1" t="s">
        <v>19</v>
      </c>
      <c r="E33" s="1" t="n">
        <v>4000309.04</v>
      </c>
      <c r="F33" s="33" t="str">
        <f aca="false">IFERROR(INDEX(PTAX!$C$5:$C$5000,MATCH($B33,PTAX!$B$5:$B$5000,1)),"")</f>
        <v/>
      </c>
      <c r="G33" s="9" t="str">
        <f aca="false">IF(F33="","",E33/F33)</f>
        <v/>
      </c>
    </row>
    <row r="34" customFormat="false" ht="15" hidden="false" customHeight="false" outlineLevel="0" collapsed="false">
      <c r="B34" s="30" t="n">
        <v>40908</v>
      </c>
      <c r="C34" s="0" t="n">
        <v>2011</v>
      </c>
      <c r="D34" s="1" t="s">
        <v>21</v>
      </c>
      <c r="E34" s="1" t="n">
        <v>4417449.24</v>
      </c>
      <c r="F34" s="33" t="str">
        <f aca="false">IFERROR(INDEX(PTAX!$C$5:$C$5000,MATCH($B34,PTAX!$B$5:$B$5000,1)),"")</f>
        <v/>
      </c>
      <c r="G34" s="9" t="str">
        <f aca="false">IF(F34="","",E34/F34)</f>
        <v/>
      </c>
    </row>
    <row r="35" customFormat="false" ht="15" hidden="false" customHeight="false" outlineLevel="0" collapsed="false">
      <c r="B35" s="30" t="n">
        <v>40908</v>
      </c>
      <c r="C35" s="0" t="n">
        <v>2011</v>
      </c>
      <c r="D35" s="1" t="s">
        <v>22</v>
      </c>
      <c r="E35" s="1" t="n">
        <v>3924886.8575</v>
      </c>
      <c r="F35" s="33" t="str">
        <f aca="false">IFERROR(INDEX(PTAX!$C$5:$C$5000,MATCH($B35,PTAX!$B$5:$B$5000,1)),"")</f>
        <v/>
      </c>
      <c r="G35" s="9" t="str">
        <f aca="false">IF(F35="","",E35/F35)</f>
        <v/>
      </c>
    </row>
    <row r="36" customFormat="false" ht="15" hidden="false" customHeight="false" outlineLevel="0" collapsed="false">
      <c r="B36" s="30" t="n">
        <v>40908</v>
      </c>
      <c r="C36" s="0" t="n">
        <v>2011</v>
      </c>
      <c r="D36" s="1" t="s">
        <v>23</v>
      </c>
      <c r="E36" s="1" t="n">
        <v>1501325.7</v>
      </c>
      <c r="F36" s="33" t="str">
        <f aca="false">IFERROR(INDEX(PTAX!$C$5:$C$5000,MATCH($B36,PTAX!$B$5:$B$5000,1)),"")</f>
        <v/>
      </c>
      <c r="G36" s="9" t="str">
        <f aca="false">IF(F36="","",E36/F36)</f>
        <v/>
      </c>
    </row>
    <row r="37" customFormat="false" ht="15" hidden="false" customHeight="false" outlineLevel="0" collapsed="false">
      <c r="B37" s="30" t="n">
        <v>40908</v>
      </c>
      <c r="C37" s="0" t="n">
        <v>2011</v>
      </c>
      <c r="D37" s="1" t="s">
        <v>24</v>
      </c>
      <c r="E37" s="1" t="n">
        <v>4695292.48</v>
      </c>
      <c r="F37" s="33" t="str">
        <f aca="false">IFERROR(INDEX(PTAX!$C$5:$C$5000,MATCH($B37,PTAX!$B$5:$B$5000,1)),"")</f>
        <v/>
      </c>
      <c r="G37" s="9" t="str">
        <f aca="false">IF(F37="","",E37/F37)</f>
        <v/>
      </c>
    </row>
    <row r="38" customFormat="false" ht="15" hidden="false" customHeight="false" outlineLevel="0" collapsed="false">
      <c r="B38" s="30" t="n">
        <v>40908</v>
      </c>
      <c r="C38" s="0" t="n">
        <v>2011</v>
      </c>
      <c r="D38" s="1" t="s">
        <v>26</v>
      </c>
      <c r="E38" s="1" t="n">
        <v>4976641.8</v>
      </c>
      <c r="F38" s="33" t="str">
        <f aca="false">IFERROR(INDEX(PTAX!$C$5:$C$5000,MATCH($B38,PTAX!$B$5:$B$5000,1)),"")</f>
        <v/>
      </c>
      <c r="G38" s="9" t="str">
        <f aca="false">IF(F38="","",E38/F38)</f>
        <v/>
      </c>
    </row>
    <row r="39" customFormat="false" ht="15" hidden="false" customHeight="false" outlineLevel="0" collapsed="false">
      <c r="B39" s="30" t="n">
        <v>40908</v>
      </c>
      <c r="C39" s="0" t="n">
        <v>2011</v>
      </c>
      <c r="D39" s="1" t="s">
        <v>23</v>
      </c>
      <c r="E39" s="1" t="n">
        <v>692094.78</v>
      </c>
      <c r="F39" s="33" t="str">
        <f aca="false">IFERROR(INDEX(PTAX!$C$5:$C$5000,MATCH($B39,PTAX!$B$5:$B$5000,1)),"")</f>
        <v/>
      </c>
      <c r="G39" s="9" t="str">
        <f aca="false">IF(F39="","",E39/F39)</f>
        <v/>
      </c>
    </row>
    <row r="40" customFormat="false" ht="15" hidden="false" customHeight="false" outlineLevel="0" collapsed="false">
      <c r="B40" s="30" t="n">
        <f aca="false">DATE(C40,12,31)</f>
        <v>41274</v>
      </c>
      <c r="C40" s="0" t="n">
        <v>2012</v>
      </c>
      <c r="D40" s="1" t="s">
        <v>20</v>
      </c>
      <c r="E40" s="1" t="n">
        <v>7795000</v>
      </c>
      <c r="F40" s="33" t="str">
        <f aca="false">IFERROR(INDEX(PTAX!$C$5:$C$5000,MATCH($B40,PTAX!$B$5:$B$5000,1)),"")</f>
        <v/>
      </c>
      <c r="G40" s="9" t="str">
        <f aca="false">IF(F40="","",E40/F40)</f>
        <v/>
      </c>
    </row>
    <row r="41" customFormat="false" ht="15" hidden="false" customHeight="false" outlineLevel="0" collapsed="false">
      <c r="B41" s="30" t="n">
        <f aca="false">DATE(C41,12,31)</f>
        <v>41639</v>
      </c>
      <c r="C41" s="0" t="n">
        <v>2013</v>
      </c>
      <c r="D41" s="1" t="s">
        <v>20</v>
      </c>
      <c r="E41" s="1" t="n">
        <v>7483000</v>
      </c>
      <c r="F41" s="33" t="str">
        <f aca="false">IFERROR(INDEX(PTAX!$C$5:$C$5000,MATCH($B41,PTAX!$B$5:$B$5000,1)),"")</f>
        <v/>
      </c>
      <c r="G41" s="9" t="str">
        <f aca="false">IF(F41="","",E41/F41)</f>
        <v/>
      </c>
    </row>
    <row r="42" customFormat="false" ht="15" hidden="false" customHeight="false" outlineLevel="0" collapsed="false">
      <c r="B42" s="30" t="n">
        <f aca="false">DATE(C42,12,31)</f>
        <v>42004</v>
      </c>
      <c r="C42" s="0" t="n">
        <v>2014</v>
      </c>
      <c r="D42" s="1" t="s">
        <v>20</v>
      </c>
      <c r="E42" s="1" t="n">
        <v>10660000</v>
      </c>
      <c r="F42" s="33" t="str">
        <f aca="false">IFERROR(INDEX(PTAX!$C$5:$C$5000,MATCH($B42,PTAX!$B$5:$B$5000,1)),"")</f>
        <v/>
      </c>
      <c r="G42" s="9" t="str">
        <f aca="false">IF(F42="","",E42/F42)</f>
        <v/>
      </c>
    </row>
    <row r="43" customFormat="false" ht="15" hidden="false" customHeight="false" outlineLevel="0" collapsed="false">
      <c r="B43" s="30" t="n">
        <f aca="false">DATE(C43,12,31)</f>
        <v>42369</v>
      </c>
      <c r="C43" s="0" t="n">
        <v>2015</v>
      </c>
      <c r="D43" s="1" t="s">
        <v>20</v>
      </c>
      <c r="E43" s="1" t="n">
        <v>13057000</v>
      </c>
      <c r="F43" s="33" t="str">
        <f aca="false">IFERROR(INDEX(PTAX!$C$5:$C$5000,MATCH($B43,PTAX!$B$5:$B$5000,1)),"")</f>
        <v/>
      </c>
      <c r="G43" s="9" t="str">
        <f aca="false">IF(F43="","",E43/F43)</f>
        <v/>
      </c>
    </row>
    <row r="44" customFormat="false" ht="15" hidden="false" customHeight="false" outlineLevel="0" collapsed="false">
      <c r="B44" s="30" t="n">
        <f aca="false">DATE(C44,12,31)</f>
        <v>42735</v>
      </c>
      <c r="C44" s="0" t="n">
        <v>2016</v>
      </c>
      <c r="D44" s="1" t="s">
        <v>20</v>
      </c>
      <c r="E44" s="1" t="n">
        <v>12883000</v>
      </c>
      <c r="F44" s="33" t="str">
        <f aca="false">IFERROR(INDEX(PTAX!$C$5:$C$5000,MATCH($B44,PTAX!$B$5:$B$5000,1)),"")</f>
        <v/>
      </c>
      <c r="G44" s="9" t="str">
        <f aca="false">IF(F44="","",E44/F44)</f>
        <v/>
      </c>
    </row>
    <row r="45" customFormat="false" ht="15" hidden="false" customHeight="false" outlineLevel="0" collapsed="false">
      <c r="B45" s="30" t="n">
        <f aca="false">DATE(C45,12,31)</f>
        <v>43100</v>
      </c>
      <c r="C45" s="0" t="n">
        <v>2017</v>
      </c>
      <c r="D45" s="1" t="s">
        <v>20</v>
      </c>
      <c r="E45" s="1" t="n">
        <v>13426000</v>
      </c>
      <c r="F45" s="33" t="str">
        <f aca="false">IFERROR(INDEX(PTAX!$C$5:$C$5000,MATCH($B45,PTAX!$B$5:$B$5000,1)),"")</f>
        <v/>
      </c>
      <c r="G45" s="9" t="str">
        <f aca="false">IF(F45="","",E45/F45)</f>
        <v/>
      </c>
    </row>
    <row r="46" customFormat="false" ht="15" hidden="false" customHeight="false" outlineLevel="0" collapsed="false">
      <c r="B46" s="30" t="n">
        <f aca="false">DATE(C46,12,31)</f>
        <v>41274</v>
      </c>
      <c r="C46" s="0" t="n">
        <v>2012</v>
      </c>
      <c r="D46" s="1" t="s">
        <v>19</v>
      </c>
      <c r="E46" s="1" t="n">
        <v>6522000</v>
      </c>
      <c r="F46" s="33" t="str">
        <f aca="false">IFERROR(INDEX(PTAX!$C$5:$C$5000,MATCH($B46,PTAX!$B$5:$B$5000,1)),"")</f>
        <v/>
      </c>
      <c r="G46" s="9" t="str">
        <f aca="false">IF(F46="","",E46/F46)</f>
        <v/>
      </c>
    </row>
    <row r="47" customFormat="false" ht="15" hidden="false" customHeight="false" outlineLevel="0" collapsed="false">
      <c r="B47" s="30" t="n">
        <f aca="false">DATE(C47,12,31)</f>
        <v>41639</v>
      </c>
      <c r="C47" s="0" t="n">
        <v>2013</v>
      </c>
      <c r="D47" s="1" t="s">
        <v>19</v>
      </c>
      <c r="E47" s="1" t="n">
        <v>5902000</v>
      </c>
      <c r="F47" s="33" t="str">
        <f aca="false">IFERROR(INDEX(PTAX!$C$5:$C$5000,MATCH($B47,PTAX!$B$5:$B$5000,1)),"")</f>
        <v/>
      </c>
      <c r="G47" s="9" t="str">
        <f aca="false">IF(F47="","",E47/F47)</f>
        <v/>
      </c>
    </row>
    <row r="48" customFormat="false" ht="15" hidden="false" customHeight="false" outlineLevel="0" collapsed="false">
      <c r="B48" s="30" t="n">
        <f aca="false">DATE(C48,12,31)</f>
        <v>42004</v>
      </c>
      <c r="C48" s="0" t="n">
        <v>2014</v>
      </c>
      <c r="D48" s="1" t="s">
        <v>19</v>
      </c>
      <c r="E48" s="1" t="n">
        <v>6567000</v>
      </c>
      <c r="F48" s="33" t="str">
        <f aca="false">IFERROR(INDEX(PTAX!$C$5:$C$5000,MATCH($B48,PTAX!$B$5:$B$5000,1)),"")</f>
        <v/>
      </c>
      <c r="G48" s="9" t="str">
        <f aca="false">IF(F48="","",E48/F48)</f>
        <v/>
      </c>
    </row>
    <row r="49" customFormat="false" ht="15" hidden="false" customHeight="false" outlineLevel="0" collapsed="false">
      <c r="B49" s="30" t="n">
        <f aca="false">DATE(C49,12,31)</f>
        <v>42369</v>
      </c>
      <c r="C49" s="0" t="n">
        <v>2015</v>
      </c>
      <c r="D49" s="1" t="s">
        <v>19</v>
      </c>
      <c r="E49" s="1" t="n">
        <v>8312000</v>
      </c>
      <c r="F49" s="33" t="str">
        <f aca="false">IFERROR(INDEX(PTAX!$C$5:$C$5000,MATCH($B49,PTAX!$B$5:$B$5000,1)),"")</f>
        <v/>
      </c>
      <c r="G49" s="9" t="str">
        <f aca="false">IF(F49="","",E49/F49)</f>
        <v/>
      </c>
    </row>
    <row r="50" customFormat="false" ht="15" hidden="false" customHeight="false" outlineLevel="0" collapsed="false">
      <c r="B50" s="30" t="n">
        <f aca="false">DATE(C50,12,31)</f>
        <v>42735</v>
      </c>
      <c r="C50" s="0" t="n">
        <v>2016</v>
      </c>
      <c r="D50" s="1" t="s">
        <v>19</v>
      </c>
      <c r="E50" s="1" t="n">
        <v>7880000</v>
      </c>
      <c r="F50" s="33" t="str">
        <f aca="false">IFERROR(INDEX(PTAX!$C$5:$C$5000,MATCH($B50,PTAX!$B$5:$B$5000,1)),"")</f>
        <v/>
      </c>
      <c r="G50" s="9" t="str">
        <f aca="false">IF(F50="","",E50/F50)</f>
        <v/>
      </c>
    </row>
    <row r="51" customFormat="false" ht="15" hidden="false" customHeight="false" outlineLevel="0" collapsed="false">
      <c r="B51" s="30" t="n">
        <f aca="false">DATE(C51,12,31)</f>
        <v>43100</v>
      </c>
      <c r="C51" s="0" t="n">
        <v>2017</v>
      </c>
      <c r="D51" s="1" t="s">
        <v>19</v>
      </c>
      <c r="E51" s="1" t="n">
        <v>8082000</v>
      </c>
      <c r="F51" s="33" t="str">
        <f aca="false">IFERROR(INDEX(PTAX!$C$5:$C$5000,MATCH($B51,PTAX!$B$5:$B$5000,1)),"")</f>
        <v/>
      </c>
      <c r="G51" s="9" t="str">
        <f aca="false">IF(F51="","",E51/F51)</f>
        <v/>
      </c>
    </row>
    <row r="52" customFormat="false" ht="15" hidden="false" customHeight="false" outlineLevel="0" collapsed="false">
      <c r="B52" s="30" t="n">
        <f aca="false">DATE(C52,12,31)</f>
        <v>41274</v>
      </c>
      <c r="C52" s="0" t="n">
        <v>2012</v>
      </c>
      <c r="D52" s="1" t="s">
        <v>21</v>
      </c>
      <c r="E52" s="1" t="n">
        <v>9821000</v>
      </c>
      <c r="F52" s="33" t="str">
        <f aca="false">IFERROR(INDEX(PTAX!$C$5:$C$5000,MATCH($B52,PTAX!$B$5:$B$5000,1)),"")</f>
        <v/>
      </c>
      <c r="G52" s="9" t="str">
        <f aca="false">IF(F52="","",E52/F52)</f>
        <v/>
      </c>
    </row>
    <row r="53" customFormat="false" ht="15" hidden="false" customHeight="false" outlineLevel="0" collapsed="false">
      <c r="B53" s="30" t="n">
        <f aca="false">DATE(C53,12,31)</f>
        <v>41639</v>
      </c>
      <c r="C53" s="0" t="n">
        <v>2013</v>
      </c>
      <c r="D53" s="1" t="s">
        <v>21</v>
      </c>
      <c r="E53" s="1" t="n">
        <v>7371000</v>
      </c>
      <c r="F53" s="33" t="str">
        <f aca="false">IFERROR(INDEX(PTAX!$C$5:$C$5000,MATCH($B53,PTAX!$B$5:$B$5000,1)),"")</f>
        <v/>
      </c>
      <c r="G53" s="9" t="str">
        <f aca="false">IF(F53="","",E53/F53)</f>
        <v/>
      </c>
    </row>
    <row r="54" customFormat="false" ht="15" hidden="false" customHeight="false" outlineLevel="0" collapsed="false">
      <c r="B54" s="30" t="n">
        <f aca="false">DATE(C54,12,31)</f>
        <v>42004</v>
      </c>
      <c r="C54" s="0" t="n">
        <v>2014</v>
      </c>
      <c r="D54" s="1" t="s">
        <v>21</v>
      </c>
      <c r="E54" s="1" t="n">
        <v>8241000</v>
      </c>
      <c r="F54" s="33" t="str">
        <f aca="false">IFERROR(INDEX(PTAX!$C$5:$C$5000,MATCH($B54,PTAX!$B$5:$B$5000,1)),"")</f>
        <v/>
      </c>
      <c r="G54" s="9" t="str">
        <f aca="false">IF(F54="","",E54/F54)</f>
        <v/>
      </c>
    </row>
    <row r="55" customFormat="false" ht="15" hidden="false" customHeight="false" outlineLevel="0" collapsed="false">
      <c r="B55" s="30" t="n">
        <f aca="false">DATE(C55,12,31)</f>
        <v>42369</v>
      </c>
      <c r="C55" s="0" t="n">
        <v>2015</v>
      </c>
      <c r="D55" s="1" t="s">
        <v>21</v>
      </c>
      <c r="E55" s="1" t="n">
        <v>8398000</v>
      </c>
      <c r="F55" s="33" t="str">
        <f aca="false">IFERROR(INDEX(PTAX!$C$5:$C$5000,MATCH($B55,PTAX!$B$5:$B$5000,1)),"")</f>
        <v/>
      </c>
      <c r="G55" s="9" t="str">
        <f aca="false">IF(F55="","",E55/F55)</f>
        <v/>
      </c>
    </row>
    <row r="56" customFormat="false" ht="15" hidden="false" customHeight="false" outlineLevel="0" collapsed="false">
      <c r="B56" s="30" t="n">
        <f aca="false">DATE(C56,12,31)</f>
        <v>42735</v>
      </c>
      <c r="C56" s="0" t="n">
        <v>2016</v>
      </c>
      <c r="D56" s="1" t="s">
        <v>21</v>
      </c>
      <c r="E56" s="1" t="n">
        <v>8831000</v>
      </c>
      <c r="F56" s="33" t="str">
        <f aca="false">IFERROR(INDEX(PTAX!$C$5:$C$5000,MATCH($B56,PTAX!$B$5:$B$5000,1)),"")</f>
        <v/>
      </c>
      <c r="G56" s="9" t="str">
        <f aca="false">IF(F56="","",E56/F56)</f>
        <v/>
      </c>
    </row>
    <row r="57" customFormat="false" ht="15" hidden="false" customHeight="false" outlineLevel="0" collapsed="false">
      <c r="B57" s="30" t="n">
        <f aca="false">DATE(C57,12,31)</f>
        <v>43100</v>
      </c>
      <c r="C57" s="0" t="n">
        <v>2017</v>
      </c>
      <c r="D57" s="1" t="s">
        <v>21</v>
      </c>
      <c r="E57" s="1" t="n">
        <v>9594000</v>
      </c>
      <c r="F57" s="33" t="str">
        <f aca="false">IFERROR(INDEX(PTAX!$C$5:$C$5000,MATCH($B57,PTAX!$B$5:$B$5000,1)),"")</f>
        <v/>
      </c>
      <c r="G57" s="9" t="str">
        <f aca="false">IF(F57="","",E57/F57)</f>
        <v/>
      </c>
    </row>
    <row r="58" customFormat="false" ht="15" hidden="false" customHeight="false" outlineLevel="0" collapsed="false">
      <c r="B58" s="30" t="n">
        <f aca="false">DATE(C58,12,31)</f>
        <v>41274</v>
      </c>
      <c r="C58" s="0" t="n">
        <v>2012</v>
      </c>
      <c r="D58" s="1" t="s">
        <v>22</v>
      </c>
      <c r="E58" s="1" t="n">
        <v>7989000</v>
      </c>
      <c r="F58" s="33" t="str">
        <f aca="false">IFERROR(INDEX(PTAX!$C$5:$C$5000,MATCH($B58,PTAX!$B$5:$B$5000,1)),"")</f>
        <v/>
      </c>
      <c r="G58" s="9" t="str">
        <f aca="false">IF(F58="","",E58/F58)</f>
        <v/>
      </c>
    </row>
    <row r="59" customFormat="false" ht="15" hidden="false" customHeight="false" outlineLevel="0" collapsed="false">
      <c r="B59" s="30" t="n">
        <f aca="false">DATE(C59,12,31)</f>
        <v>41639</v>
      </c>
      <c r="C59" s="0" t="n">
        <v>2013</v>
      </c>
      <c r="D59" s="1" t="s">
        <v>22</v>
      </c>
      <c r="E59" s="1" t="n">
        <v>5372000</v>
      </c>
      <c r="F59" s="33" t="str">
        <f aca="false">IFERROR(INDEX(PTAX!$C$5:$C$5000,MATCH($B59,PTAX!$B$5:$B$5000,1)),"")</f>
        <v/>
      </c>
      <c r="G59" s="9" t="str">
        <f aca="false">IF(F59="","",E59/F59)</f>
        <v/>
      </c>
    </row>
    <row r="60" customFormat="false" ht="15" hidden="false" customHeight="false" outlineLevel="0" collapsed="false">
      <c r="B60" s="30" t="n">
        <f aca="false">DATE(C60,12,31)</f>
        <v>42004</v>
      </c>
      <c r="C60" s="0" t="n">
        <v>2014</v>
      </c>
      <c r="D60" s="1" t="s">
        <v>22</v>
      </c>
      <c r="E60" s="1" t="n">
        <v>5792000</v>
      </c>
      <c r="F60" s="33" t="str">
        <f aca="false">IFERROR(INDEX(PTAX!$C$5:$C$5000,MATCH($B60,PTAX!$B$5:$B$5000,1)),"")</f>
        <v/>
      </c>
      <c r="G60" s="9" t="str">
        <f aca="false">IF(F60="","",E60/F60)</f>
        <v/>
      </c>
    </row>
    <row r="61" customFormat="false" ht="15" hidden="false" customHeight="false" outlineLevel="0" collapsed="false">
      <c r="B61" s="30" t="n">
        <f aca="false">DATE(C61,12,31)</f>
        <v>42369</v>
      </c>
      <c r="C61" s="0" t="n">
        <v>2015</v>
      </c>
      <c r="D61" s="1" t="s">
        <v>22</v>
      </c>
      <c r="E61" s="1" t="n">
        <v>6119000</v>
      </c>
      <c r="F61" s="33" t="str">
        <f aca="false">IFERROR(INDEX(PTAX!$C$5:$C$5000,MATCH($B61,PTAX!$B$5:$B$5000,1)),"")</f>
        <v/>
      </c>
      <c r="G61" s="9" t="str">
        <f aca="false">IF(F61="","",E61/F61)</f>
        <v/>
      </c>
    </row>
    <row r="62" customFormat="false" ht="15" hidden="false" customHeight="false" outlineLevel="0" collapsed="false">
      <c r="B62" s="30" t="n">
        <f aca="false">DATE(C62,12,31)</f>
        <v>42735</v>
      </c>
      <c r="C62" s="0" t="n">
        <v>2016</v>
      </c>
      <c r="D62" s="1" t="s">
        <v>22</v>
      </c>
      <c r="E62" s="1" t="n">
        <v>6324000</v>
      </c>
      <c r="F62" s="33" t="str">
        <f aca="false">IFERROR(INDEX(PTAX!$C$5:$C$5000,MATCH($B62,PTAX!$B$5:$B$5000,1)),"")</f>
        <v/>
      </c>
      <c r="G62" s="9" t="str">
        <f aca="false">IF(F62="","",E62/F62)</f>
        <v/>
      </c>
    </row>
    <row r="63" customFormat="false" ht="15" hidden="false" customHeight="false" outlineLevel="0" collapsed="false">
      <c r="B63" s="30" t="n">
        <f aca="false">DATE(C63,12,31)</f>
        <v>43100</v>
      </c>
      <c r="C63" s="0" t="n">
        <v>2017</v>
      </c>
      <c r="D63" s="1" t="s">
        <v>22</v>
      </c>
      <c r="E63" s="1" t="n">
        <v>6864000</v>
      </c>
      <c r="F63" s="33" t="str">
        <f aca="false">IFERROR(INDEX(PTAX!$C$5:$C$5000,MATCH($B63,PTAX!$B$5:$B$5000,1)),"")</f>
        <v/>
      </c>
      <c r="G63" s="9" t="str">
        <f aca="false">IF(F63="","",E63/F63)</f>
        <v/>
      </c>
    </row>
    <row r="64" customFormat="false" ht="15" hidden="false" customHeight="false" outlineLevel="0" collapsed="false">
      <c r="B64" s="30" t="n">
        <f aca="false">DATE(C64,12,31)</f>
        <v>41274</v>
      </c>
      <c r="C64" s="0" t="n">
        <v>2012</v>
      </c>
      <c r="D64" s="1" t="s">
        <v>23</v>
      </c>
      <c r="E64" s="1" t="n">
        <v>3466000</v>
      </c>
      <c r="F64" s="33" t="str">
        <f aca="false">IFERROR(INDEX(PTAX!$C$5:$C$5000,MATCH($B64,PTAX!$B$5:$B$5000,1)),"")</f>
        <v/>
      </c>
      <c r="G64" s="9" t="str">
        <f aca="false">IF(F64="","",E64/F64)</f>
        <v/>
      </c>
    </row>
    <row r="65" customFormat="false" ht="15" hidden="false" customHeight="false" outlineLevel="0" collapsed="false">
      <c r="B65" s="30" t="n">
        <f aca="false">DATE(C65,12,31)</f>
        <v>41639</v>
      </c>
      <c r="C65" s="0" t="n">
        <v>2013</v>
      </c>
      <c r="D65" s="1" t="s">
        <v>23</v>
      </c>
      <c r="E65" s="1" t="n">
        <v>2818000</v>
      </c>
      <c r="F65" s="33" t="str">
        <f aca="false">IFERROR(INDEX(PTAX!$C$5:$C$5000,MATCH($B65,PTAX!$B$5:$B$5000,1)),"")</f>
        <v/>
      </c>
      <c r="G65" s="9" t="str">
        <f aca="false">IF(F65="","",E65/F65)</f>
        <v/>
      </c>
    </row>
    <row r="66" customFormat="false" ht="15" hidden="false" customHeight="false" outlineLevel="0" collapsed="false">
      <c r="B66" s="30" t="n">
        <f aca="false">DATE(C66,12,31)</f>
        <v>42004</v>
      </c>
      <c r="C66" s="0" t="n">
        <v>2014</v>
      </c>
      <c r="D66" s="1" t="s">
        <v>23</v>
      </c>
      <c r="E66" s="1" t="n">
        <v>3235000</v>
      </c>
      <c r="F66" s="33" t="str">
        <f aca="false">IFERROR(INDEX(PTAX!$C$5:$C$5000,MATCH($B66,PTAX!$B$5:$B$5000,1)),"")</f>
        <v/>
      </c>
      <c r="G66" s="9" t="str">
        <f aca="false">IF(F66="","",E66/F66)</f>
        <v/>
      </c>
    </row>
    <row r="67" customFormat="false" ht="15" hidden="false" customHeight="false" outlineLevel="0" collapsed="false">
      <c r="B67" s="30" t="n">
        <f aca="false">DATE(C67,12,31)</f>
        <v>42369</v>
      </c>
      <c r="C67" s="0" t="n">
        <v>2015</v>
      </c>
      <c r="D67" s="1" t="s">
        <v>23</v>
      </c>
      <c r="E67" s="1" t="n">
        <v>3602000</v>
      </c>
      <c r="F67" s="33" t="str">
        <f aca="false">IFERROR(INDEX(PTAX!$C$5:$C$5000,MATCH($B67,PTAX!$B$5:$B$5000,1)),"")</f>
        <v/>
      </c>
      <c r="G67" s="9" t="str">
        <f aca="false">IF(F67="","",E67/F67)</f>
        <v/>
      </c>
    </row>
    <row r="68" customFormat="false" ht="15" hidden="false" customHeight="false" outlineLevel="0" collapsed="false">
      <c r="B68" s="30" t="n">
        <f aca="false">DATE(C68,12,31)</f>
        <v>42735</v>
      </c>
      <c r="C68" s="0" t="n">
        <v>2016</v>
      </c>
      <c r="D68" s="1" t="s">
        <v>23</v>
      </c>
      <c r="E68" s="1" t="n">
        <v>4044000</v>
      </c>
      <c r="F68" s="33" t="str">
        <f aca="false">IFERROR(INDEX(PTAX!$C$5:$C$5000,MATCH($B68,PTAX!$B$5:$B$5000,1)),"")</f>
        <v/>
      </c>
      <c r="G68" s="9" t="str">
        <f aca="false">IF(F68="","",E68/F68)</f>
        <v/>
      </c>
    </row>
    <row r="69" customFormat="false" ht="15" hidden="false" customHeight="false" outlineLevel="0" collapsed="false">
      <c r="B69" s="30" t="n">
        <f aca="false">DATE(C69,12,31)</f>
        <v>43100</v>
      </c>
      <c r="C69" s="0" t="n">
        <v>2017</v>
      </c>
      <c r="D69" s="1" t="s">
        <v>23</v>
      </c>
      <c r="E69" s="1" t="n">
        <v>4044000</v>
      </c>
      <c r="F69" s="33" t="str">
        <f aca="false">IFERROR(INDEX(PTAX!$C$5:$C$5000,MATCH($B69,PTAX!$B$5:$B$5000,1)),"")</f>
        <v/>
      </c>
      <c r="G69" s="9" t="str">
        <f aca="false">IF(F69="","",E69/F69)</f>
        <v/>
      </c>
    </row>
    <row r="70" customFormat="false" ht="15" hidden="false" customHeight="false" outlineLevel="0" collapsed="false">
      <c r="B70" s="30" t="n">
        <f aca="false">DATE(C70,12,31)</f>
        <v>41274</v>
      </c>
      <c r="C70" s="0" t="n">
        <v>2012</v>
      </c>
      <c r="D70" s="1" t="s">
        <v>24</v>
      </c>
      <c r="E70" s="1" t="n">
        <v>7902000</v>
      </c>
      <c r="F70" s="33" t="str">
        <f aca="false">IFERROR(INDEX(PTAX!$C$5:$C$5000,MATCH($B70,PTAX!$B$5:$B$5000,1)),"")</f>
        <v/>
      </c>
      <c r="G70" s="9" t="str">
        <f aca="false">IF(F70="","",E70/F70)</f>
        <v/>
      </c>
    </row>
    <row r="71" customFormat="false" ht="15" hidden="false" customHeight="false" outlineLevel="0" collapsed="false">
      <c r="B71" s="30" t="n">
        <f aca="false">DATE(C71,12,31)</f>
        <v>41639</v>
      </c>
      <c r="C71" s="0" t="n">
        <v>2013</v>
      </c>
      <c r="D71" s="1" t="s">
        <v>24</v>
      </c>
      <c r="E71" s="1" t="n">
        <v>7315000</v>
      </c>
      <c r="F71" s="33" t="str">
        <f aca="false">IFERROR(INDEX(PTAX!$C$5:$C$5000,MATCH($B71,PTAX!$B$5:$B$5000,1)),"")</f>
        <v/>
      </c>
      <c r="G71" s="9" t="str">
        <f aca="false">IF(F71="","",E71/F71)</f>
        <v/>
      </c>
    </row>
    <row r="72" customFormat="false" ht="15" hidden="false" customHeight="false" outlineLevel="0" collapsed="false">
      <c r="B72" s="30" t="n">
        <f aca="false">DATE(C72,12,31)</f>
        <v>42004</v>
      </c>
      <c r="C72" s="0" t="n">
        <v>2014</v>
      </c>
      <c r="D72" s="1" t="s">
        <v>24</v>
      </c>
      <c r="E72" s="1" t="n">
        <v>7608000</v>
      </c>
      <c r="F72" s="33" t="str">
        <f aca="false">IFERROR(INDEX(PTAX!$C$5:$C$5000,MATCH($B72,PTAX!$B$5:$B$5000,1)),"")</f>
        <v/>
      </c>
      <c r="G72" s="9" t="str">
        <f aca="false">IF(F72="","",E72/F72)</f>
        <v/>
      </c>
    </row>
    <row r="73" customFormat="false" ht="15" hidden="false" customHeight="false" outlineLevel="0" collapsed="false">
      <c r="B73" s="30" t="n">
        <f aca="false">DATE(C73,12,31)</f>
        <v>42369</v>
      </c>
      <c r="C73" s="0" t="n">
        <v>2015</v>
      </c>
      <c r="D73" s="1" t="s">
        <v>24</v>
      </c>
      <c r="E73" s="1" t="n">
        <v>10130000</v>
      </c>
      <c r="F73" s="33" t="str">
        <f aca="false">IFERROR(INDEX(PTAX!$C$5:$C$5000,MATCH($B73,PTAX!$B$5:$B$5000,1)),"")</f>
        <v/>
      </c>
      <c r="G73" s="9" t="str">
        <f aca="false">IF(F73="","",E73/F73)</f>
        <v/>
      </c>
    </row>
    <row r="74" customFormat="false" ht="15" hidden="false" customHeight="false" outlineLevel="0" collapsed="false">
      <c r="B74" s="30" t="n">
        <f aca="false">DATE(C74,12,31)</f>
        <v>42735</v>
      </c>
      <c r="C74" s="0" t="n">
        <v>2016</v>
      </c>
      <c r="D74" s="1" t="s">
        <v>24</v>
      </c>
      <c r="E74" s="1" t="n">
        <v>9015000</v>
      </c>
      <c r="F74" s="33" t="str">
        <f aca="false">IFERROR(INDEX(PTAX!$C$5:$C$5000,MATCH($B74,PTAX!$B$5:$B$5000,1)),"")</f>
        <v/>
      </c>
      <c r="G74" s="9" t="str">
        <f aca="false">IF(F74="","",E74/F74)</f>
        <v/>
      </c>
    </row>
    <row r="75" customFormat="false" ht="15" hidden="false" customHeight="false" outlineLevel="0" collapsed="false">
      <c r="B75" s="30" t="n">
        <f aca="false">DATE(C75,12,31)</f>
        <v>43100</v>
      </c>
      <c r="C75" s="0" t="n">
        <v>2017</v>
      </c>
      <c r="D75" s="1" t="s">
        <v>24</v>
      </c>
      <c r="E75" s="1" t="n">
        <v>8421000</v>
      </c>
      <c r="F75" s="33" t="str">
        <f aca="false">IFERROR(INDEX(PTAX!$C$5:$C$5000,MATCH($B75,PTAX!$B$5:$B$5000,1)),"")</f>
        <v/>
      </c>
      <c r="G75" s="9" t="str">
        <f aca="false">IF(F75="","",E75/F75)</f>
        <v/>
      </c>
    </row>
    <row r="76" customFormat="false" ht="15" hidden="false" customHeight="false" outlineLevel="0" collapsed="false">
      <c r="B76" s="30" t="n">
        <f aca="false">DATE(C76,12,31)</f>
        <v>41274</v>
      </c>
      <c r="C76" s="0" t="n">
        <v>2012</v>
      </c>
      <c r="D76" s="1" t="s">
        <v>26</v>
      </c>
      <c r="E76" s="1" t="n">
        <v>9251000</v>
      </c>
      <c r="F76" s="33" t="str">
        <f aca="false">IFERROR(INDEX(PTAX!$C$5:$C$5000,MATCH($B76,PTAX!$B$5:$B$5000,1)),"")</f>
        <v/>
      </c>
      <c r="G76" s="9" t="str">
        <f aca="false">IF(F76="","",E76/F76)</f>
        <v/>
      </c>
    </row>
    <row r="77" customFormat="false" ht="15" hidden="false" customHeight="false" outlineLevel="0" collapsed="false">
      <c r="B77" s="30" t="n">
        <f aca="false">DATE(C77,12,31)</f>
        <v>41639</v>
      </c>
      <c r="C77" s="0" t="n">
        <v>2013</v>
      </c>
      <c r="D77" s="1" t="s">
        <v>26</v>
      </c>
      <c r="E77" s="1" t="n">
        <v>8677000</v>
      </c>
      <c r="F77" s="33" t="str">
        <f aca="false">IFERROR(INDEX(PTAX!$C$5:$C$5000,MATCH($B77,PTAX!$B$5:$B$5000,1)),"")</f>
        <v/>
      </c>
      <c r="G77" s="9" t="str">
        <f aca="false">IF(F77="","",E77/F77)</f>
        <v/>
      </c>
    </row>
    <row r="78" customFormat="false" ht="15" hidden="false" customHeight="false" outlineLevel="0" collapsed="false">
      <c r="B78" s="30" t="n">
        <f aca="false">DATE(C78,12,31)</f>
        <v>42004</v>
      </c>
      <c r="C78" s="0" t="n">
        <v>2014</v>
      </c>
      <c r="D78" s="1" t="s">
        <v>26</v>
      </c>
      <c r="E78" s="1" t="n">
        <v>15146000</v>
      </c>
      <c r="F78" s="33" t="str">
        <f aca="false">IFERROR(INDEX(PTAX!$C$5:$C$5000,MATCH($B78,PTAX!$B$5:$B$5000,1)),"")</f>
        <v/>
      </c>
      <c r="G78" s="9" t="str">
        <f aca="false">IF(F78="","",E78/F78)</f>
        <v/>
      </c>
    </row>
    <row r="79" customFormat="false" ht="15" hidden="false" customHeight="false" outlineLevel="0" collapsed="false">
      <c r="B79" s="30" t="n">
        <f aca="false">DATE(C79,12,31)</f>
        <v>42369</v>
      </c>
      <c r="C79" s="0" t="n">
        <v>2015</v>
      </c>
      <c r="D79" s="1" t="s">
        <v>26</v>
      </c>
      <c r="E79" s="1" t="n">
        <v>17733000</v>
      </c>
      <c r="F79" s="33" t="str">
        <f aca="false">IFERROR(INDEX(PTAX!$C$5:$C$5000,MATCH($B79,PTAX!$B$5:$B$5000,1)),"")</f>
        <v/>
      </c>
      <c r="G79" s="9" t="str">
        <f aca="false">IF(F79="","",E79/F79)</f>
        <v/>
      </c>
    </row>
    <row r="80" customFormat="false" ht="15" hidden="false" customHeight="false" outlineLevel="0" collapsed="false">
      <c r="B80" s="30" t="n">
        <f aca="false">DATE(C80,12,31)</f>
        <v>42735</v>
      </c>
      <c r="C80" s="0" t="n">
        <v>2016</v>
      </c>
      <c r="D80" s="1" t="s">
        <v>26</v>
      </c>
      <c r="E80" s="1" t="n">
        <v>17954000</v>
      </c>
      <c r="F80" s="33" t="str">
        <f aca="false">IFERROR(INDEX(PTAX!$C$5:$C$5000,MATCH($B80,PTAX!$B$5:$B$5000,1)),"")</f>
        <v/>
      </c>
      <c r="G80" s="9" t="str">
        <f aca="false">IF(F80="","",E80/F80)</f>
        <v/>
      </c>
    </row>
    <row r="81" customFormat="false" ht="15" hidden="false" customHeight="false" outlineLevel="0" collapsed="false">
      <c r="B81" s="30" t="n">
        <f aca="false">DATE(C81,12,31)</f>
        <v>43100</v>
      </c>
      <c r="C81" s="0" t="n">
        <v>2017</v>
      </c>
      <c r="D81" s="1" t="s">
        <v>26</v>
      </c>
      <c r="E81" s="1" t="n">
        <v>11862000</v>
      </c>
      <c r="F81" s="33" t="str">
        <f aca="false">IFERROR(INDEX(PTAX!$C$5:$C$5000,MATCH($B81,PTAX!$B$5:$B$5000,1)),"")</f>
        <v/>
      </c>
      <c r="G81" s="9" t="str">
        <f aca="false">IF(F81="","",E81/F81)</f>
        <v/>
      </c>
    </row>
    <row r="82" customFormat="false" ht="15" hidden="false" customHeight="false" outlineLevel="0" collapsed="false">
      <c r="B82" s="30" t="n">
        <f aca="false">DATE(C82,12,31)</f>
        <v>41274</v>
      </c>
      <c r="C82" s="0" t="n">
        <v>2012</v>
      </c>
      <c r="D82" s="1" t="s">
        <v>27</v>
      </c>
      <c r="E82" s="1" t="n">
        <v>1287000</v>
      </c>
      <c r="F82" s="33" t="str">
        <f aca="false">IFERROR(INDEX(PTAX!$C$5:$C$5000,MATCH($B82,PTAX!$B$5:$B$5000,1)),"")</f>
        <v/>
      </c>
      <c r="G82" s="9" t="str">
        <f aca="false">IF(F82="","",E82/F82)</f>
        <v/>
      </c>
    </row>
    <row r="83" customFormat="false" ht="15" hidden="false" customHeight="false" outlineLevel="0" collapsed="false">
      <c r="B83" s="30" t="n">
        <f aca="false">DATE(C83,12,31)</f>
        <v>41639</v>
      </c>
      <c r="C83" s="0" t="n">
        <v>2013</v>
      </c>
      <c r="D83" s="1" t="s">
        <v>27</v>
      </c>
      <c r="E83" s="1" t="n">
        <v>1207000</v>
      </c>
      <c r="F83" s="33" t="str">
        <f aca="false">IFERROR(INDEX(PTAX!$C$5:$C$5000,MATCH($B83,PTAX!$B$5:$B$5000,1)),"")</f>
        <v/>
      </c>
      <c r="G83" s="9" t="str">
        <f aca="false">IF(F83="","",E83/F83)</f>
        <v/>
      </c>
    </row>
    <row r="84" customFormat="false" ht="15" hidden="false" customHeight="false" outlineLevel="0" collapsed="false">
      <c r="B84" s="30" t="n">
        <f aca="false">DATE(C84,12,31)</f>
        <v>41274</v>
      </c>
      <c r="C84" s="0" t="n">
        <v>2012</v>
      </c>
      <c r="D84" s="1" t="s">
        <v>32</v>
      </c>
      <c r="E84" s="1" t="n">
        <v>2533000</v>
      </c>
      <c r="F84" s="33" t="str">
        <f aca="false">IFERROR(INDEX(PTAX!$C$5:$C$5000,MATCH($B84,PTAX!$B$5:$B$5000,1)),"")</f>
        <v/>
      </c>
      <c r="G84" s="9" t="str">
        <f aca="false">IF(F84="","",E84/F84)</f>
        <v/>
      </c>
    </row>
    <row r="85" customFormat="false" ht="15" hidden="false" customHeight="false" outlineLevel="0" collapsed="false">
      <c r="B85" s="30" t="n">
        <f aca="false">DATE(C85,12,31)</f>
        <v>41639</v>
      </c>
      <c r="C85" s="0" t="n">
        <v>2013</v>
      </c>
      <c r="D85" s="1" t="s">
        <v>32</v>
      </c>
      <c r="E85" s="1" t="n">
        <v>1965000</v>
      </c>
      <c r="F85" s="33" t="str">
        <f aca="false">IFERROR(INDEX(PTAX!$C$5:$C$5000,MATCH($B85,PTAX!$B$5:$B$5000,1)),"")</f>
        <v/>
      </c>
      <c r="G85" s="9" t="str">
        <f aca="false">IF(F85="","",E85/F85)</f>
        <v/>
      </c>
    </row>
    <row r="86" customFormat="false" ht="15" hidden="false" customHeight="false" outlineLevel="0" collapsed="false">
      <c r="B86" s="30" t="n">
        <f aca="false">DATE(C86,12,31)</f>
        <v>42004</v>
      </c>
      <c r="C86" s="0" t="n">
        <v>2014</v>
      </c>
      <c r="D86" s="1" t="s">
        <v>32</v>
      </c>
      <c r="E86" s="1" t="n">
        <v>2688000</v>
      </c>
      <c r="F86" s="33" t="str">
        <f aca="false">IFERROR(INDEX(PTAX!$C$5:$C$5000,MATCH($B86,PTAX!$B$5:$B$5000,1)),"")</f>
        <v/>
      </c>
      <c r="G86" s="9" t="str">
        <f aca="false">IF(F86="","",E86/F86)</f>
        <v/>
      </c>
    </row>
    <row r="87" customFormat="false" ht="15" hidden="false" customHeight="false" outlineLevel="0" collapsed="false">
      <c r="B87" s="30" t="n">
        <f aca="false">DATE(C87,12,31)</f>
        <v>41274</v>
      </c>
      <c r="C87" s="0" t="n">
        <v>2012</v>
      </c>
      <c r="D87" s="1" t="s">
        <v>28</v>
      </c>
      <c r="E87" s="1" t="n">
        <v>2962000</v>
      </c>
      <c r="F87" s="33" t="str">
        <f aca="false">IFERROR(INDEX(PTAX!$C$5:$C$5000,MATCH($B87,PTAX!$B$5:$B$5000,1)),"")</f>
        <v/>
      </c>
      <c r="G87" s="9" t="str">
        <f aca="false">IF(F87="","",E87/F87)</f>
        <v/>
      </c>
    </row>
    <row r="88" customFormat="false" ht="15" hidden="false" customHeight="false" outlineLevel="0" collapsed="false">
      <c r="B88" s="30" t="n">
        <f aca="false">DATE(C88,12,31)</f>
        <v>41639</v>
      </c>
      <c r="C88" s="0" t="n">
        <v>2013</v>
      </c>
      <c r="D88" s="1" t="s">
        <v>28</v>
      </c>
      <c r="E88" s="1" t="n">
        <v>2245000</v>
      </c>
      <c r="F88" s="33" t="str">
        <f aca="false">IFERROR(INDEX(PTAX!$C$5:$C$5000,MATCH($B88,PTAX!$B$5:$B$5000,1)),"")</f>
        <v/>
      </c>
      <c r="G88" s="9" t="str">
        <f aca="false">IF(F88="","",E88/F88)</f>
        <v/>
      </c>
    </row>
    <row r="89" customFormat="false" ht="15" hidden="false" customHeight="false" outlineLevel="0" collapsed="false">
      <c r="B89" s="30" t="n">
        <f aca="false">DATE(C89,12,31)</f>
        <v>42004</v>
      </c>
      <c r="C89" s="0" t="n">
        <v>2014</v>
      </c>
      <c r="D89" s="1" t="s">
        <v>28</v>
      </c>
      <c r="E89" s="1" t="n">
        <v>657000</v>
      </c>
      <c r="F89" s="33" t="str">
        <f aca="false">IFERROR(INDEX(PTAX!$C$5:$C$5000,MATCH($B89,PTAX!$B$5:$B$5000,1)),"")</f>
        <v/>
      </c>
      <c r="G89" s="9" t="str">
        <f aca="false">IF(F89="","",E89/F89)</f>
        <v/>
      </c>
    </row>
    <row r="90" customFormat="false" ht="15" hidden="false" customHeight="false" outlineLevel="0" collapsed="false">
      <c r="B90" s="30" t="n">
        <f aca="false">DATE(C90,12,31)</f>
        <v>42369</v>
      </c>
      <c r="C90" s="0" t="n">
        <v>2015</v>
      </c>
      <c r="D90" s="1" t="s">
        <v>28</v>
      </c>
      <c r="E90" s="1" t="n">
        <v>1217000</v>
      </c>
      <c r="F90" s="33" t="str">
        <f aca="false">IFERROR(INDEX(PTAX!$C$5:$C$5000,MATCH($B90,PTAX!$B$5:$B$5000,1)),"")</f>
        <v/>
      </c>
      <c r="G90" s="9" t="str">
        <f aca="false">IF(F90="","",E90/F90)</f>
        <v/>
      </c>
    </row>
    <row r="91" customFormat="false" ht="15" hidden="false" customHeight="false" outlineLevel="0" collapsed="false">
      <c r="B91" s="30" t="n">
        <f aca="false">DATE(C91,12,31)</f>
        <v>42735</v>
      </c>
      <c r="C91" s="0" t="n">
        <v>2016</v>
      </c>
      <c r="D91" s="1" t="s">
        <v>28</v>
      </c>
      <c r="E91" s="1" t="n">
        <v>1136000</v>
      </c>
      <c r="F91" s="33" t="str">
        <f aca="false">IFERROR(INDEX(PTAX!$C$5:$C$5000,MATCH($B91,PTAX!$B$5:$B$5000,1)),"")</f>
        <v/>
      </c>
      <c r="G91" s="9" t="str">
        <f aca="false">IF(F91="","",E91/F91)</f>
        <v/>
      </c>
    </row>
    <row r="92" customFormat="false" ht="15" hidden="false" customHeight="false" outlineLevel="0" collapsed="false">
      <c r="B92" s="30" t="n">
        <f aca="false">DATE(C92,12,31)</f>
        <v>43100</v>
      </c>
      <c r="C92" s="0" t="n">
        <v>2017</v>
      </c>
      <c r="D92" s="1" t="s">
        <v>28</v>
      </c>
      <c r="E92" s="1" t="n">
        <v>162000</v>
      </c>
      <c r="F92" s="33" t="str">
        <f aca="false">IFERROR(INDEX(PTAX!$C$5:$C$5000,MATCH($B92,PTAX!$B$5:$B$5000,1)),"")</f>
        <v/>
      </c>
      <c r="G92" s="9" t="str">
        <f aca="false">IF(F92="","",E92/F92)</f>
        <v/>
      </c>
    </row>
    <row r="93" customFormat="false" ht="15" hidden="false" customHeight="false" outlineLevel="0" collapsed="false">
      <c r="B93" s="30" t="n">
        <f aca="false">DATE(C93,12,31)</f>
        <v>41274</v>
      </c>
      <c r="C93" s="0" t="n">
        <v>2012</v>
      </c>
      <c r="D93" s="1" t="s">
        <v>29</v>
      </c>
      <c r="E93" s="1" t="n">
        <v>5276000</v>
      </c>
      <c r="F93" s="33" t="str">
        <f aca="false">IFERROR(INDEX(PTAX!$C$5:$C$5000,MATCH($B93,PTAX!$B$5:$B$5000,1)),"")</f>
        <v/>
      </c>
      <c r="G93" s="9" t="str">
        <f aca="false">IF(F93="","",E93/F93)</f>
        <v/>
      </c>
    </row>
    <row r="94" customFormat="false" ht="15" hidden="false" customHeight="false" outlineLevel="0" collapsed="false">
      <c r="B94" s="30" t="n">
        <f aca="false">DATE(C94,12,31)</f>
        <v>41639</v>
      </c>
      <c r="C94" s="0" t="n">
        <v>2013</v>
      </c>
      <c r="D94" s="1" t="s">
        <v>29</v>
      </c>
      <c r="E94" s="1" t="n">
        <v>4830000</v>
      </c>
      <c r="F94" s="33" t="str">
        <f aca="false">IFERROR(INDEX(PTAX!$C$5:$C$5000,MATCH($B94,PTAX!$B$5:$B$5000,1)),"")</f>
        <v/>
      </c>
      <c r="G94" s="9" t="str">
        <f aca="false">IF(F94="","",E94/F94)</f>
        <v/>
      </c>
    </row>
    <row r="95" customFormat="false" ht="15" hidden="false" customHeight="false" outlineLevel="0" collapsed="false">
      <c r="B95" s="30" t="n">
        <f aca="false">DATE(C95,12,31)</f>
        <v>42004</v>
      </c>
      <c r="C95" s="0" t="n">
        <v>2014</v>
      </c>
      <c r="D95" s="1" t="s">
        <v>29</v>
      </c>
      <c r="E95" s="1" t="n">
        <v>5172000</v>
      </c>
      <c r="F95" s="33" t="str">
        <f aca="false">IFERROR(INDEX(PTAX!$C$5:$C$5000,MATCH($B95,PTAX!$B$5:$B$5000,1)),"")</f>
        <v/>
      </c>
      <c r="G95" s="9" t="str">
        <f aca="false">IF(F95="","",E95/F95)</f>
        <v/>
      </c>
    </row>
    <row r="96" customFormat="false" ht="15" hidden="false" customHeight="false" outlineLevel="0" collapsed="false">
      <c r="B96" s="30" t="n">
        <f aca="false">DATE(C96,12,31)</f>
        <v>42369</v>
      </c>
      <c r="C96" s="0" t="n">
        <v>2015</v>
      </c>
      <c r="D96" s="1" t="s">
        <v>29</v>
      </c>
      <c r="E96" s="1" t="n">
        <v>5990000</v>
      </c>
      <c r="F96" s="33" t="str">
        <f aca="false">IFERROR(INDEX(PTAX!$C$5:$C$5000,MATCH($B96,PTAX!$B$5:$B$5000,1)),"")</f>
        <v/>
      </c>
      <c r="G96" s="9" t="str">
        <f aca="false">IF(F96="","",E96/F96)</f>
        <v/>
      </c>
    </row>
    <row r="97" customFormat="false" ht="15" hidden="false" customHeight="false" outlineLevel="0" collapsed="false">
      <c r="B97" s="30" t="n">
        <f aca="false">DATE(C97,12,31)</f>
        <v>42735</v>
      </c>
      <c r="C97" s="0" t="n">
        <v>2016</v>
      </c>
      <c r="D97" s="1" t="s">
        <v>29</v>
      </c>
      <c r="E97" s="1" t="n">
        <v>6274000</v>
      </c>
      <c r="F97" s="33" t="str">
        <f aca="false">IFERROR(INDEX(PTAX!$C$5:$C$5000,MATCH($B97,PTAX!$B$5:$B$5000,1)),"")</f>
        <v/>
      </c>
      <c r="G97" s="9" t="str">
        <f aca="false">IF(F97="","",E97/F97)</f>
        <v/>
      </c>
    </row>
    <row r="98" customFormat="false" ht="15" hidden="false" customHeight="false" outlineLevel="0" collapsed="false">
      <c r="B98" s="30" t="n">
        <f aca="false">DATE(C98,12,31)</f>
        <v>43100</v>
      </c>
      <c r="C98" s="0" t="n">
        <v>2017</v>
      </c>
      <c r="D98" s="1" t="s">
        <v>29</v>
      </c>
      <c r="E98" s="1" t="n">
        <v>5326000</v>
      </c>
      <c r="F98" s="33" t="str">
        <f aca="false">IFERROR(INDEX(PTAX!$C$5:$C$5000,MATCH($B98,PTAX!$B$5:$B$5000,1)),"")</f>
        <v/>
      </c>
      <c r="G98" s="9" t="str">
        <f aca="false">IF(F98="","",E98/F98)</f>
        <v/>
      </c>
    </row>
    <row r="99" customFormat="false" ht="15" hidden="false" customHeight="false" outlineLevel="0" collapsed="false">
      <c r="B99" s="30" t="n">
        <f aca="false">DATE(C99,12,31)</f>
        <v>42004</v>
      </c>
      <c r="C99" s="0" t="n">
        <v>2014</v>
      </c>
      <c r="D99" s="1" t="s">
        <v>25</v>
      </c>
      <c r="E99" s="1" t="n">
        <v>151000</v>
      </c>
      <c r="F99" s="33" t="str">
        <f aca="false">IFERROR(INDEX(PTAX!$C$5:$C$5000,MATCH($B99,PTAX!$B$5:$B$5000,1)),"")</f>
        <v/>
      </c>
      <c r="G99" s="9" t="str">
        <f aca="false">IF(F99="","",E99/F99)</f>
        <v/>
      </c>
    </row>
    <row r="100" customFormat="false" ht="15" hidden="false" customHeight="false" outlineLevel="0" collapsed="false">
      <c r="B100" s="30" t="n">
        <f aca="false">DATE(C100,12,31)</f>
        <v>42369</v>
      </c>
      <c r="C100" s="0" t="n">
        <v>2015</v>
      </c>
      <c r="D100" s="1" t="s">
        <v>25</v>
      </c>
      <c r="E100" s="1" t="n">
        <v>159000</v>
      </c>
      <c r="F100" s="33" t="str">
        <f aca="false">IFERROR(INDEX(PTAX!$C$5:$C$5000,MATCH($B100,PTAX!$B$5:$B$5000,1)),"")</f>
        <v/>
      </c>
      <c r="G100" s="9" t="str">
        <f aca="false">IF(F100="","",E100/F100)</f>
        <v/>
      </c>
    </row>
    <row r="101" customFormat="false" ht="15" hidden="false" customHeight="false" outlineLevel="0" collapsed="false">
      <c r="B101" s="30" t="n">
        <f aca="false">DATE(C101,12,31)</f>
        <v>42735</v>
      </c>
      <c r="C101" s="0" t="n">
        <v>2016</v>
      </c>
      <c r="D101" s="1" t="s">
        <v>25</v>
      </c>
      <c r="E101" s="1" t="n">
        <v>14124000</v>
      </c>
      <c r="F101" s="33" t="str">
        <f aca="false">IFERROR(INDEX(PTAX!$C$5:$C$5000,MATCH($B101,PTAX!$B$5:$B$5000,1)),"")</f>
        <v/>
      </c>
      <c r="G101" s="9" t="str">
        <f aca="false">IF(F101="","",E101/F101)</f>
        <v/>
      </c>
    </row>
    <row r="102" customFormat="false" ht="15" hidden="false" customHeight="false" outlineLevel="0" collapsed="false">
      <c r="B102" s="30" t="n">
        <f aca="false">DATE(C102,12,31)</f>
        <v>43100</v>
      </c>
      <c r="C102" s="0" t="n">
        <v>2017</v>
      </c>
      <c r="D102" s="1" t="s">
        <v>25</v>
      </c>
      <c r="E102" s="1" t="n">
        <v>12614000</v>
      </c>
      <c r="F102" s="33" t="str">
        <f aca="false">IFERROR(INDEX(PTAX!$C$5:$C$5000,MATCH($B102,PTAX!$B$5:$B$5000,1)),"")</f>
        <v/>
      </c>
      <c r="G102" s="9" t="str">
        <f aca="false">IF(F102="","",E102/F102)</f>
        <v/>
      </c>
    </row>
    <row r="103" customFormat="false" ht="15" hidden="false" customHeight="false" outlineLevel="0" collapsed="false">
      <c r="B103" s="30" t="n">
        <f aca="false">DATE(C103,12,31)</f>
        <v>41639</v>
      </c>
      <c r="C103" s="0" t="n">
        <v>2013</v>
      </c>
      <c r="D103" s="1" t="s">
        <v>31</v>
      </c>
      <c r="E103" s="1" t="n">
        <v>2100000</v>
      </c>
      <c r="F103" s="33" t="str">
        <f aca="false">IFERROR(INDEX(PTAX!$C$5:$C$5000,MATCH($B103,PTAX!$B$5:$B$5000,1)),"")</f>
        <v/>
      </c>
      <c r="G103" s="9" t="str">
        <f aca="false">IF(F103="","",E103/F103)</f>
        <v/>
      </c>
    </row>
    <row r="104" customFormat="false" ht="15" hidden="false" customHeight="false" outlineLevel="0" collapsed="false">
      <c r="B104" s="30" t="n">
        <f aca="false">DATE(C104,12,31)</f>
        <v>42004</v>
      </c>
      <c r="C104" s="0" t="n">
        <v>2014</v>
      </c>
      <c r="D104" s="1" t="s">
        <v>31</v>
      </c>
      <c r="E104" s="1" t="n">
        <v>0</v>
      </c>
      <c r="F104" s="33" t="str">
        <f aca="false">IFERROR(INDEX(PTAX!$C$5:$C$5000,MATCH($B104,PTAX!$B$5:$B$5000,1)),"")</f>
        <v/>
      </c>
      <c r="G104" s="9" t="str">
        <f aca="false">IF(F104="","",E104/F104)</f>
        <v/>
      </c>
    </row>
    <row r="105" customFormat="false" ht="15" hidden="false" customHeight="false" outlineLevel="0" collapsed="false">
      <c r="B105" s="30" t="n">
        <f aca="false">DATE(C105,12,31)</f>
        <v>42369</v>
      </c>
      <c r="C105" s="0" t="n">
        <v>2015</v>
      </c>
      <c r="D105" s="1" t="s">
        <v>31</v>
      </c>
      <c r="E105" s="1" t="n">
        <v>586000</v>
      </c>
      <c r="F105" s="33" t="str">
        <f aca="false">IFERROR(INDEX(PTAX!$C$5:$C$5000,MATCH($B105,PTAX!$B$5:$B$5000,1)),"")</f>
        <v/>
      </c>
      <c r="G105" s="9" t="str">
        <f aca="false">IF(F105="","",E105/F105)</f>
        <v/>
      </c>
    </row>
    <row r="106" customFormat="false" ht="15" hidden="false" customHeight="false" outlineLevel="0" collapsed="false">
      <c r="B106" s="30" t="n">
        <f aca="false">DATE(C106,12,31)</f>
        <v>42735</v>
      </c>
      <c r="C106" s="0" t="n">
        <v>2016</v>
      </c>
      <c r="D106" s="1" t="s">
        <v>31</v>
      </c>
      <c r="E106" s="1" t="n">
        <v>1064000</v>
      </c>
      <c r="F106" s="33" t="str">
        <f aca="false">IFERROR(INDEX(PTAX!$C$5:$C$5000,MATCH($B106,PTAX!$B$5:$B$5000,1)),"")</f>
        <v/>
      </c>
      <c r="G106" s="9" t="str">
        <f aca="false">IF(F106="","",E106/F106)</f>
        <v/>
      </c>
    </row>
    <row r="107" customFormat="false" ht="15" hidden="false" customHeight="false" outlineLevel="0" collapsed="false">
      <c r="B107" s="30" t="n">
        <f aca="false">DATE(C107,12,31)</f>
        <v>43100</v>
      </c>
      <c r="C107" s="0" t="n">
        <v>2017</v>
      </c>
      <c r="D107" s="1" t="s">
        <v>31</v>
      </c>
      <c r="E107" s="1" t="n">
        <v>1420000</v>
      </c>
      <c r="F107" s="33" t="str">
        <f aca="false">IFERROR(INDEX(PTAX!$C$5:$C$5000,MATCH($B107,PTAX!$B$5:$B$5000,1)),"")</f>
        <v/>
      </c>
      <c r="G107" s="9" t="str">
        <f aca="false">IF(F107="","",E107/F107)</f>
        <v/>
      </c>
    </row>
    <row r="108" customFormat="false" ht="15" hidden="false" customHeight="false" outlineLevel="0" collapsed="false">
      <c r="B108" s="30" t="n">
        <f aca="false">DATE(C108,12,31)</f>
        <v>42369</v>
      </c>
      <c r="C108" s="0" t="n">
        <v>2015</v>
      </c>
      <c r="D108" s="1" t="s">
        <v>30</v>
      </c>
      <c r="E108" s="1" t="n">
        <v>0</v>
      </c>
      <c r="F108" s="33" t="str">
        <f aca="false">IFERROR(INDEX(PTAX!$C$5:$C$5000,MATCH($B108,PTAX!$B$5:$B$5000,1)),"")</f>
        <v/>
      </c>
      <c r="G108" s="9" t="str">
        <f aca="false">IF(F108="","",E108/F108)</f>
        <v/>
      </c>
    </row>
    <row r="109" customFormat="false" ht="15" hidden="false" customHeight="false" outlineLevel="0" collapsed="false">
      <c r="B109" s="30" t="n">
        <f aca="false">DATE(C109,12,31)</f>
        <v>42735</v>
      </c>
      <c r="C109" s="0" t="n">
        <v>2016</v>
      </c>
      <c r="D109" s="1" t="s">
        <v>30</v>
      </c>
      <c r="E109" s="1" t="n">
        <v>14708000</v>
      </c>
      <c r="F109" s="33" t="str">
        <f aca="false">IFERROR(INDEX(PTAX!$C$5:$C$5000,MATCH($B109,PTAX!$B$5:$B$5000,1)),"")</f>
        <v/>
      </c>
      <c r="G109" s="9" t="str">
        <f aca="false">IF(F109="","",E109/F109)</f>
        <v/>
      </c>
    </row>
    <row r="110" customFormat="false" ht="15" hidden="false" customHeight="false" outlineLevel="0" collapsed="false">
      <c r="B110" s="30" t="n">
        <f aca="false">DATE(C110,12,31)</f>
        <v>43100</v>
      </c>
      <c r="C110" s="0" t="n">
        <v>2017</v>
      </c>
      <c r="D110" s="1" t="s">
        <v>30</v>
      </c>
      <c r="E110" s="1" t="n">
        <v>12637000</v>
      </c>
      <c r="F110" s="33" t="str">
        <f aca="false">IFERROR(INDEX(PTAX!$C$5:$C$5000,MATCH($B110,PTAX!$B$5:$B$5000,1)),"")</f>
        <v/>
      </c>
      <c r="G110" s="9" t="str">
        <f aca="false">IF(F110="","",E110/F110)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53125" defaultRowHeight="15" zeroHeight="false" outlineLevelRow="0" outlineLevelCol="0"/>
  <cols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6" min="4" style="1" width="14"/>
  </cols>
  <sheetData>
    <row r="2" customFormat="false" ht="15" hidden="false" customHeight="false" outlineLevel="0" collapsed="false">
      <c r="B2" s="4" t="s">
        <v>67</v>
      </c>
      <c r="C2" s="4" t="s">
        <v>12</v>
      </c>
      <c r="D2" s="4" t="s">
        <v>81</v>
      </c>
      <c r="E2" s="4" t="s">
        <v>73</v>
      </c>
      <c r="F2" s="4" t="s">
        <v>82</v>
      </c>
      <c r="H2" s="3" t="s">
        <v>83</v>
      </c>
    </row>
    <row r="3" customFormat="false" ht="15" hidden="false" customHeight="false" outlineLevel="0" collapsed="false">
      <c r="B3" s="35" t="n">
        <v>40445</v>
      </c>
      <c r="C3" s="1" t="s">
        <v>33</v>
      </c>
      <c r="D3" s="31" t="n">
        <v>27160000</v>
      </c>
      <c r="E3" s="33" t="str">
        <f aca="false">IFERROR(INDEX(PTAX!$C$5:$C$5000,MATCH($B3,PTAX!$B$5:$B$5000,1)),"")</f>
        <v/>
      </c>
      <c r="F3" s="9" t="str">
        <f aca="false">IF(OR($B3="",E3=""),"",D3/E3)</f>
        <v/>
      </c>
    </row>
    <row r="4" customFormat="false" ht="15" hidden="false" customHeight="false" outlineLevel="0" collapsed="false">
      <c r="B4" s="35"/>
      <c r="D4" s="31"/>
      <c r="E4" s="33" t="str">
        <f aca="false">IFERROR(INDEX(PTAX!$C$5:$C$5000,MATCH($B4,PTAX!$B$5:$B$5000,1)),"")</f>
        <v/>
      </c>
      <c r="F4" s="9" t="str">
        <f aca="false">IF(OR($B4="",E4=""),"",D4/E4)</f>
        <v/>
      </c>
    </row>
    <row r="5" customFormat="false" ht="15" hidden="false" customHeight="false" outlineLevel="0" collapsed="false">
      <c r="B5" s="35"/>
      <c r="D5" s="31"/>
      <c r="E5" s="33" t="str">
        <f aca="false">IFERROR(INDEX(PTAX!$C$5:$C$5000,MATCH($B5,PTAX!$B$5:$B$5000,1)),"")</f>
        <v/>
      </c>
      <c r="F5" s="9" t="str">
        <f aca="false">IF(OR($B5="",E5=""),"",D5/E5)</f>
        <v/>
      </c>
    </row>
    <row r="6" customFormat="false" ht="15" hidden="false" customHeight="false" outlineLevel="0" collapsed="false">
      <c r="B6" s="35"/>
      <c r="D6" s="31"/>
      <c r="E6" s="33" t="str">
        <f aca="false">IFERROR(INDEX(PTAX!$C$5:$C$5000,MATCH($B6,PTAX!$B$5:$B$5000,1)),"")</f>
        <v/>
      </c>
      <c r="F6" s="9" t="str">
        <f aca="false">IF(OR($B6="",E6=""),"",D6/E6)</f>
        <v/>
      </c>
    </row>
    <row r="7" customFormat="false" ht="15" hidden="false" customHeight="false" outlineLevel="0" collapsed="false">
      <c r="B7" s="35"/>
      <c r="D7" s="31"/>
      <c r="E7" s="33" t="str">
        <f aca="false">IFERROR(INDEX(PTAX!$C$5:$C$5000,MATCH($B7,PTAX!$B$5:$B$5000,1)),"")</f>
        <v/>
      </c>
      <c r="F7" s="9" t="str">
        <f aca="false">IF(OR($B7="",E7=""),"",D7/E7)</f>
        <v/>
      </c>
    </row>
    <row r="8" customFormat="false" ht="15" hidden="false" customHeight="false" outlineLevel="0" collapsed="false">
      <c r="B8" s="35"/>
      <c r="D8" s="31"/>
      <c r="E8" s="33" t="str">
        <f aca="false">IFERROR(INDEX(PTAX!$C$5:$C$5000,MATCH($B8,PTAX!$B$5:$B$5000,1)),"")</f>
        <v/>
      </c>
      <c r="F8" s="9" t="str">
        <f aca="false">IF(OR($B8="",E8=""),"",D8/E8)</f>
        <v/>
      </c>
    </row>
    <row r="9" customFormat="false" ht="15" hidden="false" customHeight="false" outlineLevel="0" collapsed="false">
      <c r="B9" s="35"/>
      <c r="D9" s="31"/>
      <c r="E9" s="33" t="str">
        <f aca="false">IFERROR(INDEX(PTAX!$C$5:$C$5000,MATCH($B9,PTAX!$B$5:$B$5000,1)),"")</f>
        <v/>
      </c>
      <c r="F9" s="9" t="str">
        <f aca="false">IF(OR($B9="",E9=""),"",D9/E9)</f>
        <v/>
      </c>
    </row>
    <row r="10" customFormat="false" ht="15" hidden="false" customHeight="false" outlineLevel="0" collapsed="false">
      <c r="B10" s="35"/>
      <c r="D10" s="31"/>
      <c r="E10" s="33" t="str">
        <f aca="false">IFERROR(INDEX(PTAX!$C$5:$C$5000,MATCH($B10,PTAX!$B$5:$B$5000,1)),"")</f>
        <v/>
      </c>
      <c r="F10" s="9" t="str">
        <f aca="false">IF(OR($B10="",E10=""),"",D10/E10)</f>
        <v/>
      </c>
    </row>
    <row r="11" customFormat="false" ht="15" hidden="false" customHeight="false" outlineLevel="0" collapsed="false">
      <c r="B11" s="35"/>
      <c r="D11" s="31"/>
      <c r="E11" s="33" t="str">
        <f aca="false">IFERROR(INDEX(PTAX!$C$5:$C$5000,MATCH($B11,PTAX!$B$5:$B$5000,1)),"")</f>
        <v/>
      </c>
      <c r="F11" s="9" t="str">
        <f aca="false">IF(OR($B11="",E11=""),"",D11/E11)</f>
        <v/>
      </c>
    </row>
    <row r="12" customFormat="false" ht="15" hidden="false" customHeight="false" outlineLevel="0" collapsed="false">
      <c r="B12" s="35"/>
      <c r="D12" s="31"/>
      <c r="E12" s="33" t="str">
        <f aca="false">IFERROR(INDEX(PTAX!$C$5:$C$5000,MATCH($B12,PTAX!$B$5:$B$5000,1)),"")</f>
        <v/>
      </c>
      <c r="F12" s="9" t="str">
        <f aca="false">IF(OR($B12="",E12=""),"",D12/E12)</f>
        <v/>
      </c>
    </row>
    <row r="13" customFormat="false" ht="15" hidden="false" customHeight="false" outlineLevel="0" collapsed="false">
      <c r="B13" s="35"/>
      <c r="D13" s="31"/>
      <c r="E13" s="33" t="str">
        <f aca="false">IFERROR(INDEX(PTAX!$C$5:$C$5000,MATCH($B13,PTAX!$B$5:$B$5000,1)),"")</f>
        <v/>
      </c>
      <c r="F13" s="9" t="str">
        <f aca="false">IF(OR($B13="",E13=""),"",D13/E13)</f>
        <v/>
      </c>
    </row>
    <row r="14" customFormat="false" ht="15" hidden="false" customHeight="false" outlineLevel="0" collapsed="false">
      <c r="B14" s="35"/>
      <c r="D14" s="31"/>
      <c r="E14" s="33" t="str">
        <f aca="false">IFERROR(INDEX(PTAX!$C$5:$C$5000,MATCH($B14,PTAX!$B$5:$B$5000,1)),"")</f>
        <v/>
      </c>
      <c r="F14" s="9" t="str">
        <f aca="false">IF(OR($B14="",E14=""),"",D14/E14)</f>
        <v/>
      </c>
    </row>
    <row r="15" customFormat="false" ht="15" hidden="false" customHeight="false" outlineLevel="0" collapsed="false">
      <c r="B15" s="35"/>
      <c r="D15" s="31"/>
      <c r="E15" s="33" t="str">
        <f aca="false">IFERROR(INDEX(PTAX!$C$5:$C$5000,MATCH($B15,PTAX!$B$5:$B$5000,1)),"")</f>
        <v/>
      </c>
      <c r="F15" s="9" t="str">
        <f aca="false">IF(OR($B15="",E15=""),"",D15/E15)</f>
        <v/>
      </c>
    </row>
    <row r="16" customFormat="false" ht="15" hidden="false" customHeight="false" outlineLevel="0" collapsed="false">
      <c r="B16" s="35"/>
      <c r="D16" s="31"/>
      <c r="E16" s="33" t="str">
        <f aca="false">IFERROR(INDEX(PTAX!$C$5:$C$5000,MATCH($B16,PTAX!$B$5:$B$5000,1)),"")</f>
        <v/>
      </c>
      <c r="F16" s="9" t="str">
        <f aca="false">IF(OR($B16="",E16=""),"",D16/E16)</f>
        <v/>
      </c>
    </row>
    <row r="17" customFormat="false" ht="15" hidden="false" customHeight="false" outlineLevel="0" collapsed="false">
      <c r="B17" s="35"/>
      <c r="D17" s="31"/>
      <c r="E17" s="33" t="str">
        <f aca="false">IFERROR(INDEX(PTAX!$C$5:$C$5000,MATCH($B17,PTAX!$B$5:$B$5000,1)),"")</f>
        <v/>
      </c>
      <c r="F17" s="9" t="str">
        <f aca="false">IF(OR($B17="",E17=""),"",D17/E17)</f>
        <v/>
      </c>
    </row>
    <row r="18" customFormat="false" ht="15" hidden="false" customHeight="false" outlineLevel="0" collapsed="false">
      <c r="B18" s="35"/>
      <c r="D18" s="31"/>
      <c r="E18" s="33" t="str">
        <f aca="false">IFERROR(INDEX(PTAX!$C$5:$C$5000,MATCH($B18,PTAX!$B$5:$B$5000,1)),"")</f>
        <v/>
      </c>
      <c r="F18" s="9" t="str">
        <f aca="false">IF(OR($B18="",E18=""),"",D18/E18)</f>
        <v/>
      </c>
    </row>
    <row r="19" customFormat="false" ht="15" hidden="false" customHeight="false" outlineLevel="0" collapsed="false">
      <c r="B19" s="35"/>
      <c r="D19" s="31"/>
      <c r="E19" s="33" t="str">
        <f aca="false">IFERROR(INDEX(PTAX!$C$5:$C$5000,MATCH($B19,PTAX!$B$5:$B$5000,1)),"")</f>
        <v/>
      </c>
      <c r="F19" s="9" t="str">
        <f aca="false">IF(OR($B19="",E19=""),"",D19/E19)</f>
        <v/>
      </c>
    </row>
    <row r="20" customFormat="false" ht="15" hidden="false" customHeight="false" outlineLevel="0" collapsed="false">
      <c r="B20" s="35"/>
      <c r="D20" s="31"/>
      <c r="E20" s="33" t="str">
        <f aca="false">IFERROR(INDEX(PTAX!$C$5:$C$5000,MATCH($B20,PTAX!$B$5:$B$5000,1)),"")</f>
        <v/>
      </c>
      <c r="F20" s="9" t="str">
        <f aca="false">IF(OR($B20="",E20=""),"",D20/E20)</f>
        <v/>
      </c>
    </row>
    <row r="21" customFormat="false" ht="15" hidden="false" customHeight="false" outlineLevel="0" collapsed="false">
      <c r="B21" s="35"/>
      <c r="D21" s="31"/>
      <c r="E21" s="33" t="str">
        <f aca="false">IFERROR(INDEX(PTAX!$C$5:$C$5000,MATCH($B21,PTAX!$B$5:$B$5000,1)),"")</f>
        <v/>
      </c>
      <c r="F21" s="9" t="str">
        <f aca="false">IF(OR($B21="",E21=""),"",D21/E21)</f>
        <v/>
      </c>
    </row>
    <row r="22" customFormat="false" ht="15" hidden="false" customHeight="false" outlineLevel="0" collapsed="false">
      <c r="B22" s="35"/>
      <c r="D22" s="31"/>
      <c r="E22" s="33" t="str">
        <f aca="false">IFERROR(INDEX(PTAX!$C$5:$C$5000,MATCH($B22,PTAX!$B$5:$B$5000,1)),"")</f>
        <v/>
      </c>
      <c r="F22" s="9" t="str">
        <f aca="false">IF(OR($B22="",E22=""),"",D22/E22)</f>
        <v/>
      </c>
    </row>
    <row r="23" customFormat="false" ht="15" hidden="false" customHeight="false" outlineLevel="0" collapsed="false">
      <c r="B23" s="35"/>
      <c r="D23" s="31"/>
      <c r="E23" s="33" t="str">
        <f aca="false">IFERROR(INDEX(PTAX!$C$5:$C$5000,MATCH($B23,PTAX!$B$5:$B$5000,1)),"")</f>
        <v/>
      </c>
      <c r="F23" s="9" t="str">
        <f aca="false">IF(OR($B23="",E23=""),"",D23/E23)</f>
        <v/>
      </c>
    </row>
    <row r="24" customFormat="false" ht="15" hidden="false" customHeight="false" outlineLevel="0" collapsed="false">
      <c r="B24" s="35"/>
      <c r="D24" s="31"/>
      <c r="E24" s="33" t="str">
        <f aca="false">IFERROR(INDEX(PTAX!$C$5:$C$5000,MATCH($B24,PTAX!$B$5:$B$5000,1)),"")</f>
        <v/>
      </c>
      <c r="F24" s="9" t="str">
        <f aca="false">IF(OR($B24="",E24=""),"",D24/E24)</f>
        <v/>
      </c>
    </row>
    <row r="25" customFormat="false" ht="15" hidden="false" customHeight="false" outlineLevel="0" collapsed="false">
      <c r="B25" s="35"/>
      <c r="D25" s="31"/>
      <c r="E25" s="33" t="str">
        <f aca="false">IFERROR(INDEX(PTAX!$C$5:$C$5000,MATCH($B25,PTAX!$B$5:$B$5000,1)),"")</f>
        <v/>
      </c>
      <c r="F25" s="9" t="str">
        <f aca="false">IF(OR($B25="",E25=""),"",D25/E25)</f>
        <v/>
      </c>
    </row>
    <row r="26" customFormat="false" ht="15" hidden="false" customHeight="false" outlineLevel="0" collapsed="false">
      <c r="B26" s="35"/>
      <c r="D26" s="31"/>
      <c r="E26" s="33" t="str">
        <f aca="false">IFERROR(INDEX(PTAX!$C$5:$C$5000,MATCH($B26,PTAX!$B$5:$B$5000,1)),"")</f>
        <v/>
      </c>
      <c r="F26" s="9" t="str">
        <f aca="false">IF(OR($B26="",E26=""),"",D26/E26)</f>
        <v/>
      </c>
    </row>
    <row r="27" customFormat="false" ht="15" hidden="false" customHeight="false" outlineLevel="0" collapsed="false">
      <c r="B27" s="35"/>
      <c r="D27" s="31"/>
      <c r="E27" s="33" t="str">
        <f aca="false">IFERROR(INDEX(PTAX!$C$5:$C$5000,MATCH($B27,PTAX!$B$5:$B$5000,1)),"")</f>
        <v/>
      </c>
      <c r="F27" s="9" t="str">
        <f aca="false">IF(OR($B27="",E27=""),"",D27/E27)</f>
        <v/>
      </c>
    </row>
    <row r="28" customFormat="false" ht="15" hidden="false" customHeight="false" outlineLevel="0" collapsed="false">
      <c r="B28" s="35"/>
      <c r="D28" s="31"/>
      <c r="E28" s="33" t="str">
        <f aca="false">IFERROR(INDEX(PTAX!$C$5:$C$5000,MATCH($B28,PTAX!$B$5:$B$5000,1)),"")</f>
        <v/>
      </c>
      <c r="F28" s="9" t="str">
        <f aca="false">IF(OR($B28="",E28=""),"",D28/E28)</f>
        <v/>
      </c>
    </row>
    <row r="29" customFormat="false" ht="15" hidden="false" customHeight="false" outlineLevel="0" collapsed="false">
      <c r="B29" s="35"/>
      <c r="D29" s="31"/>
      <c r="E29" s="33" t="str">
        <f aca="false">IFERROR(INDEX(PTAX!$C$5:$C$5000,MATCH($B29,PTAX!$B$5:$B$5000,1)),"")</f>
        <v/>
      </c>
      <c r="F29" s="9" t="str">
        <f aca="false">IF(OR($B29="",E29=""),"",D29/E29)</f>
        <v/>
      </c>
    </row>
    <row r="30" customFormat="false" ht="15" hidden="false" customHeight="false" outlineLevel="0" collapsed="false">
      <c r="B30" s="35"/>
      <c r="D30" s="31"/>
      <c r="E30" s="33" t="str">
        <f aca="false">IFERROR(INDEX(PTAX!$C$5:$C$5000,MATCH($B30,PTAX!$B$5:$B$5000,1)),"")</f>
        <v/>
      </c>
      <c r="F30" s="9" t="str">
        <f aca="false">IF(OR($B30="",E30=""),"",D30/E30)</f>
        <v/>
      </c>
    </row>
    <row r="31" customFormat="false" ht="15" hidden="false" customHeight="false" outlineLevel="0" collapsed="false">
      <c r="B31" s="35"/>
      <c r="D31" s="31"/>
      <c r="E31" s="33" t="str">
        <f aca="false">IFERROR(INDEX(PTAX!$C$5:$C$5000,MATCH($B31,PTAX!$B$5:$B$5000,1)),"")</f>
        <v/>
      </c>
      <c r="F31" s="9" t="str">
        <f aca="false">IF(OR($B31="",E31=""),"",D31/E31)</f>
        <v/>
      </c>
    </row>
    <row r="32" customFormat="false" ht="15" hidden="false" customHeight="false" outlineLevel="0" collapsed="false">
      <c r="B32" s="35"/>
      <c r="D32" s="31"/>
      <c r="E32" s="33" t="str">
        <f aca="false">IFERROR(INDEX(PTAX!$C$5:$C$5000,MATCH($B32,PTAX!$B$5:$B$5000,1)),"")</f>
        <v/>
      </c>
      <c r="F32" s="9" t="str">
        <f aca="false">IF(OR($B32="",E32=""),"",D32/E32)</f>
        <v/>
      </c>
    </row>
    <row r="33" customFormat="false" ht="15" hidden="false" customHeight="false" outlineLevel="0" collapsed="false">
      <c r="B33" s="35"/>
      <c r="D33" s="31"/>
      <c r="E33" s="33" t="str">
        <f aca="false">IFERROR(INDEX(PTAX!$C$5:$C$5000,MATCH($B33,PTAX!$B$5:$B$5000,1)),"")</f>
        <v/>
      </c>
      <c r="F33" s="9" t="str">
        <f aca="false">IF(OR($B33="",E33=""),"",D33/E33)</f>
        <v/>
      </c>
    </row>
    <row r="34" customFormat="false" ht="15" hidden="false" customHeight="false" outlineLevel="0" collapsed="false">
      <c r="B34" s="35"/>
      <c r="D34" s="31"/>
      <c r="E34" s="33" t="str">
        <f aca="false">IFERROR(INDEX(PTAX!$C$5:$C$5000,MATCH($B34,PTAX!$B$5:$B$5000,1)),"")</f>
        <v/>
      </c>
      <c r="F34" s="9" t="str">
        <f aca="false">IF(OR($B34="",E34=""),"",D34/E34)</f>
        <v/>
      </c>
    </row>
    <row r="35" customFormat="false" ht="15" hidden="false" customHeight="false" outlineLevel="0" collapsed="false">
      <c r="B35" s="35"/>
      <c r="D35" s="31"/>
      <c r="E35" s="33" t="str">
        <f aca="false">IFERROR(INDEX(PTAX!$C$5:$C$5000,MATCH($B35,PTAX!$B$5:$B$5000,1)),"")</f>
        <v/>
      </c>
      <c r="F35" s="9" t="str">
        <f aca="false">IF(OR($B35="",E35=""),"",D35/E35)</f>
        <v/>
      </c>
    </row>
    <row r="36" customFormat="false" ht="15" hidden="false" customHeight="false" outlineLevel="0" collapsed="false">
      <c r="B36" s="35"/>
      <c r="D36" s="31"/>
      <c r="E36" s="33" t="str">
        <f aca="false">IFERROR(INDEX(PTAX!$C$5:$C$5000,MATCH($B36,PTAX!$B$5:$B$5000,1)),"")</f>
        <v/>
      </c>
      <c r="F36" s="9" t="str">
        <f aca="false">IF(OR($B36="",E36=""),"",D36/E36)</f>
        <v/>
      </c>
    </row>
    <row r="37" customFormat="false" ht="15" hidden="false" customHeight="false" outlineLevel="0" collapsed="false">
      <c r="B37" s="35"/>
      <c r="D37" s="31"/>
      <c r="E37" s="33" t="str">
        <f aca="false">IFERROR(INDEX(PTAX!$C$5:$C$5000,MATCH($B37,PTAX!$B$5:$B$5000,1)),"")</f>
        <v/>
      </c>
      <c r="F37" s="9" t="str">
        <f aca="false">IF(OR($B37="",E37=""),"",D37/E37)</f>
        <v/>
      </c>
    </row>
    <row r="38" customFormat="false" ht="15" hidden="false" customHeight="false" outlineLevel="0" collapsed="false">
      <c r="B38" s="35"/>
      <c r="D38" s="31"/>
      <c r="E38" s="33" t="str">
        <f aca="false">IFERROR(INDEX(PTAX!$C$5:$C$5000,MATCH($B38,PTAX!$B$5:$B$5000,1)),"")</f>
        <v/>
      </c>
      <c r="F38" s="9" t="str">
        <f aca="false">IF(OR($B38="",E38=""),"",D38/E38)</f>
        <v/>
      </c>
    </row>
    <row r="39" customFormat="false" ht="15" hidden="false" customHeight="false" outlineLevel="0" collapsed="false">
      <c r="B39" s="35"/>
      <c r="D39" s="31"/>
      <c r="E39" s="33" t="str">
        <f aca="false">IFERROR(INDEX(PTAX!$C$5:$C$5000,MATCH($B39,PTAX!$B$5:$B$5000,1)),"")</f>
        <v/>
      </c>
      <c r="F39" s="9" t="str">
        <f aca="false">IF(OR($B39="",E39=""),"",D39/E39)</f>
        <v/>
      </c>
    </row>
    <row r="40" customFormat="false" ht="15" hidden="false" customHeight="false" outlineLevel="0" collapsed="false">
      <c r="B40" s="35"/>
      <c r="D40" s="31"/>
      <c r="E40" s="33" t="str">
        <f aca="false">IFERROR(INDEX(PTAX!$C$5:$C$5000,MATCH($B40,PTAX!$B$5:$B$5000,1)),"")</f>
        <v/>
      </c>
      <c r="F40" s="9" t="str">
        <f aca="false">IF(OR($B40="",E40=""),"",D40/E40)</f>
        <v/>
      </c>
    </row>
    <row r="41" customFormat="false" ht="15" hidden="false" customHeight="false" outlineLevel="0" collapsed="false">
      <c r="B41" s="35"/>
      <c r="D41" s="31"/>
      <c r="E41" s="33" t="str">
        <f aca="false">IFERROR(INDEX(PTAX!$C$5:$C$5000,MATCH($B41,PTAX!$B$5:$B$5000,1)),"")</f>
        <v/>
      </c>
      <c r="F41" s="9" t="str">
        <f aca="false">IF(OR($B41="",E41=""),"",D41/E41)</f>
        <v/>
      </c>
    </row>
    <row r="42" customFormat="false" ht="15" hidden="false" customHeight="false" outlineLevel="0" collapsed="false">
      <c r="B42" s="35"/>
      <c r="D42" s="31"/>
      <c r="E42" s="33" t="str">
        <f aca="false">IFERROR(INDEX(PTAX!$C$5:$C$5000,MATCH($B42,PTAX!$B$5:$B$5000,1)),"")</f>
        <v/>
      </c>
      <c r="F42" s="9" t="str">
        <f aca="false">IF(OR($B42="",E42=""),"",D42/E42)</f>
        <v/>
      </c>
    </row>
    <row r="43" customFormat="false" ht="15" hidden="false" customHeight="false" outlineLevel="0" collapsed="false">
      <c r="B43" s="35"/>
      <c r="D43" s="31"/>
      <c r="E43" s="33" t="str">
        <f aca="false">IFERROR(INDEX(PTAX!$C$5:$C$5000,MATCH($B43,PTAX!$B$5:$B$5000,1)),"")</f>
        <v/>
      </c>
      <c r="F43" s="9" t="str">
        <f aca="false">IF(OR($B43="",E43=""),"",D43/E43)</f>
        <v/>
      </c>
    </row>
    <row r="44" customFormat="false" ht="15" hidden="false" customHeight="false" outlineLevel="0" collapsed="false">
      <c r="B44" s="35"/>
      <c r="D44" s="31"/>
      <c r="E44" s="33" t="str">
        <f aca="false">IFERROR(INDEX(PTAX!$C$5:$C$5000,MATCH($B44,PTAX!$B$5:$B$5000,1)),"")</f>
        <v/>
      </c>
      <c r="F44" s="9" t="str">
        <f aca="false">IF(OR($B44="",E44=""),"",D44/E44)</f>
        <v/>
      </c>
    </row>
    <row r="45" customFormat="false" ht="15" hidden="false" customHeight="false" outlineLevel="0" collapsed="false">
      <c r="B45" s="35"/>
      <c r="D45" s="31"/>
      <c r="E45" s="33" t="str">
        <f aca="false">IFERROR(INDEX(PTAX!$C$5:$C$5000,MATCH($B45,PTAX!$B$5:$B$5000,1)),"")</f>
        <v/>
      </c>
      <c r="F45" s="9" t="str">
        <f aca="false">IF(OR($B45="",E45=""),"",D45/E45)</f>
        <v/>
      </c>
    </row>
    <row r="46" customFormat="false" ht="15" hidden="false" customHeight="false" outlineLevel="0" collapsed="false">
      <c r="B46" s="35"/>
      <c r="D46" s="31"/>
      <c r="E46" s="33" t="str">
        <f aca="false">IFERROR(INDEX(PTAX!$C$5:$C$5000,MATCH($B46,PTAX!$B$5:$B$5000,1)),"")</f>
        <v/>
      </c>
      <c r="F46" s="9" t="str">
        <f aca="false">IF(OR($B46="",E46=""),"",D46/E46)</f>
        <v/>
      </c>
    </row>
    <row r="47" customFormat="false" ht="15" hidden="false" customHeight="false" outlineLevel="0" collapsed="false">
      <c r="B47" s="35"/>
      <c r="D47" s="31"/>
      <c r="E47" s="33" t="str">
        <f aca="false">IFERROR(INDEX(PTAX!$C$5:$C$5000,MATCH($B47,PTAX!$B$5:$B$5000,1)),"")</f>
        <v/>
      </c>
      <c r="F47" s="9" t="str">
        <f aca="false">IF(OR($B47="",E47=""),"",D47/E47)</f>
        <v/>
      </c>
    </row>
    <row r="48" customFormat="false" ht="15" hidden="false" customHeight="false" outlineLevel="0" collapsed="false">
      <c r="B48" s="35"/>
      <c r="D48" s="31"/>
      <c r="E48" s="33" t="str">
        <f aca="false">IFERROR(INDEX(PTAX!$C$5:$C$5000,MATCH($B48,PTAX!$B$5:$B$5000,1)),"")</f>
        <v/>
      </c>
      <c r="F48" s="9" t="str">
        <f aca="false">IF(OR($B48="",E48=""),"",D48/E48)</f>
        <v/>
      </c>
    </row>
    <row r="49" customFormat="false" ht="15" hidden="false" customHeight="false" outlineLevel="0" collapsed="false">
      <c r="B49" s="35"/>
      <c r="D49" s="31"/>
      <c r="E49" s="33" t="str">
        <f aca="false">IFERROR(INDEX(PTAX!$C$5:$C$5000,MATCH($B49,PTAX!$B$5:$B$5000,1)),"")</f>
        <v/>
      </c>
      <c r="F49" s="9" t="str">
        <f aca="false">IF(OR($B49="",E49=""),"",D49/E49)</f>
        <v/>
      </c>
    </row>
    <row r="50" customFormat="false" ht="15" hidden="false" customHeight="false" outlineLevel="0" collapsed="false">
      <c r="B50" s="35"/>
      <c r="D50" s="31"/>
      <c r="E50" s="33" t="str">
        <f aca="false">IFERROR(INDEX(PTAX!$C$5:$C$5000,MATCH($B50,PTAX!$B$5:$B$5000,1)),"")</f>
        <v/>
      </c>
      <c r="F50" s="9" t="str">
        <f aca="false">IF(OR($B50="",E50=""),"",D50/E50)</f>
        <v/>
      </c>
    </row>
    <row r="51" customFormat="false" ht="15" hidden="false" customHeight="false" outlineLevel="0" collapsed="false">
      <c r="B51" s="35"/>
      <c r="D51" s="31"/>
      <c r="E51" s="33" t="str">
        <f aca="false">IFERROR(INDEX(PTAX!$C$5:$C$5000,MATCH($B51,PTAX!$B$5:$B$5000,1)),"")</f>
        <v/>
      </c>
      <c r="F51" s="9" t="str">
        <f aca="false">IF(OR($B51="",E51=""),"",D51/E51)</f>
        <v/>
      </c>
    </row>
    <row r="52" customFormat="false" ht="15" hidden="false" customHeight="false" outlineLevel="0" collapsed="false">
      <c r="B52" s="35"/>
      <c r="D52" s="31"/>
      <c r="E52" s="33" t="str">
        <f aca="false">IFERROR(INDEX(PTAX!$C$5:$C$5000,MATCH($B52,PTAX!$B$5:$B$5000,1)),"")</f>
        <v/>
      </c>
      <c r="F52" s="9" t="str">
        <f aca="false">IF(OR($B52="",E52=""),"",D52/E52)</f>
        <v/>
      </c>
    </row>
    <row r="53" customFormat="false" ht="15" hidden="false" customHeight="false" outlineLevel="0" collapsed="false">
      <c r="B53" s="35"/>
      <c r="D53" s="31"/>
      <c r="E53" s="33" t="str">
        <f aca="false">IFERROR(INDEX(PTAX!$C$5:$C$5000,MATCH($B53,PTAX!$B$5:$B$5000,1)),"")</f>
        <v/>
      </c>
      <c r="F53" s="9" t="str">
        <f aca="false">IF(OR($B53="",E53=""),"",D53/E53)</f>
        <v/>
      </c>
    </row>
    <row r="54" customFormat="false" ht="15" hidden="false" customHeight="false" outlineLevel="0" collapsed="false">
      <c r="B54" s="35"/>
      <c r="D54" s="31"/>
      <c r="E54" s="33" t="str">
        <f aca="false">IFERROR(INDEX(PTAX!$C$5:$C$5000,MATCH($B54,PTAX!$B$5:$B$5000,1)),"")</f>
        <v/>
      </c>
      <c r="F54" s="9" t="str">
        <f aca="false">IF(OR($B54="",E54=""),"",D54/E54)</f>
        <v/>
      </c>
    </row>
    <row r="55" customFormat="false" ht="15" hidden="false" customHeight="false" outlineLevel="0" collapsed="false">
      <c r="B55" s="35"/>
      <c r="D55" s="31"/>
      <c r="E55" s="33" t="str">
        <f aca="false">IFERROR(INDEX(PTAX!$C$5:$C$5000,MATCH($B55,PTAX!$B$5:$B$5000,1)),"")</f>
        <v/>
      </c>
      <c r="F55" s="9" t="str">
        <f aca="false">IF(OR($B55="",E55=""),"",D55/E55)</f>
        <v/>
      </c>
    </row>
    <row r="56" customFormat="false" ht="15" hidden="false" customHeight="false" outlineLevel="0" collapsed="false">
      <c r="B56" s="35"/>
      <c r="D56" s="31"/>
      <c r="E56" s="33" t="str">
        <f aca="false">IFERROR(INDEX(PTAX!$C$5:$C$5000,MATCH($B56,PTAX!$B$5:$B$5000,1)),"")</f>
        <v/>
      </c>
      <c r="F56" s="9" t="str">
        <f aca="false">IF(OR($B56="",E56=""),"",D56/E56)</f>
        <v/>
      </c>
    </row>
    <row r="57" customFormat="false" ht="15" hidden="false" customHeight="false" outlineLevel="0" collapsed="false">
      <c r="B57" s="35"/>
      <c r="D57" s="31"/>
      <c r="E57" s="33" t="str">
        <f aca="false">IFERROR(INDEX(PTAX!$C$5:$C$5000,MATCH($B57,PTAX!$B$5:$B$5000,1)),"")</f>
        <v/>
      </c>
      <c r="F57" s="9" t="str">
        <f aca="false">IF(OR($B57="",E57=""),"",D57/E57)</f>
        <v/>
      </c>
    </row>
    <row r="58" customFormat="false" ht="15" hidden="false" customHeight="false" outlineLevel="0" collapsed="false">
      <c r="B58" s="35"/>
      <c r="D58" s="31"/>
      <c r="E58" s="33" t="str">
        <f aca="false">IFERROR(INDEX(PTAX!$C$5:$C$5000,MATCH($B58,PTAX!$B$5:$B$5000,1)),"")</f>
        <v/>
      </c>
      <c r="F58" s="9" t="str">
        <f aca="false">IF(OR($B58="",E58=""),"",D58/E58)</f>
        <v/>
      </c>
    </row>
    <row r="59" customFormat="false" ht="15" hidden="false" customHeight="false" outlineLevel="0" collapsed="false">
      <c r="B59" s="35"/>
      <c r="D59" s="31"/>
      <c r="E59" s="33" t="str">
        <f aca="false">IFERROR(INDEX(PTAX!$C$5:$C$5000,MATCH($B59,PTAX!$B$5:$B$5000,1)),"")</f>
        <v/>
      </c>
      <c r="F59" s="9" t="str">
        <f aca="false">IF(OR($B59="",E59=""),"",D59/E59)</f>
        <v/>
      </c>
    </row>
    <row r="60" customFormat="false" ht="15" hidden="false" customHeight="false" outlineLevel="0" collapsed="false">
      <c r="B60" s="35"/>
      <c r="D60" s="31"/>
      <c r="E60" s="33" t="str">
        <f aca="false">IFERROR(INDEX(PTAX!$C$5:$C$5000,MATCH($B60,PTAX!$B$5:$B$5000,1)),"")</f>
        <v/>
      </c>
      <c r="F60" s="9" t="str">
        <f aca="false">IF(OR($B60="",E60=""),"",D60/E60)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6" min="4" style="1" width="14"/>
  </cols>
  <sheetData>
    <row r="2" customFormat="false" ht="15" hidden="false" customHeight="false" outlineLevel="0" collapsed="false">
      <c r="B2" s="4" t="s">
        <v>67</v>
      </c>
      <c r="C2" s="4" t="s">
        <v>12</v>
      </c>
      <c r="D2" s="4" t="s">
        <v>81</v>
      </c>
      <c r="E2" s="4" t="s">
        <v>73</v>
      </c>
      <c r="F2" s="4" t="s">
        <v>82</v>
      </c>
      <c r="H2" s="3" t="s">
        <v>84</v>
      </c>
    </row>
    <row r="3" customFormat="false" ht="15" hidden="false" customHeight="false" outlineLevel="0" collapsed="false">
      <c r="B3" s="35"/>
      <c r="D3" s="31"/>
      <c r="E3" s="33" t="str">
        <f aca="false">IFERROR(INDEX(PTAX!$C$5:$C$5000,MATCH($B3,PTAX!$B$5:$B$5000,1)),"")</f>
        <v/>
      </c>
      <c r="F3" s="9" t="str">
        <f aca="false">IF(OR($B3="",E3=""),"",D3/E3)</f>
        <v/>
      </c>
    </row>
    <row r="4" customFormat="false" ht="15" hidden="false" customHeight="false" outlineLevel="0" collapsed="false">
      <c r="B4" s="35"/>
      <c r="D4" s="31"/>
      <c r="E4" s="33" t="str">
        <f aca="false">IFERROR(INDEX(PTAX!$C$5:$C$5000,MATCH($B4,PTAX!$B$5:$B$5000,1)),"")</f>
        <v/>
      </c>
      <c r="F4" s="9" t="str">
        <f aca="false">IF(OR($B4="",E4=""),"",D4/E4)</f>
        <v/>
      </c>
    </row>
    <row r="5" customFormat="false" ht="15" hidden="false" customHeight="false" outlineLevel="0" collapsed="false">
      <c r="B5" s="35"/>
      <c r="D5" s="31"/>
      <c r="E5" s="33" t="str">
        <f aca="false">IFERROR(INDEX(PTAX!$C$5:$C$5000,MATCH($B5,PTAX!$B$5:$B$5000,1)),"")</f>
        <v/>
      </c>
      <c r="F5" s="9" t="str">
        <f aca="false">IF(OR($B5="",E5=""),"",D5/E5)</f>
        <v/>
      </c>
    </row>
    <row r="6" customFormat="false" ht="15" hidden="false" customHeight="false" outlineLevel="0" collapsed="false">
      <c r="B6" s="35"/>
      <c r="D6" s="31"/>
      <c r="E6" s="33" t="str">
        <f aca="false">IFERROR(INDEX(PTAX!$C$5:$C$5000,MATCH($B6,PTAX!$B$5:$B$5000,1)),"")</f>
        <v/>
      </c>
      <c r="F6" s="9" t="str">
        <f aca="false">IF(OR($B6="",E6=""),"",D6/E6)</f>
        <v/>
      </c>
    </row>
    <row r="7" customFormat="false" ht="15" hidden="false" customHeight="false" outlineLevel="0" collapsed="false">
      <c r="B7" s="35"/>
      <c r="D7" s="31"/>
      <c r="E7" s="33" t="str">
        <f aca="false">IFERROR(INDEX(PTAX!$C$5:$C$5000,MATCH($B7,PTAX!$B$5:$B$5000,1)),"")</f>
        <v/>
      </c>
      <c r="F7" s="9" t="str">
        <f aca="false">IF(OR($B7="",E7=""),"",D7/E7)</f>
        <v/>
      </c>
    </row>
    <row r="8" customFormat="false" ht="15" hidden="false" customHeight="false" outlineLevel="0" collapsed="false">
      <c r="B8" s="35"/>
      <c r="D8" s="31"/>
      <c r="E8" s="33" t="str">
        <f aca="false">IFERROR(INDEX(PTAX!$C$5:$C$5000,MATCH($B8,PTAX!$B$5:$B$5000,1)),"")</f>
        <v/>
      </c>
      <c r="F8" s="9" t="str">
        <f aca="false">IF(OR($B8="",E8=""),"",D8/E8)</f>
        <v/>
      </c>
    </row>
    <row r="9" customFormat="false" ht="15" hidden="false" customHeight="false" outlineLevel="0" collapsed="false">
      <c r="B9" s="35"/>
      <c r="D9" s="31"/>
      <c r="E9" s="33" t="str">
        <f aca="false">IFERROR(INDEX(PTAX!$C$5:$C$5000,MATCH($B9,PTAX!$B$5:$B$5000,1)),"")</f>
        <v/>
      </c>
      <c r="F9" s="9" t="str">
        <f aca="false">IF(OR($B9="",E9=""),"",D9/E9)</f>
        <v/>
      </c>
    </row>
    <row r="10" customFormat="false" ht="15" hidden="false" customHeight="false" outlineLevel="0" collapsed="false">
      <c r="B10" s="35"/>
      <c r="D10" s="31"/>
      <c r="E10" s="33" t="str">
        <f aca="false">IFERROR(INDEX(PTAX!$C$5:$C$5000,MATCH($B10,PTAX!$B$5:$B$5000,1)),"")</f>
        <v/>
      </c>
      <c r="F10" s="9" t="str">
        <f aca="false">IF(OR($B10="",E10=""),"",D10/E10)</f>
        <v/>
      </c>
    </row>
    <row r="11" customFormat="false" ht="15" hidden="false" customHeight="false" outlineLevel="0" collapsed="false">
      <c r="B11" s="35"/>
      <c r="D11" s="31"/>
      <c r="E11" s="33" t="str">
        <f aca="false">IFERROR(INDEX(PTAX!$C$5:$C$5000,MATCH($B11,PTAX!$B$5:$B$5000,1)),"")</f>
        <v/>
      </c>
      <c r="F11" s="9" t="str">
        <f aca="false">IF(OR($B11="",E11=""),"",D11/E11)</f>
        <v/>
      </c>
    </row>
    <row r="12" customFormat="false" ht="15" hidden="false" customHeight="false" outlineLevel="0" collapsed="false">
      <c r="B12" s="35"/>
      <c r="D12" s="31"/>
      <c r="E12" s="33" t="str">
        <f aca="false">IFERROR(INDEX(PTAX!$C$5:$C$5000,MATCH($B12,PTAX!$B$5:$B$5000,1)),"")</f>
        <v/>
      </c>
      <c r="F12" s="9" t="str">
        <f aca="false">IF(OR($B12="",E12=""),"",D12/E12)</f>
        <v/>
      </c>
    </row>
    <row r="13" customFormat="false" ht="15" hidden="false" customHeight="false" outlineLevel="0" collapsed="false">
      <c r="B13" s="35"/>
      <c r="D13" s="31"/>
      <c r="E13" s="33" t="str">
        <f aca="false">IFERROR(INDEX(PTAX!$C$5:$C$5000,MATCH($B13,PTAX!$B$5:$B$5000,1)),"")</f>
        <v/>
      </c>
      <c r="F13" s="9" t="str">
        <f aca="false">IF(OR($B13="",E13=""),"",D13/E13)</f>
        <v/>
      </c>
    </row>
    <row r="14" customFormat="false" ht="15" hidden="false" customHeight="false" outlineLevel="0" collapsed="false">
      <c r="B14" s="35"/>
      <c r="D14" s="31"/>
      <c r="E14" s="33" t="str">
        <f aca="false">IFERROR(INDEX(PTAX!$C$5:$C$5000,MATCH($B14,PTAX!$B$5:$B$5000,1)),"")</f>
        <v/>
      </c>
      <c r="F14" s="9" t="str">
        <f aca="false">IF(OR($B14="",E14=""),"",D14/E14)</f>
        <v/>
      </c>
    </row>
    <row r="15" customFormat="false" ht="15" hidden="false" customHeight="false" outlineLevel="0" collapsed="false">
      <c r="B15" s="35"/>
      <c r="D15" s="31"/>
      <c r="E15" s="33" t="str">
        <f aca="false">IFERROR(INDEX(PTAX!$C$5:$C$5000,MATCH($B15,PTAX!$B$5:$B$5000,1)),"")</f>
        <v/>
      </c>
      <c r="F15" s="9" t="str">
        <f aca="false">IF(OR($B15="",E15=""),"",D15/E15)</f>
        <v/>
      </c>
    </row>
    <row r="16" customFormat="false" ht="15" hidden="false" customHeight="false" outlineLevel="0" collapsed="false">
      <c r="B16" s="35"/>
      <c r="D16" s="31"/>
      <c r="E16" s="33" t="str">
        <f aca="false">IFERROR(INDEX(PTAX!$C$5:$C$5000,MATCH($B16,PTAX!$B$5:$B$5000,1)),"")</f>
        <v/>
      </c>
      <c r="F16" s="9" t="str">
        <f aca="false">IF(OR($B16="",E16=""),"",D16/E16)</f>
        <v/>
      </c>
    </row>
    <row r="17" customFormat="false" ht="15" hidden="false" customHeight="false" outlineLevel="0" collapsed="false">
      <c r="B17" s="35"/>
      <c r="D17" s="31"/>
      <c r="E17" s="33" t="str">
        <f aca="false">IFERROR(INDEX(PTAX!$C$5:$C$5000,MATCH($B17,PTAX!$B$5:$B$5000,1)),"")</f>
        <v/>
      </c>
      <c r="F17" s="9" t="str">
        <f aca="false">IF(OR($B17="",E17=""),"",D17/E17)</f>
        <v/>
      </c>
    </row>
    <row r="18" customFormat="false" ht="15" hidden="false" customHeight="false" outlineLevel="0" collapsed="false">
      <c r="B18" s="35"/>
      <c r="D18" s="31"/>
      <c r="E18" s="33" t="str">
        <f aca="false">IFERROR(INDEX(PTAX!$C$5:$C$5000,MATCH($B18,PTAX!$B$5:$B$5000,1)),"")</f>
        <v/>
      </c>
      <c r="F18" s="9" t="str">
        <f aca="false">IF(OR($B18="",E18=""),"",D18/E18)</f>
        <v/>
      </c>
    </row>
    <row r="19" customFormat="false" ht="15" hidden="false" customHeight="false" outlineLevel="0" collapsed="false">
      <c r="B19" s="35"/>
      <c r="D19" s="31"/>
      <c r="E19" s="33" t="str">
        <f aca="false">IFERROR(INDEX(PTAX!$C$5:$C$5000,MATCH($B19,PTAX!$B$5:$B$5000,1)),"")</f>
        <v/>
      </c>
      <c r="F19" s="9" t="str">
        <f aca="false">IF(OR($B19="",E19=""),"",D19/E19)</f>
        <v/>
      </c>
    </row>
    <row r="20" customFormat="false" ht="15" hidden="false" customHeight="false" outlineLevel="0" collapsed="false">
      <c r="B20" s="35"/>
      <c r="D20" s="31"/>
      <c r="E20" s="33" t="str">
        <f aca="false">IFERROR(INDEX(PTAX!$C$5:$C$5000,MATCH($B20,PTAX!$B$5:$B$5000,1)),"")</f>
        <v/>
      </c>
      <c r="F20" s="9" t="str">
        <f aca="false">IF(OR($B20="",E20=""),"",D20/E20)</f>
        <v/>
      </c>
    </row>
    <row r="21" customFormat="false" ht="15" hidden="false" customHeight="false" outlineLevel="0" collapsed="false">
      <c r="B21" s="35"/>
      <c r="D21" s="31"/>
      <c r="E21" s="33" t="str">
        <f aca="false">IFERROR(INDEX(PTAX!$C$5:$C$5000,MATCH($B21,PTAX!$B$5:$B$5000,1)),"")</f>
        <v/>
      </c>
      <c r="F21" s="9" t="str">
        <f aca="false">IF(OR($B21="",E21=""),"",D21/E21)</f>
        <v/>
      </c>
    </row>
    <row r="22" customFormat="false" ht="15" hidden="false" customHeight="false" outlineLevel="0" collapsed="false">
      <c r="B22" s="35"/>
      <c r="D22" s="31"/>
      <c r="E22" s="33" t="str">
        <f aca="false">IFERROR(INDEX(PTAX!$C$5:$C$5000,MATCH($B22,PTAX!$B$5:$B$5000,1)),"")</f>
        <v/>
      </c>
      <c r="F22" s="9" t="str">
        <f aca="false">IF(OR($B22="",E22=""),"",D22/E22)</f>
        <v/>
      </c>
    </row>
    <row r="23" customFormat="false" ht="15" hidden="false" customHeight="false" outlineLevel="0" collapsed="false">
      <c r="B23" s="35"/>
      <c r="D23" s="31"/>
      <c r="E23" s="33" t="str">
        <f aca="false">IFERROR(INDEX(PTAX!$C$5:$C$5000,MATCH($B23,PTAX!$B$5:$B$5000,1)),"")</f>
        <v/>
      </c>
      <c r="F23" s="9" t="str">
        <f aca="false">IF(OR($B23="",E23=""),"",D23/E23)</f>
        <v/>
      </c>
    </row>
    <row r="24" customFormat="false" ht="15" hidden="false" customHeight="false" outlineLevel="0" collapsed="false">
      <c r="B24" s="35"/>
      <c r="D24" s="31"/>
      <c r="E24" s="33" t="str">
        <f aca="false">IFERROR(INDEX(PTAX!$C$5:$C$5000,MATCH($B24,PTAX!$B$5:$B$5000,1)),"")</f>
        <v/>
      </c>
      <c r="F24" s="9" t="str">
        <f aca="false">IF(OR($B24="",E24=""),"",D24/E24)</f>
        <v/>
      </c>
    </row>
    <row r="25" customFormat="false" ht="15" hidden="false" customHeight="false" outlineLevel="0" collapsed="false">
      <c r="B25" s="35"/>
      <c r="D25" s="31"/>
      <c r="E25" s="33" t="str">
        <f aca="false">IFERROR(INDEX(PTAX!$C$5:$C$5000,MATCH($B25,PTAX!$B$5:$B$5000,1)),"")</f>
        <v/>
      </c>
      <c r="F25" s="9" t="str">
        <f aca="false">IF(OR($B25="",E25=""),"",D25/E25)</f>
        <v/>
      </c>
    </row>
    <row r="26" customFormat="false" ht="15" hidden="false" customHeight="false" outlineLevel="0" collapsed="false">
      <c r="B26" s="35"/>
      <c r="D26" s="31"/>
      <c r="E26" s="33" t="str">
        <f aca="false">IFERROR(INDEX(PTAX!$C$5:$C$5000,MATCH($B26,PTAX!$B$5:$B$5000,1)),"")</f>
        <v/>
      </c>
      <c r="F26" s="9" t="str">
        <f aca="false">IF(OR($B26="",E26=""),"",D26/E26)</f>
        <v/>
      </c>
    </row>
    <row r="27" customFormat="false" ht="15" hidden="false" customHeight="false" outlineLevel="0" collapsed="false">
      <c r="B27" s="35"/>
      <c r="D27" s="31"/>
      <c r="E27" s="33" t="str">
        <f aca="false">IFERROR(INDEX(PTAX!$C$5:$C$5000,MATCH($B27,PTAX!$B$5:$B$5000,1)),"")</f>
        <v/>
      </c>
      <c r="F27" s="9" t="str">
        <f aca="false">IF(OR($B27="",E27=""),"",D27/E27)</f>
        <v/>
      </c>
    </row>
    <row r="28" customFormat="false" ht="15" hidden="false" customHeight="false" outlineLevel="0" collapsed="false">
      <c r="B28" s="35"/>
      <c r="D28" s="31"/>
      <c r="E28" s="33" t="str">
        <f aca="false">IFERROR(INDEX(PTAX!$C$5:$C$5000,MATCH($B28,PTAX!$B$5:$B$5000,1)),"")</f>
        <v/>
      </c>
      <c r="F28" s="9" t="str">
        <f aca="false">IF(OR($B28="",E28=""),"",D28/E28)</f>
        <v/>
      </c>
    </row>
    <row r="29" customFormat="false" ht="15" hidden="false" customHeight="false" outlineLevel="0" collapsed="false">
      <c r="B29" s="35"/>
      <c r="D29" s="31"/>
      <c r="E29" s="33" t="str">
        <f aca="false">IFERROR(INDEX(PTAX!$C$5:$C$5000,MATCH($B29,PTAX!$B$5:$B$5000,1)),"")</f>
        <v/>
      </c>
      <c r="F29" s="9" t="str">
        <f aca="false">IF(OR($B29="",E29=""),"",D29/E29)</f>
        <v/>
      </c>
    </row>
    <row r="30" customFormat="false" ht="15" hidden="false" customHeight="false" outlineLevel="0" collapsed="false">
      <c r="B30" s="35"/>
      <c r="D30" s="31"/>
      <c r="E30" s="33" t="str">
        <f aca="false">IFERROR(INDEX(PTAX!$C$5:$C$5000,MATCH($B30,PTAX!$B$5:$B$5000,1)),"")</f>
        <v/>
      </c>
      <c r="F30" s="9" t="str">
        <f aca="false">IF(OR($B30="",E30=""),"",D30/E30)</f>
        <v/>
      </c>
    </row>
    <row r="31" customFormat="false" ht="15" hidden="false" customHeight="false" outlineLevel="0" collapsed="false">
      <c r="B31" s="35"/>
      <c r="D31" s="31"/>
      <c r="E31" s="33" t="str">
        <f aca="false">IFERROR(INDEX(PTAX!$C$5:$C$5000,MATCH($B31,PTAX!$B$5:$B$5000,1)),"")</f>
        <v/>
      </c>
      <c r="F31" s="9" t="str">
        <f aca="false">IF(OR($B31="",E31=""),"",D31/E31)</f>
        <v/>
      </c>
    </row>
    <row r="32" customFormat="false" ht="15" hidden="false" customHeight="false" outlineLevel="0" collapsed="false">
      <c r="B32" s="35"/>
      <c r="D32" s="31"/>
      <c r="E32" s="33" t="str">
        <f aca="false">IFERROR(INDEX(PTAX!$C$5:$C$5000,MATCH($B32,PTAX!$B$5:$B$5000,1)),"")</f>
        <v/>
      </c>
      <c r="F32" s="9" t="str">
        <f aca="false">IF(OR($B32="",E32=""),"",D32/E32)</f>
        <v/>
      </c>
    </row>
    <row r="33" customFormat="false" ht="15" hidden="false" customHeight="false" outlineLevel="0" collapsed="false">
      <c r="B33" s="35"/>
      <c r="D33" s="31"/>
      <c r="E33" s="33" t="str">
        <f aca="false">IFERROR(INDEX(PTAX!$C$5:$C$5000,MATCH($B33,PTAX!$B$5:$B$5000,1)),"")</f>
        <v/>
      </c>
      <c r="F33" s="9" t="str">
        <f aca="false">IF(OR($B33="",E33=""),"",D33/E33)</f>
        <v/>
      </c>
    </row>
    <row r="34" customFormat="false" ht="15" hidden="false" customHeight="false" outlineLevel="0" collapsed="false">
      <c r="B34" s="35"/>
      <c r="D34" s="31"/>
      <c r="E34" s="33" t="str">
        <f aca="false">IFERROR(INDEX(PTAX!$C$5:$C$5000,MATCH($B34,PTAX!$B$5:$B$5000,1)),"")</f>
        <v/>
      </c>
      <c r="F34" s="9" t="str">
        <f aca="false">IF(OR($B34="",E34=""),"",D34/E34)</f>
        <v/>
      </c>
    </row>
    <row r="35" customFormat="false" ht="15" hidden="false" customHeight="false" outlineLevel="0" collapsed="false">
      <c r="B35" s="35"/>
      <c r="D35" s="31"/>
      <c r="E35" s="33" t="str">
        <f aca="false">IFERROR(INDEX(PTAX!$C$5:$C$5000,MATCH($B35,PTAX!$B$5:$B$5000,1)),"")</f>
        <v/>
      </c>
      <c r="F35" s="9" t="str">
        <f aca="false">IF(OR($B35="",E35=""),"",D35/E35)</f>
        <v/>
      </c>
    </row>
    <row r="36" customFormat="false" ht="15" hidden="false" customHeight="false" outlineLevel="0" collapsed="false">
      <c r="B36" s="35"/>
      <c r="D36" s="31"/>
      <c r="E36" s="33" t="str">
        <f aca="false">IFERROR(INDEX(PTAX!$C$5:$C$5000,MATCH($B36,PTAX!$B$5:$B$5000,1)),"")</f>
        <v/>
      </c>
      <c r="F36" s="9" t="str">
        <f aca="false">IF(OR($B36="",E36=""),"",D36/E36)</f>
        <v/>
      </c>
    </row>
    <row r="37" customFormat="false" ht="15" hidden="false" customHeight="false" outlineLevel="0" collapsed="false">
      <c r="B37" s="35"/>
      <c r="D37" s="31"/>
      <c r="E37" s="33" t="str">
        <f aca="false">IFERROR(INDEX(PTAX!$C$5:$C$5000,MATCH($B37,PTAX!$B$5:$B$5000,1)),"")</f>
        <v/>
      </c>
      <c r="F37" s="9" t="str">
        <f aca="false">IF(OR($B37="",E37=""),"",D37/E37)</f>
        <v/>
      </c>
    </row>
    <row r="38" customFormat="false" ht="15" hidden="false" customHeight="false" outlineLevel="0" collapsed="false">
      <c r="B38" s="35"/>
      <c r="D38" s="31"/>
      <c r="E38" s="33" t="str">
        <f aca="false">IFERROR(INDEX(PTAX!$C$5:$C$5000,MATCH($B38,PTAX!$B$5:$B$5000,1)),"")</f>
        <v/>
      </c>
      <c r="F38" s="9" t="str">
        <f aca="false">IF(OR($B38="",E38=""),"",D38/E38)</f>
        <v/>
      </c>
    </row>
    <row r="39" customFormat="false" ht="15" hidden="false" customHeight="false" outlineLevel="0" collapsed="false">
      <c r="B39" s="35"/>
      <c r="D39" s="31"/>
      <c r="E39" s="33" t="str">
        <f aca="false">IFERROR(INDEX(PTAX!$C$5:$C$5000,MATCH($B39,PTAX!$B$5:$B$5000,1)),"")</f>
        <v/>
      </c>
      <c r="F39" s="9" t="str">
        <f aca="false">IF(OR($B39="",E39=""),"",D39/E39)</f>
        <v/>
      </c>
    </row>
    <row r="40" customFormat="false" ht="15" hidden="false" customHeight="false" outlineLevel="0" collapsed="false">
      <c r="B40" s="35"/>
      <c r="D40" s="31"/>
      <c r="E40" s="33" t="str">
        <f aca="false">IFERROR(INDEX(PTAX!$C$5:$C$5000,MATCH($B40,PTAX!$B$5:$B$5000,1)),"")</f>
        <v/>
      </c>
      <c r="F40" s="9" t="str">
        <f aca="false">IF(OR($B40="",E40=""),"",D40/E40)</f>
        <v/>
      </c>
    </row>
    <row r="41" customFormat="false" ht="15" hidden="false" customHeight="false" outlineLevel="0" collapsed="false">
      <c r="B41" s="35"/>
      <c r="D41" s="31"/>
      <c r="E41" s="33" t="str">
        <f aca="false">IFERROR(INDEX(PTAX!$C$5:$C$5000,MATCH($B41,PTAX!$B$5:$B$5000,1)),"")</f>
        <v/>
      </c>
      <c r="F41" s="9" t="str">
        <f aca="false">IF(OR($B41="",E41=""),"",D41/E41)</f>
        <v/>
      </c>
    </row>
    <row r="42" customFormat="false" ht="15" hidden="false" customHeight="false" outlineLevel="0" collapsed="false">
      <c r="B42" s="35"/>
      <c r="D42" s="31"/>
      <c r="E42" s="33" t="str">
        <f aca="false">IFERROR(INDEX(PTAX!$C$5:$C$5000,MATCH($B42,PTAX!$B$5:$B$5000,1)),"")</f>
        <v/>
      </c>
      <c r="F42" s="9" t="str">
        <f aca="false">IF(OR($B42="",E42=""),"",D42/E42)</f>
        <v/>
      </c>
    </row>
    <row r="43" customFormat="false" ht="15" hidden="false" customHeight="false" outlineLevel="0" collapsed="false">
      <c r="B43" s="35"/>
      <c r="D43" s="31"/>
      <c r="E43" s="33" t="str">
        <f aca="false">IFERROR(INDEX(PTAX!$C$5:$C$5000,MATCH($B43,PTAX!$B$5:$B$5000,1)),"")</f>
        <v/>
      </c>
      <c r="F43" s="9" t="str">
        <f aca="false">IF(OR($B43="",E43=""),"",D43/E43)</f>
        <v/>
      </c>
    </row>
    <row r="44" customFormat="false" ht="15" hidden="false" customHeight="false" outlineLevel="0" collapsed="false">
      <c r="B44" s="35"/>
      <c r="D44" s="31"/>
      <c r="E44" s="33" t="str">
        <f aca="false">IFERROR(INDEX(PTAX!$C$5:$C$5000,MATCH($B44,PTAX!$B$5:$B$5000,1)),"")</f>
        <v/>
      </c>
      <c r="F44" s="9" t="str">
        <f aca="false">IF(OR($B44="",E44=""),"",D44/E44)</f>
        <v/>
      </c>
    </row>
    <row r="45" customFormat="false" ht="15" hidden="false" customHeight="false" outlineLevel="0" collapsed="false">
      <c r="B45" s="35"/>
      <c r="D45" s="31"/>
      <c r="E45" s="33" t="str">
        <f aca="false">IFERROR(INDEX(PTAX!$C$5:$C$5000,MATCH($B45,PTAX!$B$5:$B$5000,1)),"")</f>
        <v/>
      </c>
      <c r="F45" s="9" t="str">
        <f aca="false">IF(OR($B45="",E45=""),"",D45/E45)</f>
        <v/>
      </c>
    </row>
    <row r="46" customFormat="false" ht="15" hidden="false" customHeight="false" outlineLevel="0" collapsed="false">
      <c r="B46" s="35"/>
      <c r="D46" s="31"/>
      <c r="E46" s="33" t="str">
        <f aca="false">IFERROR(INDEX(PTAX!$C$5:$C$5000,MATCH($B46,PTAX!$B$5:$B$5000,1)),"")</f>
        <v/>
      </c>
      <c r="F46" s="9" t="str">
        <f aca="false">IF(OR($B46="",E46=""),"",D46/E46)</f>
        <v/>
      </c>
    </row>
    <row r="47" customFormat="false" ht="15" hidden="false" customHeight="false" outlineLevel="0" collapsed="false">
      <c r="B47" s="35"/>
      <c r="D47" s="31"/>
      <c r="E47" s="33" t="str">
        <f aca="false">IFERROR(INDEX(PTAX!$C$5:$C$5000,MATCH($B47,PTAX!$B$5:$B$5000,1)),"")</f>
        <v/>
      </c>
      <c r="F47" s="9" t="str">
        <f aca="false">IF(OR($B47="",E47=""),"",D47/E47)</f>
        <v/>
      </c>
    </row>
    <row r="48" customFormat="false" ht="15" hidden="false" customHeight="false" outlineLevel="0" collapsed="false">
      <c r="B48" s="35"/>
      <c r="D48" s="31"/>
      <c r="E48" s="33" t="str">
        <f aca="false">IFERROR(INDEX(PTAX!$C$5:$C$5000,MATCH($B48,PTAX!$B$5:$B$5000,1)),"")</f>
        <v/>
      </c>
      <c r="F48" s="9" t="str">
        <f aca="false">IF(OR($B48="",E48=""),"",D48/E48)</f>
        <v/>
      </c>
    </row>
    <row r="49" customFormat="false" ht="15" hidden="false" customHeight="false" outlineLevel="0" collapsed="false">
      <c r="B49" s="35"/>
      <c r="D49" s="31"/>
      <c r="E49" s="33" t="str">
        <f aca="false">IFERROR(INDEX(PTAX!$C$5:$C$5000,MATCH($B49,PTAX!$B$5:$B$5000,1)),"")</f>
        <v/>
      </c>
      <c r="F49" s="9" t="str">
        <f aca="false">IF(OR($B49="",E49=""),"",D49/E49)</f>
        <v/>
      </c>
    </row>
    <row r="50" customFormat="false" ht="15" hidden="false" customHeight="false" outlineLevel="0" collapsed="false">
      <c r="B50" s="35"/>
      <c r="D50" s="31"/>
      <c r="E50" s="33" t="str">
        <f aca="false">IFERROR(INDEX(PTAX!$C$5:$C$5000,MATCH($B50,PTAX!$B$5:$B$5000,1)),"")</f>
        <v/>
      </c>
      <c r="F50" s="9" t="str">
        <f aca="false">IF(OR($B50="",E50=""),"",D50/E50)</f>
        <v/>
      </c>
    </row>
    <row r="51" customFormat="false" ht="15" hidden="false" customHeight="false" outlineLevel="0" collapsed="false">
      <c r="B51" s="35"/>
      <c r="D51" s="31"/>
      <c r="E51" s="33" t="str">
        <f aca="false">IFERROR(INDEX(PTAX!$C$5:$C$5000,MATCH($B51,PTAX!$B$5:$B$5000,1)),"")</f>
        <v/>
      </c>
      <c r="F51" s="9" t="str">
        <f aca="false">IF(OR($B51="",E51=""),"",D51/E51)</f>
        <v/>
      </c>
    </row>
    <row r="52" customFormat="false" ht="15" hidden="false" customHeight="false" outlineLevel="0" collapsed="false">
      <c r="B52" s="35"/>
      <c r="D52" s="31"/>
      <c r="E52" s="33" t="str">
        <f aca="false">IFERROR(INDEX(PTAX!$C$5:$C$5000,MATCH($B52,PTAX!$B$5:$B$5000,1)),"")</f>
        <v/>
      </c>
      <c r="F52" s="9" t="str">
        <f aca="false">IF(OR($B52="",E52=""),"",D52/E52)</f>
        <v/>
      </c>
    </row>
    <row r="53" customFormat="false" ht="15" hidden="false" customHeight="false" outlineLevel="0" collapsed="false">
      <c r="B53" s="35"/>
      <c r="D53" s="31"/>
      <c r="E53" s="33" t="str">
        <f aca="false">IFERROR(INDEX(PTAX!$C$5:$C$5000,MATCH($B53,PTAX!$B$5:$B$5000,1)),"")</f>
        <v/>
      </c>
      <c r="F53" s="9" t="str">
        <f aca="false">IF(OR($B53="",E53=""),"",D53/E53)</f>
        <v/>
      </c>
    </row>
    <row r="54" customFormat="false" ht="15" hidden="false" customHeight="false" outlineLevel="0" collapsed="false">
      <c r="B54" s="35"/>
      <c r="D54" s="31"/>
      <c r="E54" s="33" t="str">
        <f aca="false">IFERROR(INDEX(PTAX!$C$5:$C$5000,MATCH($B54,PTAX!$B$5:$B$5000,1)),"")</f>
        <v/>
      </c>
      <c r="F54" s="9" t="str">
        <f aca="false">IF(OR($B54="",E54=""),"",D54/E54)</f>
        <v/>
      </c>
    </row>
    <row r="55" customFormat="false" ht="15" hidden="false" customHeight="false" outlineLevel="0" collapsed="false">
      <c r="B55" s="35"/>
      <c r="D55" s="31"/>
      <c r="E55" s="33" t="str">
        <f aca="false">IFERROR(INDEX(PTAX!$C$5:$C$5000,MATCH($B55,PTAX!$B$5:$B$5000,1)),"")</f>
        <v/>
      </c>
      <c r="F55" s="9" t="str">
        <f aca="false">IF(OR($B55="",E55=""),"",D55/E55)</f>
        <v/>
      </c>
    </row>
    <row r="56" customFormat="false" ht="15" hidden="false" customHeight="false" outlineLevel="0" collapsed="false">
      <c r="B56" s="35"/>
      <c r="D56" s="31"/>
      <c r="E56" s="33" t="str">
        <f aca="false">IFERROR(INDEX(PTAX!$C$5:$C$5000,MATCH($B56,PTAX!$B$5:$B$5000,1)),"")</f>
        <v/>
      </c>
      <c r="F56" s="9" t="str">
        <f aca="false">IF(OR($B56="",E56=""),"",D56/E56)</f>
        <v/>
      </c>
    </row>
    <row r="57" customFormat="false" ht="15" hidden="false" customHeight="false" outlineLevel="0" collapsed="false">
      <c r="B57" s="35"/>
      <c r="D57" s="31"/>
      <c r="E57" s="33" t="str">
        <f aca="false">IFERROR(INDEX(PTAX!$C$5:$C$5000,MATCH($B57,PTAX!$B$5:$B$5000,1)),"")</f>
        <v/>
      </c>
      <c r="F57" s="9" t="str">
        <f aca="false">IF(OR($B57="",E57=""),"",D57/E57)</f>
        <v/>
      </c>
    </row>
    <row r="58" customFormat="false" ht="15" hidden="false" customHeight="false" outlineLevel="0" collapsed="false">
      <c r="B58" s="35"/>
      <c r="D58" s="31"/>
      <c r="E58" s="33" t="str">
        <f aca="false">IFERROR(INDEX(PTAX!$C$5:$C$5000,MATCH($B58,PTAX!$B$5:$B$5000,1)),"")</f>
        <v/>
      </c>
      <c r="F58" s="9" t="str">
        <f aca="false">IF(OR($B58="",E58=""),"",D58/E58)</f>
        <v/>
      </c>
    </row>
    <row r="59" customFormat="false" ht="15" hidden="false" customHeight="false" outlineLevel="0" collapsed="false">
      <c r="B59" s="35"/>
      <c r="D59" s="31"/>
      <c r="E59" s="33" t="str">
        <f aca="false">IFERROR(INDEX(PTAX!$C$5:$C$5000,MATCH($B59,PTAX!$B$5:$B$5000,1)),"")</f>
        <v/>
      </c>
      <c r="F59" s="9" t="str">
        <f aca="false">IF(OR($B59="",E59=""),"",D59/E59)</f>
        <v/>
      </c>
    </row>
    <row r="60" customFormat="false" ht="15" hidden="false" customHeight="false" outlineLevel="0" collapsed="false">
      <c r="B60" s="35"/>
      <c r="D60" s="31"/>
      <c r="E60" s="33" t="str">
        <f aca="false">IFERROR(INDEX(PTAX!$C$5:$C$5000,MATCH($B60,PTAX!$B$5:$B$5000,1)),"")</f>
        <v/>
      </c>
      <c r="F60" s="9" t="str">
        <f aca="false">IF(OR($B60="",E60=""),"",D60/E60)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6" min="4" style="1" width="14"/>
  </cols>
  <sheetData>
    <row r="2" customFormat="false" ht="15" hidden="false" customHeight="false" outlineLevel="0" collapsed="false">
      <c r="B2" s="4" t="s">
        <v>67</v>
      </c>
      <c r="C2" s="4" t="s">
        <v>12</v>
      </c>
      <c r="D2" s="4" t="s">
        <v>81</v>
      </c>
      <c r="E2" s="4" t="s">
        <v>73</v>
      </c>
      <c r="F2" s="4" t="s">
        <v>82</v>
      </c>
      <c r="H2" s="3" t="s">
        <v>85</v>
      </c>
    </row>
    <row r="3" customFormat="false" ht="15" hidden="false" customHeight="false" outlineLevel="0" collapsed="false">
      <c r="B3" s="35"/>
      <c r="D3" s="31"/>
      <c r="E3" s="33" t="str">
        <f aca="false">IFERROR(INDEX(PTAX!$C$5:$C$5000,MATCH($B3,PTAX!$B$5:$B$5000,1)),"")</f>
        <v/>
      </c>
      <c r="F3" s="9" t="str">
        <f aca="false">IF(OR($B3="",E3=""),"",D3/E3)</f>
        <v/>
      </c>
    </row>
    <row r="4" customFormat="false" ht="15" hidden="false" customHeight="false" outlineLevel="0" collapsed="false">
      <c r="B4" s="35"/>
      <c r="D4" s="31"/>
      <c r="E4" s="33" t="str">
        <f aca="false">IFERROR(INDEX(PTAX!$C$5:$C$5000,MATCH($B4,PTAX!$B$5:$B$5000,1)),"")</f>
        <v/>
      </c>
      <c r="F4" s="9" t="str">
        <f aca="false">IF(OR($B4="",E4=""),"",D4/E4)</f>
        <v/>
      </c>
    </row>
    <row r="5" customFormat="false" ht="15" hidden="false" customHeight="false" outlineLevel="0" collapsed="false">
      <c r="B5" s="35"/>
      <c r="D5" s="31"/>
      <c r="E5" s="33" t="str">
        <f aca="false">IFERROR(INDEX(PTAX!$C$5:$C$5000,MATCH($B5,PTAX!$B$5:$B$5000,1)),"")</f>
        <v/>
      </c>
      <c r="F5" s="9" t="str">
        <f aca="false">IF(OR($B5="",E5=""),"",D5/E5)</f>
        <v/>
      </c>
    </row>
    <row r="6" customFormat="false" ht="15" hidden="false" customHeight="false" outlineLevel="0" collapsed="false">
      <c r="B6" s="35"/>
      <c r="D6" s="31"/>
      <c r="E6" s="33" t="str">
        <f aca="false">IFERROR(INDEX(PTAX!$C$5:$C$5000,MATCH($B6,PTAX!$B$5:$B$5000,1)),"")</f>
        <v/>
      </c>
      <c r="F6" s="9" t="str">
        <f aca="false">IF(OR($B6="",E6=""),"",D6/E6)</f>
        <v/>
      </c>
    </row>
    <row r="7" customFormat="false" ht="15" hidden="false" customHeight="false" outlineLevel="0" collapsed="false">
      <c r="B7" s="35"/>
      <c r="D7" s="31"/>
      <c r="E7" s="33" t="str">
        <f aca="false">IFERROR(INDEX(PTAX!$C$5:$C$5000,MATCH($B7,PTAX!$B$5:$B$5000,1)),"")</f>
        <v/>
      </c>
      <c r="F7" s="9" t="str">
        <f aca="false">IF(OR($B7="",E7=""),"",D7/E7)</f>
        <v/>
      </c>
    </row>
    <row r="8" customFormat="false" ht="15" hidden="false" customHeight="false" outlineLevel="0" collapsed="false">
      <c r="B8" s="35"/>
      <c r="D8" s="31"/>
      <c r="E8" s="33" t="str">
        <f aca="false">IFERROR(INDEX(PTAX!$C$5:$C$5000,MATCH($B8,PTAX!$B$5:$B$5000,1)),"")</f>
        <v/>
      </c>
      <c r="F8" s="9" t="str">
        <f aca="false">IF(OR($B8="",E8=""),"",D8/E8)</f>
        <v/>
      </c>
    </row>
    <row r="9" customFormat="false" ht="15" hidden="false" customHeight="false" outlineLevel="0" collapsed="false">
      <c r="B9" s="35"/>
      <c r="D9" s="31"/>
      <c r="E9" s="33" t="str">
        <f aca="false">IFERROR(INDEX(PTAX!$C$5:$C$5000,MATCH($B9,PTAX!$B$5:$B$5000,1)),"")</f>
        <v/>
      </c>
      <c r="F9" s="9" t="str">
        <f aca="false">IF(OR($B9="",E9=""),"",D9/E9)</f>
        <v/>
      </c>
    </row>
    <row r="10" customFormat="false" ht="15" hidden="false" customHeight="false" outlineLevel="0" collapsed="false">
      <c r="B10" s="35"/>
      <c r="D10" s="31"/>
      <c r="E10" s="33" t="str">
        <f aca="false">IFERROR(INDEX(PTAX!$C$5:$C$5000,MATCH($B10,PTAX!$B$5:$B$5000,1)),"")</f>
        <v/>
      </c>
      <c r="F10" s="9" t="str">
        <f aca="false">IF(OR($B10="",E10=""),"",D10/E10)</f>
        <v/>
      </c>
    </row>
    <row r="11" customFormat="false" ht="15" hidden="false" customHeight="false" outlineLevel="0" collapsed="false">
      <c r="B11" s="35"/>
      <c r="D11" s="31"/>
      <c r="E11" s="33" t="str">
        <f aca="false">IFERROR(INDEX(PTAX!$C$5:$C$5000,MATCH($B11,PTAX!$B$5:$B$5000,1)),"")</f>
        <v/>
      </c>
      <c r="F11" s="9" t="str">
        <f aca="false">IF(OR($B11="",E11=""),"",D11/E11)</f>
        <v/>
      </c>
    </row>
    <row r="12" customFormat="false" ht="15" hidden="false" customHeight="false" outlineLevel="0" collapsed="false">
      <c r="B12" s="35"/>
      <c r="D12" s="31"/>
      <c r="E12" s="33" t="str">
        <f aca="false">IFERROR(INDEX(PTAX!$C$5:$C$5000,MATCH($B12,PTAX!$B$5:$B$5000,1)),"")</f>
        <v/>
      </c>
      <c r="F12" s="9" t="str">
        <f aca="false">IF(OR($B12="",E12=""),"",D12/E12)</f>
        <v/>
      </c>
    </row>
    <row r="13" customFormat="false" ht="15" hidden="false" customHeight="false" outlineLevel="0" collapsed="false">
      <c r="B13" s="35"/>
      <c r="D13" s="31"/>
      <c r="E13" s="33" t="str">
        <f aca="false">IFERROR(INDEX(PTAX!$C$5:$C$5000,MATCH($B13,PTAX!$B$5:$B$5000,1)),"")</f>
        <v/>
      </c>
      <c r="F13" s="9" t="str">
        <f aca="false">IF(OR($B13="",E13=""),"",D13/E13)</f>
        <v/>
      </c>
    </row>
    <row r="14" customFormat="false" ht="15" hidden="false" customHeight="false" outlineLevel="0" collapsed="false">
      <c r="B14" s="35"/>
      <c r="D14" s="31"/>
      <c r="E14" s="33" t="str">
        <f aca="false">IFERROR(INDEX(PTAX!$C$5:$C$5000,MATCH($B14,PTAX!$B$5:$B$5000,1)),"")</f>
        <v/>
      </c>
      <c r="F14" s="9" t="str">
        <f aca="false">IF(OR($B14="",E14=""),"",D14/E14)</f>
        <v/>
      </c>
    </row>
    <row r="15" customFormat="false" ht="15" hidden="false" customHeight="false" outlineLevel="0" collapsed="false">
      <c r="B15" s="35"/>
      <c r="D15" s="31"/>
      <c r="E15" s="33" t="str">
        <f aca="false">IFERROR(INDEX(PTAX!$C$5:$C$5000,MATCH($B15,PTAX!$B$5:$B$5000,1)),"")</f>
        <v/>
      </c>
      <c r="F15" s="9" t="str">
        <f aca="false">IF(OR($B15="",E15=""),"",D15/E15)</f>
        <v/>
      </c>
    </row>
    <row r="16" customFormat="false" ht="15" hidden="false" customHeight="false" outlineLevel="0" collapsed="false">
      <c r="B16" s="35"/>
      <c r="D16" s="31"/>
      <c r="E16" s="33" t="str">
        <f aca="false">IFERROR(INDEX(PTAX!$C$5:$C$5000,MATCH($B16,PTAX!$B$5:$B$5000,1)),"")</f>
        <v/>
      </c>
      <c r="F16" s="9" t="str">
        <f aca="false">IF(OR($B16="",E16=""),"",D16/E16)</f>
        <v/>
      </c>
    </row>
    <row r="17" customFormat="false" ht="15" hidden="false" customHeight="false" outlineLevel="0" collapsed="false">
      <c r="B17" s="35"/>
      <c r="D17" s="31"/>
      <c r="E17" s="33" t="str">
        <f aca="false">IFERROR(INDEX(PTAX!$C$5:$C$5000,MATCH($B17,PTAX!$B$5:$B$5000,1)),"")</f>
        <v/>
      </c>
      <c r="F17" s="9" t="str">
        <f aca="false">IF(OR($B17="",E17=""),"",D17/E17)</f>
        <v/>
      </c>
    </row>
    <row r="18" customFormat="false" ht="15" hidden="false" customHeight="false" outlineLevel="0" collapsed="false">
      <c r="B18" s="35"/>
      <c r="D18" s="31"/>
      <c r="E18" s="33" t="str">
        <f aca="false">IFERROR(INDEX(PTAX!$C$5:$C$5000,MATCH($B18,PTAX!$B$5:$B$5000,1)),"")</f>
        <v/>
      </c>
      <c r="F18" s="9" t="str">
        <f aca="false">IF(OR($B18="",E18=""),"",D18/E18)</f>
        <v/>
      </c>
    </row>
    <row r="19" customFormat="false" ht="15" hidden="false" customHeight="false" outlineLevel="0" collapsed="false">
      <c r="B19" s="35"/>
      <c r="D19" s="31"/>
      <c r="E19" s="33" t="str">
        <f aca="false">IFERROR(INDEX(PTAX!$C$5:$C$5000,MATCH($B19,PTAX!$B$5:$B$5000,1)),"")</f>
        <v/>
      </c>
      <c r="F19" s="9" t="str">
        <f aca="false">IF(OR($B19="",E19=""),"",D19/E19)</f>
        <v/>
      </c>
    </row>
    <row r="20" customFormat="false" ht="15" hidden="false" customHeight="false" outlineLevel="0" collapsed="false">
      <c r="B20" s="35"/>
      <c r="D20" s="31"/>
      <c r="E20" s="33" t="str">
        <f aca="false">IFERROR(INDEX(PTAX!$C$5:$C$5000,MATCH($B20,PTAX!$B$5:$B$5000,1)),"")</f>
        <v/>
      </c>
      <c r="F20" s="9" t="str">
        <f aca="false">IF(OR($B20="",E20=""),"",D20/E20)</f>
        <v/>
      </c>
    </row>
    <row r="21" customFormat="false" ht="15" hidden="false" customHeight="false" outlineLevel="0" collapsed="false">
      <c r="B21" s="35"/>
      <c r="D21" s="31"/>
      <c r="E21" s="33" t="str">
        <f aca="false">IFERROR(INDEX(PTAX!$C$5:$C$5000,MATCH($B21,PTAX!$B$5:$B$5000,1)),"")</f>
        <v/>
      </c>
      <c r="F21" s="9" t="str">
        <f aca="false">IF(OR($B21="",E21=""),"",D21/E21)</f>
        <v/>
      </c>
    </row>
    <row r="22" customFormat="false" ht="15" hidden="false" customHeight="false" outlineLevel="0" collapsed="false">
      <c r="B22" s="35"/>
      <c r="D22" s="31"/>
      <c r="E22" s="33" t="str">
        <f aca="false">IFERROR(INDEX(PTAX!$C$5:$C$5000,MATCH($B22,PTAX!$B$5:$B$5000,1)),"")</f>
        <v/>
      </c>
      <c r="F22" s="9" t="str">
        <f aca="false">IF(OR($B22="",E22=""),"",D22/E22)</f>
        <v/>
      </c>
    </row>
    <row r="23" customFormat="false" ht="15" hidden="false" customHeight="false" outlineLevel="0" collapsed="false">
      <c r="B23" s="35"/>
      <c r="D23" s="31"/>
      <c r="E23" s="33" t="str">
        <f aca="false">IFERROR(INDEX(PTAX!$C$5:$C$5000,MATCH($B23,PTAX!$B$5:$B$5000,1)),"")</f>
        <v/>
      </c>
      <c r="F23" s="9" t="str">
        <f aca="false">IF(OR($B23="",E23=""),"",D23/E23)</f>
        <v/>
      </c>
    </row>
    <row r="24" customFormat="false" ht="15" hidden="false" customHeight="false" outlineLevel="0" collapsed="false">
      <c r="B24" s="35"/>
      <c r="D24" s="31"/>
      <c r="E24" s="33" t="str">
        <f aca="false">IFERROR(INDEX(PTAX!$C$5:$C$5000,MATCH($B24,PTAX!$B$5:$B$5000,1)),"")</f>
        <v/>
      </c>
      <c r="F24" s="9" t="str">
        <f aca="false">IF(OR($B24="",E24=""),"",D24/E24)</f>
        <v/>
      </c>
    </row>
    <row r="25" customFormat="false" ht="15" hidden="false" customHeight="false" outlineLevel="0" collapsed="false">
      <c r="B25" s="35"/>
      <c r="D25" s="31"/>
      <c r="E25" s="33" t="str">
        <f aca="false">IFERROR(INDEX(PTAX!$C$5:$C$5000,MATCH($B25,PTAX!$B$5:$B$5000,1)),"")</f>
        <v/>
      </c>
      <c r="F25" s="9" t="str">
        <f aca="false">IF(OR($B25="",E25=""),"",D25/E25)</f>
        <v/>
      </c>
    </row>
    <row r="26" customFormat="false" ht="15" hidden="false" customHeight="false" outlineLevel="0" collapsed="false">
      <c r="B26" s="35"/>
      <c r="D26" s="31"/>
      <c r="E26" s="33" t="str">
        <f aca="false">IFERROR(INDEX(PTAX!$C$5:$C$5000,MATCH($B26,PTAX!$B$5:$B$5000,1)),"")</f>
        <v/>
      </c>
      <c r="F26" s="9" t="str">
        <f aca="false">IF(OR($B26="",E26=""),"",D26/E26)</f>
        <v/>
      </c>
    </row>
    <row r="27" customFormat="false" ht="15" hidden="false" customHeight="false" outlineLevel="0" collapsed="false">
      <c r="B27" s="35"/>
      <c r="D27" s="31"/>
      <c r="E27" s="33" t="str">
        <f aca="false">IFERROR(INDEX(PTAX!$C$5:$C$5000,MATCH($B27,PTAX!$B$5:$B$5000,1)),"")</f>
        <v/>
      </c>
      <c r="F27" s="9" t="str">
        <f aca="false">IF(OR($B27="",E27=""),"",D27/E27)</f>
        <v/>
      </c>
    </row>
    <row r="28" customFormat="false" ht="15" hidden="false" customHeight="false" outlineLevel="0" collapsed="false">
      <c r="B28" s="35"/>
      <c r="D28" s="31"/>
      <c r="E28" s="33" t="str">
        <f aca="false">IFERROR(INDEX(PTAX!$C$5:$C$5000,MATCH($B28,PTAX!$B$5:$B$5000,1)),"")</f>
        <v/>
      </c>
      <c r="F28" s="9" t="str">
        <f aca="false">IF(OR($B28="",E28=""),"",D28/E28)</f>
        <v/>
      </c>
    </row>
    <row r="29" customFormat="false" ht="15" hidden="false" customHeight="false" outlineLevel="0" collapsed="false">
      <c r="B29" s="35"/>
      <c r="D29" s="31"/>
      <c r="E29" s="33" t="str">
        <f aca="false">IFERROR(INDEX(PTAX!$C$5:$C$5000,MATCH($B29,PTAX!$B$5:$B$5000,1)),"")</f>
        <v/>
      </c>
      <c r="F29" s="9" t="str">
        <f aca="false">IF(OR($B29="",E29=""),"",D29/E29)</f>
        <v/>
      </c>
    </row>
    <row r="30" customFormat="false" ht="15" hidden="false" customHeight="false" outlineLevel="0" collapsed="false">
      <c r="B30" s="35"/>
      <c r="D30" s="31"/>
      <c r="E30" s="33" t="str">
        <f aca="false">IFERROR(INDEX(PTAX!$C$5:$C$5000,MATCH($B30,PTAX!$B$5:$B$5000,1)),"")</f>
        <v/>
      </c>
      <c r="F30" s="9" t="str">
        <f aca="false">IF(OR($B30="",E30=""),"",D30/E30)</f>
        <v/>
      </c>
    </row>
    <row r="31" customFormat="false" ht="15" hidden="false" customHeight="false" outlineLevel="0" collapsed="false">
      <c r="B31" s="35"/>
      <c r="D31" s="31"/>
      <c r="E31" s="33" t="str">
        <f aca="false">IFERROR(INDEX(PTAX!$C$5:$C$5000,MATCH($B31,PTAX!$B$5:$B$5000,1)),"")</f>
        <v/>
      </c>
      <c r="F31" s="9" t="str">
        <f aca="false">IF(OR($B31="",E31=""),"",D31/E31)</f>
        <v/>
      </c>
    </row>
    <row r="32" customFormat="false" ht="15" hidden="false" customHeight="false" outlineLevel="0" collapsed="false">
      <c r="B32" s="35"/>
      <c r="D32" s="31"/>
      <c r="E32" s="33" t="str">
        <f aca="false">IFERROR(INDEX(PTAX!$C$5:$C$5000,MATCH($B32,PTAX!$B$5:$B$5000,1)),"")</f>
        <v/>
      </c>
      <c r="F32" s="9" t="str">
        <f aca="false">IF(OR($B32="",E32=""),"",D32/E32)</f>
        <v/>
      </c>
    </row>
    <row r="33" customFormat="false" ht="15" hidden="false" customHeight="false" outlineLevel="0" collapsed="false">
      <c r="B33" s="35"/>
      <c r="D33" s="31"/>
      <c r="E33" s="33" t="str">
        <f aca="false">IFERROR(INDEX(PTAX!$C$5:$C$5000,MATCH($B33,PTAX!$B$5:$B$5000,1)),"")</f>
        <v/>
      </c>
      <c r="F33" s="9" t="str">
        <f aca="false">IF(OR($B33="",E33=""),"",D33/E33)</f>
        <v/>
      </c>
    </row>
    <row r="34" customFormat="false" ht="15" hidden="false" customHeight="false" outlineLevel="0" collapsed="false">
      <c r="B34" s="35"/>
      <c r="D34" s="31"/>
      <c r="E34" s="33" t="str">
        <f aca="false">IFERROR(INDEX(PTAX!$C$5:$C$5000,MATCH($B34,PTAX!$B$5:$B$5000,1)),"")</f>
        <v/>
      </c>
      <c r="F34" s="9" t="str">
        <f aca="false">IF(OR($B34="",E34=""),"",D34/E34)</f>
        <v/>
      </c>
    </row>
    <row r="35" customFormat="false" ht="15" hidden="false" customHeight="false" outlineLevel="0" collapsed="false">
      <c r="B35" s="35"/>
      <c r="D35" s="31"/>
      <c r="E35" s="33" t="str">
        <f aca="false">IFERROR(INDEX(PTAX!$C$5:$C$5000,MATCH($B35,PTAX!$B$5:$B$5000,1)),"")</f>
        <v/>
      </c>
      <c r="F35" s="9" t="str">
        <f aca="false">IF(OR($B35="",E35=""),"",D35/E35)</f>
        <v/>
      </c>
    </row>
    <row r="36" customFormat="false" ht="15" hidden="false" customHeight="false" outlineLevel="0" collapsed="false">
      <c r="B36" s="35"/>
      <c r="D36" s="31"/>
      <c r="E36" s="33" t="str">
        <f aca="false">IFERROR(INDEX(PTAX!$C$5:$C$5000,MATCH($B36,PTAX!$B$5:$B$5000,1)),"")</f>
        <v/>
      </c>
      <c r="F36" s="9" t="str">
        <f aca="false">IF(OR($B36="",E36=""),"",D36/E36)</f>
        <v/>
      </c>
    </row>
    <row r="37" customFormat="false" ht="15" hidden="false" customHeight="false" outlineLevel="0" collapsed="false">
      <c r="B37" s="35"/>
      <c r="D37" s="31"/>
      <c r="E37" s="33" t="str">
        <f aca="false">IFERROR(INDEX(PTAX!$C$5:$C$5000,MATCH($B37,PTAX!$B$5:$B$5000,1)),"")</f>
        <v/>
      </c>
      <c r="F37" s="9" t="str">
        <f aca="false">IF(OR($B37="",E37=""),"",D37/E37)</f>
        <v/>
      </c>
    </row>
    <row r="38" customFormat="false" ht="15" hidden="false" customHeight="false" outlineLevel="0" collapsed="false">
      <c r="B38" s="35"/>
      <c r="D38" s="31"/>
      <c r="E38" s="33" t="str">
        <f aca="false">IFERROR(INDEX(PTAX!$C$5:$C$5000,MATCH($B38,PTAX!$B$5:$B$5000,1)),"")</f>
        <v/>
      </c>
      <c r="F38" s="9" t="str">
        <f aca="false">IF(OR($B38="",E38=""),"",D38/E38)</f>
        <v/>
      </c>
    </row>
    <row r="39" customFormat="false" ht="15" hidden="false" customHeight="false" outlineLevel="0" collapsed="false">
      <c r="B39" s="35"/>
      <c r="D39" s="31"/>
      <c r="E39" s="33" t="str">
        <f aca="false">IFERROR(INDEX(PTAX!$C$5:$C$5000,MATCH($B39,PTAX!$B$5:$B$5000,1)),"")</f>
        <v/>
      </c>
      <c r="F39" s="9" t="str">
        <f aca="false">IF(OR($B39="",E39=""),"",D39/E39)</f>
        <v/>
      </c>
    </row>
    <row r="40" customFormat="false" ht="15" hidden="false" customHeight="false" outlineLevel="0" collapsed="false">
      <c r="B40" s="35"/>
      <c r="D40" s="31"/>
      <c r="E40" s="33" t="str">
        <f aca="false">IFERROR(INDEX(PTAX!$C$5:$C$5000,MATCH($B40,PTAX!$B$5:$B$5000,1)),"")</f>
        <v/>
      </c>
      <c r="F40" s="9" t="str">
        <f aca="false">IF(OR($B40="",E40=""),"",D40/E40)</f>
        <v/>
      </c>
    </row>
    <row r="41" customFormat="false" ht="15" hidden="false" customHeight="false" outlineLevel="0" collapsed="false">
      <c r="B41" s="35"/>
      <c r="D41" s="31"/>
      <c r="E41" s="33" t="str">
        <f aca="false">IFERROR(INDEX(PTAX!$C$5:$C$5000,MATCH($B41,PTAX!$B$5:$B$5000,1)),"")</f>
        <v/>
      </c>
      <c r="F41" s="9" t="str">
        <f aca="false">IF(OR($B41="",E41=""),"",D41/E41)</f>
        <v/>
      </c>
    </row>
    <row r="42" customFormat="false" ht="15" hidden="false" customHeight="false" outlineLevel="0" collapsed="false">
      <c r="B42" s="35"/>
      <c r="D42" s="31"/>
      <c r="E42" s="33" t="str">
        <f aca="false">IFERROR(INDEX(PTAX!$C$5:$C$5000,MATCH($B42,PTAX!$B$5:$B$5000,1)),"")</f>
        <v/>
      </c>
      <c r="F42" s="9" t="str">
        <f aca="false">IF(OR($B42="",E42=""),"",D42/E42)</f>
        <v/>
      </c>
    </row>
    <row r="43" customFormat="false" ht="15" hidden="false" customHeight="false" outlineLevel="0" collapsed="false">
      <c r="B43" s="35"/>
      <c r="D43" s="31"/>
      <c r="E43" s="33" t="str">
        <f aca="false">IFERROR(INDEX(PTAX!$C$5:$C$5000,MATCH($B43,PTAX!$B$5:$B$5000,1)),"")</f>
        <v/>
      </c>
      <c r="F43" s="9" t="str">
        <f aca="false">IF(OR($B43="",E43=""),"",D43/E43)</f>
        <v/>
      </c>
    </row>
    <row r="44" customFormat="false" ht="15" hidden="false" customHeight="false" outlineLevel="0" collapsed="false">
      <c r="B44" s="35"/>
      <c r="D44" s="31"/>
      <c r="E44" s="33" t="str">
        <f aca="false">IFERROR(INDEX(PTAX!$C$5:$C$5000,MATCH($B44,PTAX!$B$5:$B$5000,1)),"")</f>
        <v/>
      </c>
      <c r="F44" s="9" t="str">
        <f aca="false">IF(OR($B44="",E44=""),"",D44/E44)</f>
        <v/>
      </c>
    </row>
    <row r="45" customFormat="false" ht="15" hidden="false" customHeight="false" outlineLevel="0" collapsed="false">
      <c r="B45" s="35"/>
      <c r="D45" s="31"/>
      <c r="E45" s="33" t="str">
        <f aca="false">IFERROR(INDEX(PTAX!$C$5:$C$5000,MATCH($B45,PTAX!$B$5:$B$5000,1)),"")</f>
        <v/>
      </c>
      <c r="F45" s="9" t="str">
        <f aca="false">IF(OR($B45="",E45=""),"",D45/E45)</f>
        <v/>
      </c>
    </row>
    <row r="46" customFormat="false" ht="15" hidden="false" customHeight="false" outlineLevel="0" collapsed="false">
      <c r="B46" s="35"/>
      <c r="D46" s="31"/>
      <c r="E46" s="33" t="str">
        <f aca="false">IFERROR(INDEX(PTAX!$C$5:$C$5000,MATCH($B46,PTAX!$B$5:$B$5000,1)),"")</f>
        <v/>
      </c>
      <c r="F46" s="9" t="str">
        <f aca="false">IF(OR($B46="",E46=""),"",D46/E46)</f>
        <v/>
      </c>
    </row>
    <row r="47" customFormat="false" ht="15" hidden="false" customHeight="false" outlineLevel="0" collapsed="false">
      <c r="B47" s="35"/>
      <c r="D47" s="31"/>
      <c r="E47" s="33" t="str">
        <f aca="false">IFERROR(INDEX(PTAX!$C$5:$C$5000,MATCH($B47,PTAX!$B$5:$B$5000,1)),"")</f>
        <v/>
      </c>
      <c r="F47" s="9" t="str">
        <f aca="false">IF(OR($B47="",E47=""),"",D47/E47)</f>
        <v/>
      </c>
    </row>
    <row r="48" customFormat="false" ht="15" hidden="false" customHeight="false" outlineLevel="0" collapsed="false">
      <c r="B48" s="35"/>
      <c r="D48" s="31"/>
      <c r="E48" s="33" t="str">
        <f aca="false">IFERROR(INDEX(PTAX!$C$5:$C$5000,MATCH($B48,PTAX!$B$5:$B$5000,1)),"")</f>
        <v/>
      </c>
      <c r="F48" s="9" t="str">
        <f aca="false">IF(OR($B48="",E48=""),"",D48/E48)</f>
        <v/>
      </c>
    </row>
    <row r="49" customFormat="false" ht="15" hidden="false" customHeight="false" outlineLevel="0" collapsed="false">
      <c r="B49" s="35"/>
      <c r="D49" s="31"/>
      <c r="E49" s="33" t="str">
        <f aca="false">IFERROR(INDEX(PTAX!$C$5:$C$5000,MATCH($B49,PTAX!$B$5:$B$5000,1)),"")</f>
        <v/>
      </c>
      <c r="F49" s="9" t="str">
        <f aca="false">IF(OR($B49="",E49=""),"",D49/E49)</f>
        <v/>
      </c>
    </row>
    <row r="50" customFormat="false" ht="15" hidden="false" customHeight="false" outlineLevel="0" collapsed="false">
      <c r="B50" s="35"/>
      <c r="D50" s="31"/>
      <c r="E50" s="33" t="str">
        <f aca="false">IFERROR(INDEX(PTAX!$C$5:$C$5000,MATCH($B50,PTAX!$B$5:$B$5000,1)),"")</f>
        <v/>
      </c>
      <c r="F50" s="9" t="str">
        <f aca="false">IF(OR($B50="",E50=""),"",D50/E50)</f>
        <v/>
      </c>
    </row>
    <row r="51" customFormat="false" ht="15" hidden="false" customHeight="false" outlineLevel="0" collapsed="false">
      <c r="B51" s="35"/>
      <c r="D51" s="31"/>
      <c r="E51" s="33" t="str">
        <f aca="false">IFERROR(INDEX(PTAX!$C$5:$C$5000,MATCH($B51,PTAX!$B$5:$B$5000,1)),"")</f>
        <v/>
      </c>
      <c r="F51" s="9" t="str">
        <f aca="false">IF(OR($B51="",E51=""),"",D51/E51)</f>
        <v/>
      </c>
    </row>
    <row r="52" customFormat="false" ht="15" hidden="false" customHeight="false" outlineLevel="0" collapsed="false">
      <c r="B52" s="35"/>
      <c r="D52" s="31"/>
      <c r="E52" s="33" t="str">
        <f aca="false">IFERROR(INDEX(PTAX!$C$5:$C$5000,MATCH($B52,PTAX!$B$5:$B$5000,1)),"")</f>
        <v/>
      </c>
      <c r="F52" s="9" t="str">
        <f aca="false">IF(OR($B52="",E52=""),"",D52/E52)</f>
        <v/>
      </c>
    </row>
    <row r="53" customFormat="false" ht="15" hidden="false" customHeight="false" outlineLevel="0" collapsed="false">
      <c r="B53" s="35"/>
      <c r="D53" s="31"/>
      <c r="E53" s="33" t="str">
        <f aca="false">IFERROR(INDEX(PTAX!$C$5:$C$5000,MATCH($B53,PTAX!$B$5:$B$5000,1)),"")</f>
        <v/>
      </c>
      <c r="F53" s="9" t="str">
        <f aca="false">IF(OR($B53="",E53=""),"",D53/E53)</f>
        <v/>
      </c>
    </row>
    <row r="54" customFormat="false" ht="15" hidden="false" customHeight="false" outlineLevel="0" collapsed="false">
      <c r="B54" s="35"/>
      <c r="D54" s="31"/>
      <c r="E54" s="33" t="str">
        <f aca="false">IFERROR(INDEX(PTAX!$C$5:$C$5000,MATCH($B54,PTAX!$B$5:$B$5000,1)),"")</f>
        <v/>
      </c>
      <c r="F54" s="9" t="str">
        <f aca="false">IF(OR($B54="",E54=""),"",D54/E54)</f>
        <v/>
      </c>
    </row>
    <row r="55" customFormat="false" ht="15" hidden="false" customHeight="false" outlineLevel="0" collapsed="false">
      <c r="B55" s="35"/>
      <c r="D55" s="31"/>
      <c r="E55" s="33" t="str">
        <f aca="false">IFERROR(INDEX(PTAX!$C$5:$C$5000,MATCH($B55,PTAX!$B$5:$B$5000,1)),"")</f>
        <v/>
      </c>
      <c r="F55" s="9" t="str">
        <f aca="false">IF(OR($B55="",E55=""),"",D55/E55)</f>
        <v/>
      </c>
    </row>
    <row r="56" customFormat="false" ht="15" hidden="false" customHeight="false" outlineLevel="0" collapsed="false">
      <c r="B56" s="35"/>
      <c r="D56" s="31"/>
      <c r="E56" s="33" t="str">
        <f aca="false">IFERROR(INDEX(PTAX!$C$5:$C$5000,MATCH($B56,PTAX!$B$5:$B$5000,1)),"")</f>
        <v/>
      </c>
      <c r="F56" s="9" t="str">
        <f aca="false">IF(OR($B56="",E56=""),"",D56/E56)</f>
        <v/>
      </c>
    </row>
    <row r="57" customFormat="false" ht="15" hidden="false" customHeight="false" outlineLevel="0" collapsed="false">
      <c r="B57" s="35"/>
      <c r="D57" s="31"/>
      <c r="E57" s="33" t="str">
        <f aca="false">IFERROR(INDEX(PTAX!$C$5:$C$5000,MATCH($B57,PTAX!$B$5:$B$5000,1)),"")</f>
        <v/>
      </c>
      <c r="F57" s="9" t="str">
        <f aca="false">IF(OR($B57="",E57=""),"",D57/E57)</f>
        <v/>
      </c>
    </row>
    <row r="58" customFormat="false" ht="15" hidden="false" customHeight="false" outlineLevel="0" collapsed="false">
      <c r="B58" s="35"/>
      <c r="D58" s="31"/>
      <c r="E58" s="33" t="str">
        <f aca="false">IFERROR(INDEX(PTAX!$C$5:$C$5000,MATCH($B58,PTAX!$B$5:$B$5000,1)),"")</f>
        <v/>
      </c>
      <c r="F58" s="9" t="str">
        <f aca="false">IF(OR($B58="",E58=""),"",D58/E58)</f>
        <v/>
      </c>
    </row>
    <row r="59" customFormat="false" ht="15" hidden="false" customHeight="false" outlineLevel="0" collapsed="false">
      <c r="B59" s="35"/>
      <c r="D59" s="31"/>
      <c r="E59" s="33" t="str">
        <f aca="false">IFERROR(INDEX(PTAX!$C$5:$C$5000,MATCH($B59,PTAX!$B$5:$B$5000,1)),"")</f>
        <v/>
      </c>
      <c r="F59" s="9" t="str">
        <f aca="false">IF(OR($B59="",E59=""),"",D59/E59)</f>
        <v/>
      </c>
    </row>
    <row r="60" customFormat="false" ht="15" hidden="false" customHeight="false" outlineLevel="0" collapsed="false">
      <c r="B60" s="35"/>
      <c r="D60" s="31"/>
      <c r="E60" s="33" t="str">
        <f aca="false">IFERROR(INDEX(PTAX!$C$5:$C$5000,MATCH($B60,PTAX!$B$5:$B$5000,1)),"")</f>
        <v/>
      </c>
      <c r="F60" s="9" t="str">
        <f aca="false">IF(OR($B60="",E60=""),"",D60/E60)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6" min="4" style="1" width="14"/>
  </cols>
  <sheetData>
    <row r="2" customFormat="false" ht="15" hidden="false" customHeight="false" outlineLevel="0" collapsed="false">
      <c r="B2" s="4" t="s">
        <v>67</v>
      </c>
      <c r="C2" s="4" t="s">
        <v>12</v>
      </c>
      <c r="D2" s="4" t="s">
        <v>81</v>
      </c>
      <c r="E2" s="4" t="s">
        <v>73</v>
      </c>
      <c r="F2" s="4" t="s">
        <v>82</v>
      </c>
      <c r="H2" s="3" t="s">
        <v>86</v>
      </c>
    </row>
    <row r="3" customFormat="false" ht="15" hidden="false" customHeight="false" outlineLevel="0" collapsed="false">
      <c r="B3" s="35"/>
      <c r="D3" s="31"/>
      <c r="E3" s="33" t="str">
        <f aca="false">IFERROR(INDEX(PTAX!$C$5:$C$5000,MATCH($B3,PTAX!$B$5:$B$5000,1)),"")</f>
        <v/>
      </c>
      <c r="F3" s="9" t="str">
        <f aca="false">IF(OR($B3="",E3=""),"",D3/E3)</f>
        <v/>
      </c>
    </row>
    <row r="4" customFormat="false" ht="15" hidden="false" customHeight="false" outlineLevel="0" collapsed="false">
      <c r="B4" s="35"/>
      <c r="D4" s="31"/>
      <c r="E4" s="33" t="str">
        <f aca="false">IFERROR(INDEX(PTAX!$C$5:$C$5000,MATCH($B4,PTAX!$B$5:$B$5000,1)),"")</f>
        <v/>
      </c>
      <c r="F4" s="9" t="str">
        <f aca="false">IF(OR($B4="",E4=""),"",D4/E4)</f>
        <v/>
      </c>
    </row>
    <row r="5" customFormat="false" ht="15" hidden="false" customHeight="false" outlineLevel="0" collapsed="false">
      <c r="B5" s="35"/>
      <c r="D5" s="31"/>
      <c r="E5" s="33" t="str">
        <f aca="false">IFERROR(INDEX(PTAX!$C$5:$C$5000,MATCH($B5,PTAX!$B$5:$B$5000,1)),"")</f>
        <v/>
      </c>
      <c r="F5" s="9" t="str">
        <f aca="false">IF(OR($B5="",E5=""),"",D5/E5)</f>
        <v/>
      </c>
    </row>
    <row r="6" customFormat="false" ht="15" hidden="false" customHeight="false" outlineLevel="0" collapsed="false">
      <c r="B6" s="35"/>
      <c r="D6" s="31"/>
      <c r="E6" s="33" t="str">
        <f aca="false">IFERROR(INDEX(PTAX!$C$5:$C$5000,MATCH($B6,PTAX!$B$5:$B$5000,1)),"")</f>
        <v/>
      </c>
      <c r="F6" s="9" t="str">
        <f aca="false">IF(OR($B6="",E6=""),"",D6/E6)</f>
        <v/>
      </c>
    </row>
    <row r="7" customFormat="false" ht="15" hidden="false" customHeight="false" outlineLevel="0" collapsed="false">
      <c r="B7" s="35"/>
      <c r="D7" s="31"/>
      <c r="E7" s="33" t="str">
        <f aca="false">IFERROR(INDEX(PTAX!$C$5:$C$5000,MATCH($B7,PTAX!$B$5:$B$5000,1)),"")</f>
        <v/>
      </c>
      <c r="F7" s="9" t="str">
        <f aca="false">IF(OR($B7="",E7=""),"",D7/E7)</f>
        <v/>
      </c>
    </row>
    <row r="8" customFormat="false" ht="15" hidden="false" customHeight="false" outlineLevel="0" collapsed="false">
      <c r="B8" s="35"/>
      <c r="D8" s="31"/>
      <c r="E8" s="33" t="str">
        <f aca="false">IFERROR(INDEX(PTAX!$C$5:$C$5000,MATCH($B8,PTAX!$B$5:$B$5000,1)),"")</f>
        <v/>
      </c>
      <c r="F8" s="9" t="str">
        <f aca="false">IF(OR($B8="",E8=""),"",D8/E8)</f>
        <v/>
      </c>
    </row>
    <row r="9" customFormat="false" ht="15" hidden="false" customHeight="false" outlineLevel="0" collapsed="false">
      <c r="B9" s="35"/>
      <c r="D9" s="31"/>
      <c r="E9" s="33" t="str">
        <f aca="false">IFERROR(INDEX(PTAX!$C$5:$C$5000,MATCH($B9,PTAX!$B$5:$B$5000,1)),"")</f>
        <v/>
      </c>
      <c r="F9" s="9" t="str">
        <f aca="false">IF(OR($B9="",E9=""),"",D9/E9)</f>
        <v/>
      </c>
    </row>
    <row r="10" customFormat="false" ht="15" hidden="false" customHeight="false" outlineLevel="0" collapsed="false">
      <c r="B10" s="35"/>
      <c r="D10" s="31"/>
      <c r="E10" s="33" t="str">
        <f aca="false">IFERROR(INDEX(PTAX!$C$5:$C$5000,MATCH($B10,PTAX!$B$5:$B$5000,1)),"")</f>
        <v/>
      </c>
      <c r="F10" s="9" t="str">
        <f aca="false">IF(OR($B10="",E10=""),"",D10/E10)</f>
        <v/>
      </c>
    </row>
    <row r="11" customFormat="false" ht="15" hidden="false" customHeight="false" outlineLevel="0" collapsed="false">
      <c r="B11" s="35"/>
      <c r="D11" s="31"/>
      <c r="E11" s="33" t="str">
        <f aca="false">IFERROR(INDEX(PTAX!$C$5:$C$5000,MATCH($B11,PTAX!$B$5:$B$5000,1)),"")</f>
        <v/>
      </c>
      <c r="F11" s="9" t="str">
        <f aca="false">IF(OR($B11="",E11=""),"",D11/E11)</f>
        <v/>
      </c>
    </row>
    <row r="12" customFormat="false" ht="15" hidden="false" customHeight="false" outlineLevel="0" collapsed="false">
      <c r="B12" s="35"/>
      <c r="D12" s="31"/>
      <c r="E12" s="33" t="str">
        <f aca="false">IFERROR(INDEX(PTAX!$C$5:$C$5000,MATCH($B12,PTAX!$B$5:$B$5000,1)),"")</f>
        <v/>
      </c>
      <c r="F12" s="9" t="str">
        <f aca="false">IF(OR($B12="",E12=""),"",D12/E12)</f>
        <v/>
      </c>
    </row>
    <row r="13" customFormat="false" ht="15" hidden="false" customHeight="false" outlineLevel="0" collapsed="false">
      <c r="B13" s="35"/>
      <c r="D13" s="31"/>
      <c r="E13" s="33" t="str">
        <f aca="false">IFERROR(INDEX(PTAX!$C$5:$C$5000,MATCH($B13,PTAX!$B$5:$B$5000,1)),"")</f>
        <v/>
      </c>
      <c r="F13" s="9" t="str">
        <f aca="false">IF(OR($B13="",E13=""),"",D13/E13)</f>
        <v/>
      </c>
    </row>
    <row r="14" customFormat="false" ht="15" hidden="false" customHeight="false" outlineLevel="0" collapsed="false">
      <c r="B14" s="35"/>
      <c r="D14" s="31"/>
      <c r="E14" s="33" t="str">
        <f aca="false">IFERROR(INDEX(PTAX!$C$5:$C$5000,MATCH($B14,PTAX!$B$5:$B$5000,1)),"")</f>
        <v/>
      </c>
      <c r="F14" s="9" t="str">
        <f aca="false">IF(OR($B14="",E14=""),"",D14/E14)</f>
        <v/>
      </c>
    </row>
    <row r="15" customFormat="false" ht="15" hidden="false" customHeight="false" outlineLevel="0" collapsed="false">
      <c r="B15" s="35"/>
      <c r="D15" s="31"/>
      <c r="E15" s="33" t="str">
        <f aca="false">IFERROR(INDEX(PTAX!$C$5:$C$5000,MATCH($B15,PTAX!$B$5:$B$5000,1)),"")</f>
        <v/>
      </c>
      <c r="F15" s="9" t="str">
        <f aca="false">IF(OR($B15="",E15=""),"",D15/E15)</f>
        <v/>
      </c>
    </row>
    <row r="16" customFormat="false" ht="15" hidden="false" customHeight="false" outlineLevel="0" collapsed="false">
      <c r="B16" s="35"/>
      <c r="D16" s="31"/>
      <c r="E16" s="33" t="str">
        <f aca="false">IFERROR(INDEX(PTAX!$C$5:$C$5000,MATCH($B16,PTAX!$B$5:$B$5000,1)),"")</f>
        <v/>
      </c>
      <c r="F16" s="9" t="str">
        <f aca="false">IF(OR($B16="",E16=""),"",D16/E16)</f>
        <v/>
      </c>
    </row>
    <row r="17" customFormat="false" ht="15" hidden="false" customHeight="false" outlineLevel="0" collapsed="false">
      <c r="B17" s="35"/>
      <c r="D17" s="31"/>
      <c r="E17" s="33" t="str">
        <f aca="false">IFERROR(INDEX(PTAX!$C$5:$C$5000,MATCH($B17,PTAX!$B$5:$B$5000,1)),"")</f>
        <v/>
      </c>
      <c r="F17" s="9" t="str">
        <f aca="false">IF(OR($B17="",E17=""),"",D17/E17)</f>
        <v/>
      </c>
    </row>
    <row r="18" customFormat="false" ht="15" hidden="false" customHeight="false" outlineLevel="0" collapsed="false">
      <c r="B18" s="35"/>
      <c r="D18" s="31"/>
      <c r="E18" s="33" t="str">
        <f aca="false">IFERROR(INDEX(PTAX!$C$5:$C$5000,MATCH($B18,PTAX!$B$5:$B$5000,1)),"")</f>
        <v/>
      </c>
      <c r="F18" s="9" t="str">
        <f aca="false">IF(OR($B18="",E18=""),"",D18/E18)</f>
        <v/>
      </c>
    </row>
    <row r="19" customFormat="false" ht="15" hidden="false" customHeight="false" outlineLevel="0" collapsed="false">
      <c r="B19" s="35"/>
      <c r="D19" s="31"/>
      <c r="E19" s="33" t="str">
        <f aca="false">IFERROR(INDEX(PTAX!$C$5:$C$5000,MATCH($B19,PTAX!$B$5:$B$5000,1)),"")</f>
        <v/>
      </c>
      <c r="F19" s="9" t="str">
        <f aca="false">IF(OR($B19="",E19=""),"",D19/E19)</f>
        <v/>
      </c>
    </row>
    <row r="20" customFormat="false" ht="15" hidden="false" customHeight="false" outlineLevel="0" collapsed="false">
      <c r="B20" s="35"/>
      <c r="D20" s="31"/>
      <c r="E20" s="33" t="str">
        <f aca="false">IFERROR(INDEX(PTAX!$C$5:$C$5000,MATCH($B20,PTAX!$B$5:$B$5000,1)),"")</f>
        <v/>
      </c>
      <c r="F20" s="9" t="str">
        <f aca="false">IF(OR($B20="",E20=""),"",D20/E20)</f>
        <v/>
      </c>
    </row>
    <row r="21" customFormat="false" ht="15" hidden="false" customHeight="false" outlineLevel="0" collapsed="false">
      <c r="B21" s="35"/>
      <c r="D21" s="31"/>
      <c r="E21" s="33" t="str">
        <f aca="false">IFERROR(INDEX(PTAX!$C$5:$C$5000,MATCH($B21,PTAX!$B$5:$B$5000,1)),"")</f>
        <v/>
      </c>
      <c r="F21" s="9" t="str">
        <f aca="false">IF(OR($B21="",E21=""),"",D21/E21)</f>
        <v/>
      </c>
    </row>
    <row r="22" customFormat="false" ht="15" hidden="false" customHeight="false" outlineLevel="0" collapsed="false">
      <c r="B22" s="35"/>
      <c r="D22" s="31"/>
      <c r="E22" s="33" t="str">
        <f aca="false">IFERROR(INDEX(PTAX!$C$5:$C$5000,MATCH($B22,PTAX!$B$5:$B$5000,1)),"")</f>
        <v/>
      </c>
      <c r="F22" s="9" t="str">
        <f aca="false">IF(OR($B22="",E22=""),"",D22/E22)</f>
        <v/>
      </c>
    </row>
    <row r="23" customFormat="false" ht="15" hidden="false" customHeight="false" outlineLevel="0" collapsed="false">
      <c r="B23" s="35"/>
      <c r="D23" s="31"/>
      <c r="E23" s="33" t="str">
        <f aca="false">IFERROR(INDEX(PTAX!$C$5:$C$5000,MATCH($B23,PTAX!$B$5:$B$5000,1)),"")</f>
        <v/>
      </c>
      <c r="F23" s="9" t="str">
        <f aca="false">IF(OR($B23="",E23=""),"",D23/E23)</f>
        <v/>
      </c>
    </row>
    <row r="24" customFormat="false" ht="15" hidden="false" customHeight="false" outlineLevel="0" collapsed="false">
      <c r="B24" s="35"/>
      <c r="D24" s="31"/>
      <c r="E24" s="33" t="str">
        <f aca="false">IFERROR(INDEX(PTAX!$C$5:$C$5000,MATCH($B24,PTAX!$B$5:$B$5000,1)),"")</f>
        <v/>
      </c>
      <c r="F24" s="9" t="str">
        <f aca="false">IF(OR($B24="",E24=""),"",D24/E24)</f>
        <v/>
      </c>
    </row>
    <row r="25" customFormat="false" ht="15" hidden="false" customHeight="false" outlineLevel="0" collapsed="false">
      <c r="B25" s="35"/>
      <c r="D25" s="31"/>
      <c r="E25" s="33" t="str">
        <f aca="false">IFERROR(INDEX(PTAX!$C$5:$C$5000,MATCH($B25,PTAX!$B$5:$B$5000,1)),"")</f>
        <v/>
      </c>
      <c r="F25" s="9" t="str">
        <f aca="false">IF(OR($B25="",E25=""),"",D25/E25)</f>
        <v/>
      </c>
    </row>
    <row r="26" customFormat="false" ht="15" hidden="false" customHeight="false" outlineLevel="0" collapsed="false">
      <c r="B26" s="35"/>
      <c r="D26" s="31"/>
      <c r="E26" s="33" t="str">
        <f aca="false">IFERROR(INDEX(PTAX!$C$5:$C$5000,MATCH($B26,PTAX!$B$5:$B$5000,1)),"")</f>
        <v/>
      </c>
      <c r="F26" s="9" t="str">
        <f aca="false">IF(OR($B26="",E26=""),"",D26/E26)</f>
        <v/>
      </c>
    </row>
    <row r="27" customFormat="false" ht="15" hidden="false" customHeight="false" outlineLevel="0" collapsed="false">
      <c r="B27" s="35"/>
      <c r="D27" s="31"/>
      <c r="E27" s="33" t="str">
        <f aca="false">IFERROR(INDEX(PTAX!$C$5:$C$5000,MATCH($B27,PTAX!$B$5:$B$5000,1)),"")</f>
        <v/>
      </c>
      <c r="F27" s="9" t="str">
        <f aca="false">IF(OR($B27="",E27=""),"",D27/E27)</f>
        <v/>
      </c>
    </row>
    <row r="28" customFormat="false" ht="15" hidden="false" customHeight="false" outlineLevel="0" collapsed="false">
      <c r="B28" s="35"/>
      <c r="D28" s="31"/>
      <c r="E28" s="33" t="str">
        <f aca="false">IFERROR(INDEX(PTAX!$C$5:$C$5000,MATCH($B28,PTAX!$B$5:$B$5000,1)),"")</f>
        <v/>
      </c>
      <c r="F28" s="9" t="str">
        <f aca="false">IF(OR($B28="",E28=""),"",D28/E28)</f>
        <v/>
      </c>
    </row>
    <row r="29" customFormat="false" ht="15" hidden="false" customHeight="false" outlineLevel="0" collapsed="false">
      <c r="B29" s="35"/>
      <c r="D29" s="31"/>
      <c r="E29" s="33" t="str">
        <f aca="false">IFERROR(INDEX(PTAX!$C$5:$C$5000,MATCH($B29,PTAX!$B$5:$B$5000,1)),"")</f>
        <v/>
      </c>
      <c r="F29" s="9" t="str">
        <f aca="false">IF(OR($B29="",E29=""),"",D29/E29)</f>
        <v/>
      </c>
    </row>
    <row r="30" customFormat="false" ht="15" hidden="false" customHeight="false" outlineLevel="0" collapsed="false">
      <c r="B30" s="35"/>
      <c r="D30" s="31"/>
      <c r="E30" s="33" t="str">
        <f aca="false">IFERROR(INDEX(PTAX!$C$5:$C$5000,MATCH($B30,PTAX!$B$5:$B$5000,1)),"")</f>
        <v/>
      </c>
      <c r="F30" s="9" t="str">
        <f aca="false">IF(OR($B30="",E30=""),"",D30/E30)</f>
        <v/>
      </c>
    </row>
    <row r="31" customFormat="false" ht="15" hidden="false" customHeight="false" outlineLevel="0" collapsed="false">
      <c r="B31" s="35"/>
      <c r="D31" s="31"/>
      <c r="E31" s="33" t="str">
        <f aca="false">IFERROR(INDEX(PTAX!$C$5:$C$5000,MATCH($B31,PTAX!$B$5:$B$5000,1)),"")</f>
        <v/>
      </c>
      <c r="F31" s="9" t="str">
        <f aca="false">IF(OR($B31="",E31=""),"",D31/E31)</f>
        <v/>
      </c>
    </row>
    <row r="32" customFormat="false" ht="15" hidden="false" customHeight="false" outlineLevel="0" collapsed="false">
      <c r="B32" s="35"/>
      <c r="D32" s="31"/>
      <c r="E32" s="33" t="str">
        <f aca="false">IFERROR(INDEX(PTAX!$C$5:$C$5000,MATCH($B32,PTAX!$B$5:$B$5000,1)),"")</f>
        <v/>
      </c>
      <c r="F32" s="9" t="str">
        <f aca="false">IF(OR($B32="",E32=""),"",D32/E32)</f>
        <v/>
      </c>
    </row>
    <row r="33" customFormat="false" ht="15" hidden="false" customHeight="false" outlineLevel="0" collapsed="false">
      <c r="B33" s="35"/>
      <c r="D33" s="31"/>
      <c r="E33" s="33" t="str">
        <f aca="false">IFERROR(INDEX(PTAX!$C$5:$C$5000,MATCH($B33,PTAX!$B$5:$B$5000,1)),"")</f>
        <v/>
      </c>
      <c r="F33" s="9" t="str">
        <f aca="false">IF(OR($B33="",E33=""),"",D33/E33)</f>
        <v/>
      </c>
    </row>
    <row r="34" customFormat="false" ht="15" hidden="false" customHeight="false" outlineLevel="0" collapsed="false">
      <c r="B34" s="35"/>
      <c r="D34" s="31"/>
      <c r="E34" s="33" t="str">
        <f aca="false">IFERROR(INDEX(PTAX!$C$5:$C$5000,MATCH($B34,PTAX!$B$5:$B$5000,1)),"")</f>
        <v/>
      </c>
      <c r="F34" s="9" t="str">
        <f aca="false">IF(OR($B34="",E34=""),"",D34/E34)</f>
        <v/>
      </c>
    </row>
    <row r="35" customFormat="false" ht="15" hidden="false" customHeight="false" outlineLevel="0" collapsed="false">
      <c r="B35" s="35"/>
      <c r="D35" s="31"/>
      <c r="E35" s="33" t="str">
        <f aca="false">IFERROR(INDEX(PTAX!$C$5:$C$5000,MATCH($B35,PTAX!$B$5:$B$5000,1)),"")</f>
        <v/>
      </c>
      <c r="F35" s="9" t="str">
        <f aca="false">IF(OR($B35="",E35=""),"",D35/E35)</f>
        <v/>
      </c>
    </row>
    <row r="36" customFormat="false" ht="15" hidden="false" customHeight="false" outlineLevel="0" collapsed="false">
      <c r="B36" s="35"/>
      <c r="D36" s="31"/>
      <c r="E36" s="33" t="str">
        <f aca="false">IFERROR(INDEX(PTAX!$C$5:$C$5000,MATCH($B36,PTAX!$B$5:$B$5000,1)),"")</f>
        <v/>
      </c>
      <c r="F36" s="9" t="str">
        <f aca="false">IF(OR($B36="",E36=""),"",D36/E36)</f>
        <v/>
      </c>
    </row>
    <row r="37" customFormat="false" ht="15" hidden="false" customHeight="false" outlineLevel="0" collapsed="false">
      <c r="B37" s="35"/>
      <c r="D37" s="31"/>
      <c r="E37" s="33" t="str">
        <f aca="false">IFERROR(INDEX(PTAX!$C$5:$C$5000,MATCH($B37,PTAX!$B$5:$B$5000,1)),"")</f>
        <v/>
      </c>
      <c r="F37" s="9" t="str">
        <f aca="false">IF(OR($B37="",E37=""),"",D37/E37)</f>
        <v/>
      </c>
    </row>
    <row r="38" customFormat="false" ht="15" hidden="false" customHeight="false" outlineLevel="0" collapsed="false">
      <c r="B38" s="35"/>
      <c r="D38" s="31"/>
      <c r="E38" s="33" t="str">
        <f aca="false">IFERROR(INDEX(PTAX!$C$5:$C$5000,MATCH($B38,PTAX!$B$5:$B$5000,1)),"")</f>
        <v/>
      </c>
      <c r="F38" s="9" t="str">
        <f aca="false">IF(OR($B38="",E38=""),"",D38/E38)</f>
        <v/>
      </c>
    </row>
    <row r="39" customFormat="false" ht="15" hidden="false" customHeight="false" outlineLevel="0" collapsed="false">
      <c r="B39" s="35"/>
      <c r="D39" s="31"/>
      <c r="E39" s="33" t="str">
        <f aca="false">IFERROR(INDEX(PTAX!$C$5:$C$5000,MATCH($B39,PTAX!$B$5:$B$5000,1)),"")</f>
        <v/>
      </c>
      <c r="F39" s="9" t="str">
        <f aca="false">IF(OR($B39="",E39=""),"",D39/E39)</f>
        <v/>
      </c>
    </row>
    <row r="40" customFormat="false" ht="15" hidden="false" customHeight="false" outlineLevel="0" collapsed="false">
      <c r="B40" s="35"/>
      <c r="D40" s="31"/>
      <c r="E40" s="33" t="str">
        <f aca="false">IFERROR(INDEX(PTAX!$C$5:$C$5000,MATCH($B40,PTAX!$B$5:$B$5000,1)),"")</f>
        <v/>
      </c>
      <c r="F40" s="9" t="str">
        <f aca="false">IF(OR($B40="",E40=""),"",D40/E40)</f>
        <v/>
      </c>
    </row>
    <row r="41" customFormat="false" ht="15" hidden="false" customHeight="false" outlineLevel="0" collapsed="false">
      <c r="B41" s="35"/>
      <c r="D41" s="31"/>
      <c r="E41" s="33" t="str">
        <f aca="false">IFERROR(INDEX(PTAX!$C$5:$C$5000,MATCH($B41,PTAX!$B$5:$B$5000,1)),"")</f>
        <v/>
      </c>
      <c r="F41" s="9" t="str">
        <f aca="false">IF(OR($B41="",E41=""),"",D41/E41)</f>
        <v/>
      </c>
    </row>
    <row r="42" customFormat="false" ht="15" hidden="false" customHeight="false" outlineLevel="0" collapsed="false">
      <c r="B42" s="35"/>
      <c r="D42" s="31"/>
      <c r="E42" s="33" t="str">
        <f aca="false">IFERROR(INDEX(PTAX!$C$5:$C$5000,MATCH($B42,PTAX!$B$5:$B$5000,1)),"")</f>
        <v/>
      </c>
      <c r="F42" s="9" t="str">
        <f aca="false">IF(OR($B42="",E42=""),"",D42/E42)</f>
        <v/>
      </c>
    </row>
    <row r="43" customFormat="false" ht="15" hidden="false" customHeight="false" outlineLevel="0" collapsed="false">
      <c r="B43" s="35"/>
      <c r="D43" s="31"/>
      <c r="E43" s="33" t="str">
        <f aca="false">IFERROR(INDEX(PTAX!$C$5:$C$5000,MATCH($B43,PTAX!$B$5:$B$5000,1)),"")</f>
        <v/>
      </c>
      <c r="F43" s="9" t="str">
        <f aca="false">IF(OR($B43="",E43=""),"",D43/E43)</f>
        <v/>
      </c>
    </row>
    <row r="44" customFormat="false" ht="15" hidden="false" customHeight="false" outlineLevel="0" collapsed="false">
      <c r="B44" s="35"/>
      <c r="D44" s="31"/>
      <c r="E44" s="33" t="str">
        <f aca="false">IFERROR(INDEX(PTAX!$C$5:$C$5000,MATCH($B44,PTAX!$B$5:$B$5000,1)),"")</f>
        <v/>
      </c>
      <c r="F44" s="9" t="str">
        <f aca="false">IF(OR($B44="",E44=""),"",D44/E44)</f>
        <v/>
      </c>
    </row>
    <row r="45" customFormat="false" ht="15" hidden="false" customHeight="false" outlineLevel="0" collapsed="false">
      <c r="B45" s="35"/>
      <c r="D45" s="31"/>
      <c r="E45" s="33" t="str">
        <f aca="false">IFERROR(INDEX(PTAX!$C$5:$C$5000,MATCH($B45,PTAX!$B$5:$B$5000,1)),"")</f>
        <v/>
      </c>
      <c r="F45" s="9" t="str">
        <f aca="false">IF(OR($B45="",E45=""),"",D45/E45)</f>
        <v/>
      </c>
    </row>
    <row r="46" customFormat="false" ht="15" hidden="false" customHeight="false" outlineLevel="0" collapsed="false">
      <c r="B46" s="35"/>
      <c r="D46" s="31"/>
      <c r="E46" s="33" t="str">
        <f aca="false">IFERROR(INDEX(PTAX!$C$5:$C$5000,MATCH($B46,PTAX!$B$5:$B$5000,1)),"")</f>
        <v/>
      </c>
      <c r="F46" s="9" t="str">
        <f aca="false">IF(OR($B46="",E46=""),"",D46/E46)</f>
        <v/>
      </c>
    </row>
    <row r="47" customFormat="false" ht="15" hidden="false" customHeight="false" outlineLevel="0" collapsed="false">
      <c r="B47" s="35"/>
      <c r="D47" s="31"/>
      <c r="E47" s="33" t="str">
        <f aca="false">IFERROR(INDEX(PTAX!$C$5:$C$5000,MATCH($B47,PTAX!$B$5:$B$5000,1)),"")</f>
        <v/>
      </c>
      <c r="F47" s="9" t="str">
        <f aca="false">IF(OR($B47="",E47=""),"",D47/E47)</f>
        <v/>
      </c>
    </row>
    <row r="48" customFormat="false" ht="15" hidden="false" customHeight="false" outlineLevel="0" collapsed="false">
      <c r="B48" s="35"/>
      <c r="D48" s="31"/>
      <c r="E48" s="33" t="str">
        <f aca="false">IFERROR(INDEX(PTAX!$C$5:$C$5000,MATCH($B48,PTAX!$B$5:$B$5000,1)),"")</f>
        <v/>
      </c>
      <c r="F48" s="9" t="str">
        <f aca="false">IF(OR($B48="",E48=""),"",D48/E48)</f>
        <v/>
      </c>
    </row>
    <row r="49" customFormat="false" ht="15" hidden="false" customHeight="false" outlineLevel="0" collapsed="false">
      <c r="B49" s="35"/>
      <c r="D49" s="31"/>
      <c r="E49" s="33" t="str">
        <f aca="false">IFERROR(INDEX(PTAX!$C$5:$C$5000,MATCH($B49,PTAX!$B$5:$B$5000,1)),"")</f>
        <v/>
      </c>
      <c r="F49" s="9" t="str">
        <f aca="false">IF(OR($B49="",E49=""),"",D49/E49)</f>
        <v/>
      </c>
    </row>
    <row r="50" customFormat="false" ht="15" hidden="false" customHeight="false" outlineLevel="0" collapsed="false">
      <c r="B50" s="35"/>
      <c r="D50" s="31"/>
      <c r="E50" s="33" t="str">
        <f aca="false">IFERROR(INDEX(PTAX!$C$5:$C$5000,MATCH($B50,PTAX!$B$5:$B$5000,1)),"")</f>
        <v/>
      </c>
      <c r="F50" s="9" t="str">
        <f aca="false">IF(OR($B50="",E50=""),"",D50/E50)</f>
        <v/>
      </c>
    </row>
    <row r="51" customFormat="false" ht="15" hidden="false" customHeight="false" outlineLevel="0" collapsed="false">
      <c r="B51" s="35"/>
      <c r="D51" s="31"/>
      <c r="E51" s="33" t="str">
        <f aca="false">IFERROR(INDEX(PTAX!$C$5:$C$5000,MATCH($B51,PTAX!$B$5:$B$5000,1)),"")</f>
        <v/>
      </c>
      <c r="F51" s="9" t="str">
        <f aca="false">IF(OR($B51="",E51=""),"",D51/E51)</f>
        <v/>
      </c>
    </row>
    <row r="52" customFormat="false" ht="15" hidden="false" customHeight="false" outlineLevel="0" collapsed="false">
      <c r="B52" s="35"/>
      <c r="D52" s="31"/>
      <c r="E52" s="33" t="str">
        <f aca="false">IFERROR(INDEX(PTAX!$C$5:$C$5000,MATCH($B52,PTAX!$B$5:$B$5000,1)),"")</f>
        <v/>
      </c>
      <c r="F52" s="9" t="str">
        <f aca="false">IF(OR($B52="",E52=""),"",D52/E52)</f>
        <v/>
      </c>
    </row>
    <row r="53" customFormat="false" ht="15" hidden="false" customHeight="false" outlineLevel="0" collapsed="false">
      <c r="B53" s="35"/>
      <c r="D53" s="31"/>
      <c r="E53" s="33" t="str">
        <f aca="false">IFERROR(INDEX(PTAX!$C$5:$C$5000,MATCH($B53,PTAX!$B$5:$B$5000,1)),"")</f>
        <v/>
      </c>
      <c r="F53" s="9" t="str">
        <f aca="false">IF(OR($B53="",E53=""),"",D53/E53)</f>
        <v/>
      </c>
    </row>
    <row r="54" customFormat="false" ht="15" hidden="false" customHeight="false" outlineLevel="0" collapsed="false">
      <c r="B54" s="35"/>
      <c r="D54" s="31"/>
      <c r="E54" s="33" t="str">
        <f aca="false">IFERROR(INDEX(PTAX!$C$5:$C$5000,MATCH($B54,PTAX!$B$5:$B$5000,1)),"")</f>
        <v/>
      </c>
      <c r="F54" s="9" t="str">
        <f aca="false">IF(OR($B54="",E54=""),"",D54/E54)</f>
        <v/>
      </c>
    </row>
    <row r="55" customFormat="false" ht="15" hidden="false" customHeight="false" outlineLevel="0" collapsed="false">
      <c r="B55" s="35"/>
      <c r="D55" s="31"/>
      <c r="E55" s="33" t="str">
        <f aca="false">IFERROR(INDEX(PTAX!$C$5:$C$5000,MATCH($B55,PTAX!$B$5:$B$5000,1)),"")</f>
        <v/>
      </c>
      <c r="F55" s="9" t="str">
        <f aca="false">IF(OR($B55="",E55=""),"",D55/E55)</f>
        <v/>
      </c>
    </row>
    <row r="56" customFormat="false" ht="15" hidden="false" customHeight="false" outlineLevel="0" collapsed="false">
      <c r="B56" s="35"/>
      <c r="D56" s="31"/>
      <c r="E56" s="33" t="str">
        <f aca="false">IFERROR(INDEX(PTAX!$C$5:$C$5000,MATCH($B56,PTAX!$B$5:$B$5000,1)),"")</f>
        <v/>
      </c>
      <c r="F56" s="9" t="str">
        <f aca="false">IF(OR($B56="",E56=""),"",D56/E56)</f>
        <v/>
      </c>
    </row>
    <row r="57" customFormat="false" ht="15" hidden="false" customHeight="false" outlineLevel="0" collapsed="false">
      <c r="B57" s="35"/>
      <c r="D57" s="31"/>
      <c r="E57" s="33" t="str">
        <f aca="false">IFERROR(INDEX(PTAX!$C$5:$C$5000,MATCH($B57,PTAX!$B$5:$B$5000,1)),"")</f>
        <v/>
      </c>
      <c r="F57" s="9" t="str">
        <f aca="false">IF(OR($B57="",E57=""),"",D57/E57)</f>
        <v/>
      </c>
    </row>
    <row r="58" customFormat="false" ht="15" hidden="false" customHeight="false" outlineLevel="0" collapsed="false">
      <c r="B58" s="35"/>
      <c r="D58" s="31"/>
      <c r="E58" s="33" t="str">
        <f aca="false">IFERROR(INDEX(PTAX!$C$5:$C$5000,MATCH($B58,PTAX!$B$5:$B$5000,1)),"")</f>
        <v/>
      </c>
      <c r="F58" s="9" t="str">
        <f aca="false">IF(OR($B58="",E58=""),"",D58/E58)</f>
        <v/>
      </c>
    </row>
    <row r="59" customFormat="false" ht="15" hidden="false" customHeight="false" outlineLevel="0" collapsed="false">
      <c r="B59" s="35"/>
      <c r="D59" s="31"/>
      <c r="E59" s="33" t="str">
        <f aca="false">IFERROR(INDEX(PTAX!$C$5:$C$5000,MATCH($B59,PTAX!$B$5:$B$5000,1)),"")</f>
        <v/>
      </c>
      <c r="F59" s="9" t="str">
        <f aca="false">IF(OR($B59="",E59=""),"",D59/E59)</f>
        <v/>
      </c>
    </row>
    <row r="60" customFormat="false" ht="15" hidden="false" customHeight="false" outlineLevel="0" collapsed="false">
      <c r="B60" s="35"/>
      <c r="D60" s="31"/>
      <c r="E60" s="33" t="str">
        <f aca="false">IFERROR(INDEX(PTAX!$C$5:$C$5000,MATCH($B60,PTAX!$B$5:$B$5000,1)),"")</f>
        <v/>
      </c>
      <c r="F60" s="9" t="str">
        <f aca="false">IF(OR($B60="",E60=""),"",D60/E60)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2" min="2" style="1" width="12"/>
    <col collapsed="false" customWidth="true" hidden="false" outlineLevel="0" max="3" min="3" style="1" width="16"/>
  </cols>
  <sheetData>
    <row r="1" customFormat="false" ht="19.7" hidden="false" customHeight="false" outlineLevel="0" collapsed="false">
      <c r="B1" s="2" t="s">
        <v>87</v>
      </c>
    </row>
    <row r="2" customFormat="false" ht="15" hidden="false" customHeight="false" outlineLevel="0" collapsed="false">
      <c r="B2" s="3" t="s">
        <v>88</v>
      </c>
    </row>
    <row r="4" customFormat="false" ht="15" hidden="false" customHeight="false" outlineLevel="0" collapsed="false">
      <c r="B4" s="7" t="s">
        <v>67</v>
      </c>
      <c r="C4" s="7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531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8"/>
    <col collapsed="false" customWidth="true" hidden="false" outlineLevel="0" max="4" min="3" style="1" width="14"/>
    <col collapsed="false" customWidth="true" hidden="false" outlineLevel="0" max="13" min="5" style="1" width="12.5"/>
    <col collapsed="false" customWidth="true" hidden="false" outlineLevel="0" max="14" min="14" style="1" width="13"/>
    <col collapsed="false" customWidth="true" hidden="false" outlineLevel="0" max="22" min="15" style="1" width="12.5"/>
  </cols>
  <sheetData>
    <row r="1" customFormat="false" ht="19.7" hidden="false" customHeight="false" outlineLevel="0" collapsed="false">
      <c r="A1" s="2" t="s">
        <v>89</v>
      </c>
    </row>
    <row r="2" customFormat="false" ht="15" hidden="false" customHeight="false" outlineLevel="0" collapsed="false">
      <c r="A2" s="3" t="s">
        <v>90</v>
      </c>
    </row>
    <row r="3" customFormat="false" ht="15" hidden="false" customHeight="false" outlineLevel="0" collapsed="false">
      <c r="A3" s="3" t="s">
        <v>91</v>
      </c>
    </row>
    <row r="4" customFormat="false" ht="15" hidden="false" customHeight="false" outlineLevel="0" collapsed="false">
      <c r="A4" s="3" t="s">
        <v>92</v>
      </c>
    </row>
    <row r="5" customFormat="false" ht="15" hidden="false" customHeight="false" outlineLevel="0" collapsed="false">
      <c r="A5" s="3" t="s">
        <v>93</v>
      </c>
    </row>
    <row r="6" customFormat="false" ht="15" hidden="false" customHeight="false" outlineLevel="0" collapsed="false">
      <c r="A6" s="3" t="s">
        <v>94</v>
      </c>
    </row>
    <row r="7" customFormat="false" ht="15" hidden="false" customHeight="false" outlineLevel="0" collapsed="false">
      <c r="A7" s="3" t="s">
        <v>95</v>
      </c>
    </row>
    <row r="10" customFormat="false" ht="15" hidden="false" customHeight="false" outlineLevel="0" collapsed="false">
      <c r="A10" s="36" t="s">
        <v>96</v>
      </c>
      <c r="B10" s="37"/>
      <c r="C10" s="37"/>
      <c r="D10" s="37"/>
      <c r="E10" s="36" t="s">
        <v>97</v>
      </c>
      <c r="F10" s="37"/>
      <c r="G10" s="37"/>
      <c r="H10" s="37"/>
      <c r="I10" s="37"/>
      <c r="J10" s="37"/>
      <c r="K10" s="37"/>
      <c r="L10" s="37"/>
      <c r="M10" s="37"/>
      <c r="N10" s="37"/>
      <c r="O10" s="36" t="s">
        <v>98</v>
      </c>
      <c r="P10" s="37"/>
      <c r="Q10" s="37"/>
      <c r="R10" s="37"/>
      <c r="S10" s="37"/>
      <c r="T10" s="37"/>
      <c r="U10" s="37"/>
      <c r="V10" s="37"/>
    </row>
    <row r="11" customFormat="false" ht="31.5" hidden="false" customHeight="true" outlineLevel="0" collapsed="false">
      <c r="A11" s="12" t="s">
        <v>12</v>
      </c>
      <c r="B11" s="12" t="s">
        <v>99</v>
      </c>
      <c r="C11" s="12" t="s">
        <v>100</v>
      </c>
      <c r="D11" s="12"/>
      <c r="E11" s="6" t="n">
        <v>2009</v>
      </c>
      <c r="F11" s="7" t="n">
        <f aca="false">E11+1</f>
        <v>2010</v>
      </c>
      <c r="G11" s="7" t="n">
        <f aca="false">F11+1</f>
        <v>2011</v>
      </c>
      <c r="H11" s="7" t="n">
        <f aca="false">G11+1</f>
        <v>2012</v>
      </c>
      <c r="I11" s="7" t="n">
        <f aca="false">H11+1</f>
        <v>2013</v>
      </c>
      <c r="J11" s="7" t="n">
        <f aca="false">I11+1</f>
        <v>2014</v>
      </c>
      <c r="K11" s="7" t="n">
        <f aca="false">J11+1</f>
        <v>2015</v>
      </c>
      <c r="L11" s="7" t="s">
        <v>101</v>
      </c>
      <c r="M11" s="7" t="s">
        <v>102</v>
      </c>
      <c r="O11" s="7" t="n">
        <f aca="false">E11-1</f>
        <v>2008</v>
      </c>
      <c r="P11" s="7" t="n">
        <f aca="false">O11+1</f>
        <v>2009</v>
      </c>
      <c r="Q11" s="7" t="n">
        <f aca="false">P11+1</f>
        <v>2010</v>
      </c>
      <c r="R11" s="7" t="n">
        <f aca="false">Q11+1</f>
        <v>2011</v>
      </c>
      <c r="S11" s="7" t="n">
        <f aca="false">R11+1</f>
        <v>2012</v>
      </c>
      <c r="T11" s="7" t="n">
        <f aca="false">S11+1</f>
        <v>2013</v>
      </c>
      <c r="U11" s="7" t="n">
        <f aca="false">T11+1</f>
        <v>2014</v>
      </c>
      <c r="V11" s="7" t="n">
        <f aca="false">U11+1</f>
        <v>2015</v>
      </c>
    </row>
    <row r="12" customFormat="false" ht="15" hidden="false" customHeight="false" outlineLevel="0" collapsed="false">
      <c r="A12" s="4" t="s">
        <v>103</v>
      </c>
      <c r="B12" s="8" t="n">
        <f aca="false">COUNT(E12:K12)</f>
        <v>7</v>
      </c>
      <c r="C12" s="38" t="n">
        <f aca="false">K16</f>
        <v>3401.84</v>
      </c>
      <c r="D12" s="39" t="s">
        <v>104</v>
      </c>
      <c r="E12" s="13" t="n">
        <f aca="false">IF(E14="","",E14+E13)</f>
        <v>0.323725093093284</v>
      </c>
      <c r="F12" s="13" t="n">
        <f aca="false">IF(F14="","",F14+F13)</f>
        <v>0.0247813370815453</v>
      </c>
      <c r="G12" s="13" t="n">
        <f aca="false">IF(G14="","",G14+G13)</f>
        <v>0.213207518006317</v>
      </c>
      <c r="H12" s="13" t="n">
        <f aca="false">IF(H14="","",H14+H13)</f>
        <v>0.177230937860776</v>
      </c>
      <c r="I12" s="13" t="n">
        <f aca="false">IF(I14="","",I14+I13)</f>
        <v>0.183781290207623</v>
      </c>
      <c r="J12" s="13" t="n">
        <f aca="false">IF(J14="","",J14+J13)</f>
        <v>0.217738772966181</v>
      </c>
      <c r="K12" s="13" t="n">
        <f aca="false">IF(K14="","",K14+K13)</f>
        <v>0.0915179531266537</v>
      </c>
      <c r="L12" s="13" t="n">
        <f aca="false">V12/O12-1</f>
        <v>2.04847233548067</v>
      </c>
      <c r="M12" s="13" t="n">
        <f aca="false">IF($B12=0,"",(V12/O12)^(1/$B12)-1)</f>
        <v>0.172612739981499</v>
      </c>
      <c r="O12" s="40" t="n">
        <v>100</v>
      </c>
      <c r="P12" s="38" t="n">
        <f aca="false">IF(E12="",O12,O12*(1+E12))</f>
        <v>132.372509309328</v>
      </c>
      <c r="Q12" s="38" t="n">
        <f aca="false">IF(F12="",P12,P12*(1+F12))</f>
        <v>135.652877082853</v>
      </c>
      <c r="R12" s="38" t="n">
        <f aca="false">IF(G12="",Q12,Q12*(1+G12))</f>
        <v>164.575090316104</v>
      </c>
      <c r="S12" s="38" t="n">
        <f aca="false">IF(H12="",R12,R12*(1+H12))</f>
        <v>193.742887921349</v>
      </c>
      <c r="T12" s="38" t="n">
        <f aca="false">IF(I12="",S12,S12*(1+I12))</f>
        <v>229.349205832086</v>
      </c>
      <c r="U12" s="38" t="n">
        <f aca="false">IF(J12="",T12,T12*(1+J12))</f>
        <v>279.287420490732</v>
      </c>
      <c r="V12" s="38" t="n">
        <f aca="false">IF(K12="",U12,U12*(1+K12))</f>
        <v>304.847233548067</v>
      </c>
    </row>
    <row r="13" customFormat="false" ht="15" hidden="false" customHeight="false" outlineLevel="0" collapsed="false">
      <c r="D13" s="39" t="s">
        <v>105</v>
      </c>
      <c r="E13" s="13" t="n">
        <f aca="false">IF(SUMIFS($J$120:$J$239,$B$120:$B$239,E$11)=0,"",SUMIFS($K$120:$K$239,$B$120:$B$239,E$11)/SUMIFS($J$120:$J$239,$B$120:$B$239,E$11))</f>
        <v>0.300784199291331</v>
      </c>
      <c r="F13" s="13" t="n">
        <f aca="false">IF(SUMIFS($J$120:$J$239,$B$120:$B$239,F$11)=0,"",SUMIFS($K$120:$K$239,$B$120:$B$239,F$11)/SUMIFS($J$120:$J$239,$B$120:$B$239,F$11))</f>
        <v>0.00354060715282795</v>
      </c>
      <c r="G13" s="13" t="n">
        <f aca="false">IF(SUMIFS($J$120:$J$239,$B$120:$B$239,G$11)=0,"",SUMIFS($K$120:$K$239,$B$120:$B$239,G$11)/SUMIFS($J$120:$J$239,$B$120:$B$239,G$11))</f>
        <v>0.193492575337663</v>
      </c>
      <c r="H13" s="13" t="n">
        <f aca="false">IF(SUMIFS($J$120:$J$239,$B$120:$B$239,H$11)=0,"",SUMIFS($K$120:$K$239,$B$120:$B$239,H$11)/SUMIFS($J$120:$J$239,$B$120:$B$239,H$11))</f>
        <v>0.146737989925869</v>
      </c>
      <c r="I13" s="13" t="n">
        <f aca="false">IF(SUMIFS($J$120:$J$239,$B$120:$B$239,I$11)=0,"",SUMIFS($K$120:$K$239,$B$120:$B$239,I$11)/SUMIFS($J$120:$J$239,$B$120:$B$239,I$11))</f>
        <v>0.158732726777826</v>
      </c>
      <c r="J13" s="13" t="n">
        <f aca="false">IF(SUMIFS($J$120:$J$239,$B$120:$B$239,J$11)=0,"",SUMIFS($K$120:$K$239,$B$120:$B$239,J$11)/SUMIFS($J$120:$J$239,$B$120:$B$239,J$11))</f>
        <v>0.19282359595813</v>
      </c>
      <c r="K13" s="13" t="n">
        <f aca="false">IF(SUMIFS($J$120:$J$239,$B$120:$B$239,K$11)=0,"",SUMIFS($K$120:$K$239,$B$120:$B$239,K$11)/SUMIFS($J$120:$J$239,$B$120:$B$239,K$11))</f>
        <v>0.0676206484162637</v>
      </c>
      <c r="L13" s="13" t="n">
        <f aca="false">V13/O13-1</f>
        <v>1.63633493537799</v>
      </c>
      <c r="M13" s="13" t="n">
        <f aca="false">IF($B12=0,"",(V13/O13)^(1/$B12)-1)</f>
        <v>0.148531579019001</v>
      </c>
      <c r="O13" s="40" t="n">
        <v>100</v>
      </c>
      <c r="P13" s="38" t="n">
        <f aca="false">IF(E13="",O13,O13*(1+E13))</f>
        <v>130.078419929133</v>
      </c>
      <c r="Q13" s="38" t="n">
        <f aca="false">IF(F13="",P13,P13*(1+F13))</f>
        <v>130.538976513163</v>
      </c>
      <c r="R13" s="38" t="n">
        <f aca="false">IF(G13="",Q13,Q13*(1+G13))</f>
        <v>155.797299260637</v>
      </c>
      <c r="S13" s="38" t="n">
        <f aca="false">IF(H13="",R13,R13*(1+H13))</f>
        <v>178.658681790022</v>
      </c>
      <c r="T13" s="38" t="n">
        <f aca="false">IF(I13="",S13,S13*(1+I13))</f>
        <v>207.017661513085</v>
      </c>
      <c r="U13" s="38" t="n">
        <f aca="false">IF(J13="",T13,T13*(1+J13))</f>
        <v>246.93555143288</v>
      </c>
      <c r="V13" s="38" t="n">
        <f aca="false">IF(K13="",U13,U13*(1+K13))</f>
        <v>263.633493537799</v>
      </c>
    </row>
    <row r="14" customFormat="false" ht="15" hidden="false" customHeight="false" outlineLevel="0" collapsed="false">
      <c r="D14" s="39" t="s">
        <v>106</v>
      </c>
      <c r="E14" s="13" t="n">
        <f aca="false">IF(SUMIFS($J$120:$J$239,$B$120:$B$239,E$11)=0,"",SUMIFS($F$120:$F$239,$B$120:$B$239,E$11,$C$120:$C$239,1)/SUMIFS($J$120:$J$239,$B$120:$B$239,E$11))</f>
        <v>0.0229408938019528</v>
      </c>
      <c r="F14" s="13" t="n">
        <f aca="false">IF(SUMIFS($J$120:$J$239,$B$120:$B$239,F$11)=0,"",SUMIFS($F$120:$F$239,$B$120:$B$239,F$11,$C$120:$C$239,1)/SUMIFS($J$120:$J$239,$B$120:$B$239,F$11))</f>
        <v>0.0212407299287174</v>
      </c>
      <c r="G14" s="13" t="n">
        <f aca="false">IF(SUMIFS($J$120:$J$239,$B$120:$B$239,G$11)=0,"",SUMIFS($F$120:$F$239,$B$120:$B$239,G$11,$C$120:$C$239,1)/SUMIFS($J$120:$J$239,$B$120:$B$239,G$11))</f>
        <v>0.0197149426686543</v>
      </c>
      <c r="H14" s="13" t="n">
        <f aca="false">IF(SUMIFS($J$120:$J$239,$B$120:$B$239,H$11)=0,"",SUMIFS($F$120:$F$239,$B$120:$B$239,H$11,$C$120:$C$239,1)/SUMIFS($J$120:$J$239,$B$120:$B$239,H$11))</f>
        <v>0.0304929479349072</v>
      </c>
      <c r="I14" s="13" t="n">
        <f aca="false">IF(SUMIFS($J$120:$J$239,$B$120:$B$239,I$11)=0,"",SUMIFS($F$120:$F$239,$B$120:$B$239,I$11,$C$120:$C$239,1)/SUMIFS($J$120:$J$239,$B$120:$B$239,I$11))</f>
        <v>0.025048563429797</v>
      </c>
      <c r="J14" s="13" t="n">
        <f aca="false">IF(SUMIFS($J$120:$J$239,$B$120:$B$239,J$11)=0,"",SUMIFS($F$120:$F$239,$B$120:$B$239,J$11,$C$120:$C$239,1)/SUMIFS($J$120:$J$239,$B$120:$B$239,J$11))</f>
        <v>0.0249151770080507</v>
      </c>
      <c r="K14" s="13" t="n">
        <f aca="false">IF(SUMIFS($J$120:$J$239,$B$120:$B$239,K$11)=0,"",SUMIFS($F$120:$F$239,$B$120:$B$239,K$11,$C$120:$C$239,1)/SUMIFS($J$120:$J$239,$B$120:$B$239,K$11))</f>
        <v>0.02389730471039</v>
      </c>
      <c r="L14" s="13" t="n">
        <f aca="false">V14/O14-1</f>
        <v>0.180840502140202</v>
      </c>
      <c r="M14" s="13" t="n">
        <f aca="false">IF($B12=0,"",(V14/O14)^(1/$B12)-1)</f>
        <v>0.0240308358175201</v>
      </c>
      <c r="O14" s="40" t="n">
        <v>100</v>
      </c>
      <c r="P14" s="38" t="n">
        <f aca="false">IF(E14="",O14,O14*(1+E14))</f>
        <v>102.294089380195</v>
      </c>
      <c r="Q14" s="38" t="n">
        <f aca="false">IF(F14="",P14,P14*(1+F14))</f>
        <v>104.466890506024</v>
      </c>
      <c r="R14" s="38" t="n">
        <f aca="false">IF(G14="",Q14,Q14*(1+G14))</f>
        <v>106.526449263123</v>
      </c>
      <c r="S14" s="38" t="n">
        <f aca="false">IF(H14="",R14,R14*(1+H14))</f>
        <v>109.774754734194</v>
      </c>
      <c r="T14" s="38" t="n">
        <f aca="false">IF(I14="",S14,S14*(1+I14))</f>
        <v>112.524454641144</v>
      </c>
      <c r="U14" s="38" t="n">
        <f aca="false">IF(J14="",T14,T14*(1+J14))</f>
        <v>115.328021346262</v>
      </c>
      <c r="V14" s="38" t="n">
        <f aca="false">IF(K14="",U14,U14*(1+K14))</f>
        <v>118.08405021402</v>
      </c>
    </row>
    <row r="15" customFormat="false" ht="15" hidden="false" customHeight="false" outlineLevel="0" collapsed="false">
      <c r="D15" s="39" t="s">
        <v>107</v>
      </c>
      <c r="E15" s="10" t="n">
        <f aca="false">COUNTIFS($B$120:$B$239,E$11,$E$120:$E$239,"&gt;0")</f>
        <v>11</v>
      </c>
      <c r="F15" s="10" t="n">
        <f aca="false">COUNTIFS($B$120:$B$239,F$11,$E$120:$E$239,"&gt;0")</f>
        <v>11</v>
      </c>
      <c r="G15" s="10" t="n">
        <f aca="false">COUNTIFS($B$120:$B$239,G$11,$E$120:$E$239,"&gt;0")</f>
        <v>10</v>
      </c>
      <c r="H15" s="10" t="n">
        <f aca="false">COUNTIFS($B$120:$B$239,H$11,$E$120:$E$239,"&gt;0")</f>
        <v>14</v>
      </c>
      <c r="I15" s="10" t="n">
        <f aca="false">COUNTIFS($B$120:$B$239,I$11,$E$120:$E$239,"&gt;0")</f>
        <v>14</v>
      </c>
      <c r="J15" s="10" t="n">
        <f aca="false">COUNTIFS($B$120:$B$239,J$11,$E$120:$E$239,"&gt;0")</f>
        <v>13</v>
      </c>
      <c r="K15" s="10" t="n">
        <f aca="false">COUNTIFS($B$120:$B$239,K$11,$E$120:$E$239,"&gt;0")</f>
        <v>13</v>
      </c>
    </row>
    <row r="16" customFormat="false" ht="15" hidden="false" customHeight="false" outlineLevel="0" collapsed="false">
      <c r="A16" s="41"/>
      <c r="B16" s="41"/>
      <c r="C16" s="41"/>
      <c r="D16" s="42" t="s">
        <v>108</v>
      </c>
      <c r="E16" s="43" t="n">
        <f aca="false">SUMIFS($E$120:$E$239,$B$120:$B$239,E$11)/1000</f>
        <v>1495.69</v>
      </c>
      <c r="F16" s="43" t="n">
        <f aca="false">SUMIFS($E$120:$E$239,$B$120:$B$239,F$11)/1000</f>
        <v>1500.93</v>
      </c>
      <c r="G16" s="43" t="n">
        <f aca="false">SUMIFS($E$120:$E$239,$B$120:$B$239,G$11)/1000</f>
        <v>1756.15</v>
      </c>
      <c r="H16" s="43" t="n">
        <f aca="false">SUMIFS($E$120:$E$239,$B$120:$B$239,H$11)/1000</f>
        <v>2315.6</v>
      </c>
      <c r="I16" s="43" t="n">
        <f aca="false">SUMIFS($E$120:$E$239,$B$120:$B$239,I$11)/1000</f>
        <v>2678.615</v>
      </c>
      <c r="J16" s="43" t="n">
        <f aca="false">SUMIFS($E$120:$E$239,$B$120:$B$239,J$11)/1000</f>
        <v>3188.76</v>
      </c>
      <c r="K16" s="43" t="n">
        <f aca="false">SUMIFS($E$120:$E$239,$B$120:$B$239,K$11)/1000</f>
        <v>3401.84</v>
      </c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</row>
    <row r="17" customFormat="false" ht="15" hidden="false" customHeight="false" outlineLevel="0" collapsed="false">
      <c r="A17" s="4" t="s">
        <v>19</v>
      </c>
      <c r="B17" s="8" t="n">
        <f aca="false">COUNT(E17:K17)</f>
        <v>7</v>
      </c>
      <c r="C17" s="38" t="n">
        <f aca="false">SUMIFS($E$120:$E$239,$A$120:$A$239,$A17,$B$120:$B$239,K$11)/1000</f>
        <v>290.9</v>
      </c>
      <c r="D17" s="39" t="s">
        <v>104</v>
      </c>
      <c r="E17" s="13" t="n">
        <f aca="false">IF(SUMIFS($C$120:$C$239,$A$120:$A$239,$A$17,$B$120:$B$239,E$11)=0,"",SUMIFS($N$120:$N$239,$A$120:$A$239,$A$17,$B$120:$B$239,E$11))</f>
        <v>0.142255210002239</v>
      </c>
      <c r="F17" s="13" t="n">
        <f aca="false">IF(SUMIFS($C$120:$C$239,$A$120:$A$239,$A$17,$B$120:$B$239,F$11)=0,"",SUMIFS($N$120:$N$239,$A$120:$A$239,$A$17,$B$120:$B$239,F$11))</f>
        <v>0.0771900943375752</v>
      </c>
      <c r="G17" s="13" t="n">
        <f aca="false">IF(SUMIFS($C$120:$C$239,$A$120:$A$239,$A$17,$B$120:$B$239,G$11)=0,"",SUMIFS($N$120:$N$239,$A$120:$A$239,$A$17,$B$120:$B$239,G$11))</f>
        <v>0.119146495626951</v>
      </c>
      <c r="H17" s="13" t="n">
        <f aca="false">IF(SUMIFS($C$120:$C$239,$A$120:$A$239,$A$17,$B$120:$B$239,H$11)=0,"",SUMIFS($N$120:$N$239,$A$120:$A$239,$A$17,$B$120:$B$239,H$11))</f>
        <v>0.241519151035965</v>
      </c>
      <c r="I17" s="13" t="n">
        <f aca="false">IF(SUMIFS($C$120:$C$239,$A$120:$A$239,$A$17,$B$120:$B$239,I$11)=0,"",SUMIFS($N$120:$N$239,$A$120:$A$239,$A$17,$B$120:$B$239,I$11))</f>
        <v>0.0687138833641309</v>
      </c>
      <c r="J17" s="13" t="n">
        <f aca="false">IF(SUMIFS($C$120:$C$239,$A$120:$A$239,$A$17,$B$120:$B$239,J$11)=0,"",SUMIFS($N$120:$N$239,$A$120:$A$239,$A$17,$B$120:$B$239,J$11))</f>
        <v>0.235892309049415</v>
      </c>
      <c r="K17" s="13" t="n">
        <f aca="false">IF(SUMIFS($C$120:$C$239,$A$120:$A$239,$A$17,$B$120:$B$239,K$11)=0,"",SUMIFS($N$120:$N$239,$A$120:$A$239,$A$17,$B$120:$B$239,K$11))</f>
        <v>0.110213910785845</v>
      </c>
      <c r="L17" s="13" t="n">
        <f aca="false">V17/O17-1</f>
        <v>1.50694384801844</v>
      </c>
      <c r="M17" s="13" t="n">
        <f aca="false">IF($B17=0,"",(V17/O17)^(1/$B17)-1)</f>
        <v>0.140304027070893</v>
      </c>
      <c r="O17" s="40" t="n">
        <v>100</v>
      </c>
      <c r="P17" s="38" t="n">
        <f aca="false">IF(E17="",O17,O17*(1+E17))</f>
        <v>114.225521000224</v>
      </c>
      <c r="Q17" s="38" t="n">
        <f aca="false">IF(F17="",P17,P17*(1+F17))</f>
        <v>123.04259974199</v>
      </c>
      <c r="R17" s="38" t="n">
        <f aca="false">IF(G17="",Q17,Q17*(1+G17))</f>
        <v>137.702694314078</v>
      </c>
      <c r="S17" s="38" t="n">
        <f aca="false">IF(H17="",R17,R17*(1+H17))</f>
        <v>170.960532140179</v>
      </c>
      <c r="T17" s="38" t="n">
        <f aca="false">IF(I17="",S17,S17*(1+I17))</f>
        <v>182.707894205529</v>
      </c>
      <c r="U17" s="38" t="n">
        <f aca="false">IF(J17="",T17,T17*(1+J17))</f>
        <v>225.807281251227</v>
      </c>
      <c r="V17" s="38" t="n">
        <f aca="false">IF(K17="",U17,U17*(1+K17))</f>
        <v>250.694384801844</v>
      </c>
    </row>
    <row r="18" customFormat="false" ht="15" hidden="false" customHeight="false" outlineLevel="0" collapsed="false">
      <c r="D18" s="39" t="s">
        <v>105</v>
      </c>
      <c r="E18" s="13" t="n">
        <f aca="false">IF(SUMIFS($C$120:$C$239,$A$120:$A$239,$A$17,$B$120:$B$239,E$11)=0,"",SUMIFS($M$120:$M$239,$A$120:$A$239,$A$17,$B$120:$B$239,E$11))</f>
        <v>0.103695287473521</v>
      </c>
      <c r="F18" s="13" t="n">
        <f aca="false">IF(SUMIFS($C$120:$C$239,$A$120:$A$239,$A$17,$B$120:$B$239,F$11)=0,"",SUMIFS($M$120:$M$239,$A$120:$A$239,$A$17,$B$120:$B$239,F$11))</f>
        <v>0.0387790248958389</v>
      </c>
      <c r="G18" s="13" t="n">
        <f aca="false">IF(SUMIFS($C$120:$C$239,$A$120:$A$239,$A$17,$B$120:$B$239,G$11)=0,"",SUMIFS($M$120:$M$239,$A$120:$A$239,$A$17,$B$120:$B$239,G$11))</f>
        <v>0.094489734963966</v>
      </c>
      <c r="H18" s="13" t="n">
        <f aca="false">IF(SUMIFS($C$120:$C$239,$A$120:$A$239,$A$17,$B$120:$B$239,H$11)=0,"",SUMIFS($M$120:$M$239,$A$120:$A$239,$A$17,$B$120:$B$239,H$11))</f>
        <v>0.204527278811632</v>
      </c>
      <c r="I18" s="13" t="n">
        <f aca="false">IF(SUMIFS($C$120:$C$239,$A$120:$A$239,$A$17,$B$120:$B$239,I$11)=0,"",SUMIFS($M$120:$M$239,$A$120:$A$239,$A$17,$B$120:$B$239,I$11))</f>
        <v>0.0409631416359866</v>
      </c>
      <c r="J18" s="13" t="n">
        <f aca="false">IF(SUMIFS($C$120:$C$239,$A$120:$A$239,$A$17,$B$120:$B$239,J$11)=0,"",SUMIFS($M$120:$M$239,$A$120:$A$239,$A$17,$B$120:$B$239,J$11))</f>
        <v>0.206185240558495</v>
      </c>
      <c r="K18" s="13" t="n">
        <f aca="false">IF(SUMIFS($C$120:$C$239,$A$120:$A$239,$A$17,$B$120:$B$239,K$11)=0,"",SUMIFS($M$120:$M$239,$A$120:$A$239,$A$17,$B$120:$B$239,K$11))</f>
        <v>0.0789381596523244</v>
      </c>
      <c r="L18" s="13" t="n">
        <f aca="false">V18/O18-1</f>
        <v>1.04760701250897</v>
      </c>
      <c r="M18" s="13" t="n">
        <f aca="false">IF($B17=0,"",(V18/O18)^(1/$B17)-1)</f>
        <v>0.107806224907571</v>
      </c>
      <c r="O18" s="40" t="n">
        <v>100</v>
      </c>
      <c r="P18" s="38" t="n">
        <f aca="false">IF(E18="",O18,O18*(1+E18))</f>
        <v>110.369528747352</v>
      </c>
      <c r="Q18" s="38" t="n">
        <f aca="false">IF(F18="",P18,P18*(1+F18))</f>
        <v>114.649551450388</v>
      </c>
      <c r="R18" s="38" t="n">
        <f aca="false">IF(G18="",Q18,Q18*(1+G18))</f>
        <v>125.482757180672</v>
      </c>
      <c r="S18" s="38" t="n">
        <f aca="false">IF(H18="",R18,R18*(1+H18))</f>
        <v>151.147404044616</v>
      </c>
      <c r="T18" s="38" t="n">
        <f aca="false">IF(I18="",S18,S18*(1+I18))</f>
        <v>157.338876564407</v>
      </c>
      <c r="U18" s="38" t="n">
        <f aca="false">IF(J18="",T18,T18*(1+J18))</f>
        <v>189.779830678043</v>
      </c>
      <c r="V18" s="38" t="n">
        <f aca="false">IF(K18="",U18,U18*(1+K18))</f>
        <v>204.760701250897</v>
      </c>
    </row>
    <row r="19" customFormat="false" ht="15" hidden="false" customHeight="false" outlineLevel="0" collapsed="false">
      <c r="A19" s="41"/>
      <c r="B19" s="41"/>
      <c r="C19" s="41"/>
      <c r="D19" s="42" t="s">
        <v>106</v>
      </c>
      <c r="E19" s="44" t="n">
        <f aca="false">IF(SUMIFS($C$120:$C$239,$A$120:$A$239,$A$17,$B$120:$B$239,E$11)=0,"",SUMIFS($L$120:$L$239,$A$120:$A$239,$A$17,$B$120:$B$239,E$11))</f>
        <v>0.0385599225287184</v>
      </c>
      <c r="F19" s="44" t="n">
        <f aca="false">IF(SUMIFS($C$120:$C$239,$A$120:$A$239,$A$17,$B$120:$B$239,F$11)=0,"",SUMIFS($L$120:$L$239,$A$120:$A$239,$A$17,$B$120:$B$239,F$11))</f>
        <v>0.0384110694417364</v>
      </c>
      <c r="G19" s="44" t="n">
        <f aca="false">IF(SUMIFS($C$120:$C$239,$A$120:$A$239,$A$17,$B$120:$B$239,G$11)=0,"",SUMIFS($L$120:$L$239,$A$120:$A$239,$A$17,$B$120:$B$239,G$11))</f>
        <v>0.0246567606629848</v>
      </c>
      <c r="H19" s="44" t="n">
        <f aca="false">IF(SUMIFS($C$120:$C$239,$A$120:$A$239,$A$17,$B$120:$B$239,H$11)=0,"",SUMIFS($L$120:$L$239,$A$120:$A$239,$A$17,$B$120:$B$239,H$11))</f>
        <v>0.0369918722243334</v>
      </c>
      <c r="I19" s="44" t="n">
        <f aca="false">IF(SUMIFS($C$120:$C$239,$A$120:$A$239,$A$17,$B$120:$B$239,I$11)=0,"",SUMIFS($L$120:$L$239,$A$120:$A$239,$A$17,$B$120:$B$239,I$11))</f>
        <v>0.0277507417281443</v>
      </c>
      <c r="J19" s="44" t="n">
        <f aca="false">IF(SUMIFS($C$120:$C$239,$A$120:$A$239,$A$17,$B$120:$B$239,J$11)=0,"",SUMIFS($L$120:$L$239,$A$120:$A$239,$A$17,$B$120:$B$239,J$11))</f>
        <v>0.0297070684909198</v>
      </c>
      <c r="K19" s="44" t="n">
        <f aca="false">IF(SUMIFS($C$120:$C$239,$A$120:$A$239,$A$17,$B$120:$B$239,K$11)=0,"",SUMIFS($L$120:$L$239,$A$120:$A$239,$A$17,$B$120:$B$239,K$11))</f>
        <v>0.0312757511335202</v>
      </c>
      <c r="L19" s="44" t="n">
        <f aca="false">V19/O19-1</f>
        <v>0.250636011271916</v>
      </c>
      <c r="M19" s="44" t="n">
        <f aca="false">IF($B17=0,"",(V19/O19)^(1/$B17)-1)</f>
        <v>0.0324662097721751</v>
      </c>
      <c r="N19" s="41"/>
      <c r="O19" s="45" t="n">
        <v>100</v>
      </c>
      <c r="P19" s="43" t="n">
        <f aca="false">IF(E19="",O19,O19*(1+E19))</f>
        <v>103.855992252872</v>
      </c>
      <c r="Q19" s="43" t="n">
        <f aca="false">IF(F19="",P19,P19*(1+F19))</f>
        <v>107.845211983237</v>
      </c>
      <c r="R19" s="43" t="n">
        <f aca="false">IF(G19="",Q19,Q19*(1+G19))</f>
        <v>110.504325563757</v>
      </c>
      <c r="S19" s="43" t="n">
        <f aca="false">IF(H19="",R19,R19*(1+H19))</f>
        <v>114.592087455248</v>
      </c>
      <c r="T19" s="43" t="n">
        <f aca="false">IF(I19="",S19,S19*(1+I19))</f>
        <v>117.772102878307</v>
      </c>
      <c r="U19" s="43" t="n">
        <f aca="false">IF(J19="",T19,T19*(1+J19))</f>
        <v>121.270766804833</v>
      </c>
      <c r="V19" s="43" t="n">
        <f aca="false">IF(K19="",U19,U19*(1+K19))</f>
        <v>125.063601127192</v>
      </c>
    </row>
    <row r="20" customFormat="false" ht="15" hidden="false" customHeight="false" outlineLevel="0" collapsed="false">
      <c r="A20" s="4" t="s">
        <v>20</v>
      </c>
      <c r="B20" s="8" t="n">
        <f aca="false">COUNT(E20:K20)</f>
        <v>7</v>
      </c>
      <c r="C20" s="38" t="n">
        <f aca="false">SUMIFS($E$120:$E$239,$A$120:$A$239,$A20,$B$120:$B$239,K$11)/1000</f>
        <v>473.55</v>
      </c>
      <c r="D20" s="39" t="s">
        <v>104</v>
      </c>
      <c r="E20" s="13" t="n">
        <f aca="false">IF(SUMIFS($C$120:$C$239,$A$120:$A$239,$A$20,$B$120:$B$239,E$11)=0,"",SUMIFS($N$120:$N$239,$A$120:$A$239,$A$20,$B$120:$B$239,E$11))</f>
        <v>0.161344571434166</v>
      </c>
      <c r="F20" s="13" t="n">
        <f aca="false">IF(SUMIFS($C$120:$C$239,$A$120:$A$239,$A$20,$B$120:$B$239,F$11)=0,"",SUMIFS($N$120:$N$239,$A$120:$A$239,$A$20,$B$120:$B$239,F$11))</f>
        <v>0.0596458622027257</v>
      </c>
      <c r="G20" s="13" t="n">
        <f aca="false">IF(SUMIFS($C$120:$C$239,$A$120:$A$239,$A$20,$B$120:$B$239,G$11)=0,"",SUMIFS($N$120:$N$239,$A$120:$A$239,$A$20,$B$120:$B$239,G$11))</f>
        <v>0.153107988760469</v>
      </c>
      <c r="H20" s="13" t="n">
        <f aca="false">IF(SUMIFS($C$120:$C$239,$A$120:$A$239,$A$20,$B$120:$B$239,H$11)=0,"",SUMIFS($N$120:$N$239,$A$120:$A$239,$A$20,$B$120:$B$239,H$11))</f>
        <v>0.2081863548408</v>
      </c>
      <c r="I20" s="13" t="n">
        <f aca="false">IF(SUMIFS($C$120:$C$239,$A$120:$A$239,$A$20,$B$120:$B$239,I$11)=0,"",SUMIFS($N$120:$N$239,$A$120:$A$239,$A$20,$B$120:$B$239,I$11))</f>
        <v>0.0529035761310866</v>
      </c>
      <c r="J20" s="13" t="n">
        <f aca="false">IF(SUMIFS($C$120:$C$239,$A$120:$A$239,$A$20,$B$120:$B$239,J$11)=0,"",SUMIFS($N$120:$N$239,$A$120:$A$239,$A$20,$B$120:$B$239,J$11))</f>
        <v>0.405065230312946</v>
      </c>
      <c r="K20" s="13" t="n">
        <f aca="false">IF(SUMIFS($C$120:$C$239,$A$120:$A$239,$A$20,$B$120:$B$239,K$11)=0,"",SUMIFS($N$120:$N$239,$A$120:$A$239,$A$20,$B$120:$B$239,K$11))</f>
        <v>0.0746514389580272</v>
      </c>
      <c r="L20" s="13" t="n">
        <f aca="false">V20/O20-1</f>
        <v>1.72570255001112</v>
      </c>
      <c r="M20" s="13" t="n">
        <f aca="false">IF($B20=0,"",(V20/O20)^(1/$B20)-1)</f>
        <v>0.154014348398107</v>
      </c>
      <c r="O20" s="40" t="n">
        <v>100</v>
      </c>
      <c r="P20" s="38" t="n">
        <f aca="false">IF(E20="",O20,O20*(1+E20))</f>
        <v>116.134457143417</v>
      </c>
      <c r="Q20" s="38" t="n">
        <f aca="false">IF(F20="",P20,P20*(1+F20))</f>
        <v>123.061396971181</v>
      </c>
      <c r="R20" s="38" t="n">
        <f aca="false">IF(G20="",Q20,Q20*(1+G20))</f>
        <v>141.903079955492</v>
      </c>
      <c r="S20" s="38" t="n">
        <f aca="false">IF(H20="",R20,R20*(1+H20))</f>
        <v>171.445364912109</v>
      </c>
      <c r="T20" s="38" t="n">
        <f aca="false">IF(I20="",S20,S20*(1+I20))</f>
        <v>180.515437827059</v>
      </c>
      <c r="U20" s="38" t="n">
        <f aca="false">IF(J20="",T20,T20*(1+J20))</f>
        <v>253.635965225519</v>
      </c>
      <c r="V20" s="38" t="n">
        <f aca="false">IF(K20="",U20,U20*(1+K20))</f>
        <v>272.570255001112</v>
      </c>
    </row>
    <row r="21" customFormat="false" ht="15" hidden="false" customHeight="false" outlineLevel="0" collapsed="false">
      <c r="D21" s="39" t="s">
        <v>105</v>
      </c>
      <c r="E21" s="13" t="n">
        <f aca="false">IF(SUMIFS($C$120:$C$239,$A$120:$A$239,$A$20,$B$120:$B$239,E$11)=0,"",SUMIFS($M$120:$M$239,$A$120:$A$239,$A$20,$B$120:$B$239,E$11))</f>
        <v>0.132361108844495</v>
      </c>
      <c r="F21" s="13" t="n">
        <f aca="false">IF(SUMIFS($C$120:$C$239,$A$120:$A$239,$A$20,$B$120:$B$239,F$11)=0,"",SUMIFS($M$120:$M$239,$A$120:$A$239,$A$20,$B$120:$B$239,F$11))</f>
        <v>0.0302495091171564</v>
      </c>
      <c r="G21" s="13" t="n">
        <f aca="false">IF(SUMIFS($C$120:$C$239,$A$120:$A$239,$A$20,$B$120:$B$239,G$11)=0,"",SUMIFS($M$120:$M$239,$A$120:$A$239,$A$20,$B$120:$B$239,G$11))</f>
        <v>0.13405521788358</v>
      </c>
      <c r="H21" s="13" t="n">
        <f aca="false">IF(SUMIFS($C$120:$C$239,$A$120:$A$239,$A$20,$B$120:$B$239,H$11)=0,"",SUMIFS($M$120:$M$239,$A$120:$A$239,$A$20,$B$120:$B$239,H$11))</f>
        <v>0.179318390134156</v>
      </c>
      <c r="I21" s="13" t="n">
        <f aca="false">IF(SUMIFS($C$120:$C$239,$A$120:$A$239,$A$20,$B$120:$B$239,I$11)=0,"",SUMIFS($M$120:$M$239,$A$120:$A$239,$A$20,$B$120:$B$239,I$11))</f>
        <v>0.0294163343518566</v>
      </c>
      <c r="J21" s="13" t="n">
        <f aca="false">IF(SUMIFS($C$120:$C$239,$A$120:$A$239,$A$20,$B$120:$B$239,J$11)=0,"",SUMIFS($M$120:$M$239,$A$120:$A$239,$A$20,$B$120:$B$239,J$11))</f>
        <v>0.372404115423032</v>
      </c>
      <c r="K21" s="13" t="n">
        <f aca="false">IF(SUMIFS($C$120:$C$239,$A$120:$A$239,$A$20,$B$120:$B$239,K$11)=0,"",SUMIFS($M$120:$M$239,$A$120:$A$239,$A$20,$B$120:$B$239,K$11))</f>
        <v>0.0454234609534405</v>
      </c>
      <c r="L21" s="13" t="n">
        <f aca="false">V21/O21-1</f>
        <v>1.30440040227508</v>
      </c>
      <c r="M21" s="13" t="n">
        <f aca="false">IF($B20=0,"",(V21/O21)^(1/$B20)-1)</f>
        <v>0.126662895181518</v>
      </c>
      <c r="O21" s="40" t="n">
        <v>100</v>
      </c>
      <c r="P21" s="38" t="n">
        <f aca="false">IF(E21="",O21,O21*(1+E21))</f>
        <v>113.236110884449</v>
      </c>
      <c r="Q21" s="38" t="n">
        <f aca="false">IF(F21="",P21,P21*(1+F21))</f>
        <v>116.66144765304</v>
      </c>
      <c r="R21" s="38" t="n">
        <f aca="false">IF(G21="",Q21,Q21*(1+G21))</f>
        <v>132.300523436782</v>
      </c>
      <c r="S21" s="38" t="n">
        <f aca="false">IF(H21="",R21,R21*(1+H21))</f>
        <v>156.024440313372</v>
      </c>
      <c r="T21" s="38" t="n">
        <f aca="false">IF(I21="",S21,S21*(1+I21))</f>
        <v>160.614107416691</v>
      </c>
      <c r="U21" s="38" t="n">
        <f aca="false">IF(J21="",T21,T21*(1+J21))</f>
        <v>220.427462013664</v>
      </c>
      <c r="V21" s="38" t="n">
        <f aca="false">IF(K21="",U21,U21*(1+K21))</f>
        <v>230.440040227508</v>
      </c>
    </row>
    <row r="22" customFormat="false" ht="15" hidden="false" customHeight="false" outlineLevel="0" collapsed="false">
      <c r="A22" s="41"/>
      <c r="B22" s="41"/>
      <c r="C22" s="41"/>
      <c r="D22" s="42" t="s">
        <v>106</v>
      </c>
      <c r="E22" s="44" t="n">
        <f aca="false">IF(SUMIFS($C$120:$C$239,$A$120:$A$239,$A$20,$B$120:$B$239,E$11)=0,"",SUMIFS($L$120:$L$239,$A$120:$A$239,$A$20,$B$120:$B$239,E$11))</f>
        <v>0.0289834625896714</v>
      </c>
      <c r="F22" s="44" t="n">
        <f aca="false">IF(SUMIFS($C$120:$C$239,$A$120:$A$239,$A$20,$B$120:$B$239,F$11)=0,"",SUMIFS($L$120:$L$239,$A$120:$A$239,$A$20,$B$120:$B$239,F$11))</f>
        <v>0.0293963530855693</v>
      </c>
      <c r="G22" s="44" t="n">
        <f aca="false">IF(SUMIFS($C$120:$C$239,$A$120:$A$239,$A$20,$B$120:$B$239,G$11)=0,"",SUMIFS($L$120:$L$239,$A$120:$A$239,$A$20,$B$120:$B$239,G$11))</f>
        <v>0.0190527708768892</v>
      </c>
      <c r="H22" s="44" t="n">
        <f aca="false">IF(SUMIFS($C$120:$C$239,$A$120:$A$239,$A$20,$B$120:$B$239,H$11)=0,"",SUMIFS($L$120:$L$239,$A$120:$A$239,$A$20,$B$120:$B$239,H$11))</f>
        <v>0.0288679647066448</v>
      </c>
      <c r="I22" s="44" t="n">
        <f aca="false">IF(SUMIFS($C$120:$C$239,$A$120:$A$239,$A$20,$B$120:$B$239,I$11)=0,"",SUMIFS($L$120:$L$239,$A$120:$A$239,$A$20,$B$120:$B$239,I$11))</f>
        <v>0.02348724177923</v>
      </c>
      <c r="J22" s="44" t="n">
        <f aca="false">IF(SUMIFS($C$120:$C$239,$A$120:$A$239,$A$20,$B$120:$B$239,J$11)=0,"",SUMIFS($L$120:$L$239,$A$120:$A$239,$A$20,$B$120:$B$239,J$11))</f>
        <v>0.0326611148899143</v>
      </c>
      <c r="K22" s="44" t="n">
        <f aca="false">IF(SUMIFS($C$120:$C$239,$A$120:$A$239,$A$20,$B$120:$B$239,K$11)=0,"",SUMIFS($L$120:$L$239,$A$120:$A$239,$A$20,$B$120:$B$239,K$11))</f>
        <v>0.0292279780045867</v>
      </c>
      <c r="L22" s="44" t="n">
        <f aca="false">V22/O22-1</f>
        <v>0.208089695875514</v>
      </c>
      <c r="M22" s="44" t="n">
        <f aca="false">IF($B20=0,"",(V22/O22)^(1/$B20)-1)</f>
        <v>0.0273737245738768</v>
      </c>
      <c r="N22" s="41"/>
      <c r="O22" s="45" t="n">
        <v>100</v>
      </c>
      <c r="P22" s="43" t="n">
        <f aca="false">IF(E22="",O22,O22*(1+E22))</f>
        <v>102.898346258967</v>
      </c>
      <c r="Q22" s="43" t="n">
        <f aca="false">IF(F22="",P22,P22*(1+F22))</f>
        <v>105.923182377517</v>
      </c>
      <c r="R22" s="43" t="n">
        <f aca="false">IF(G22="",Q22,Q22*(1+G22))</f>
        <v>107.941312501907</v>
      </c>
      <c r="S22" s="43" t="n">
        <f aca="false">IF(H22="",R22,R22*(1+H22))</f>
        <v>111.057358501601</v>
      </c>
      <c r="T22" s="43" t="n">
        <f aca="false">IF(I22="",S22,S22*(1+I22))</f>
        <v>113.66578953209</v>
      </c>
      <c r="U22" s="43" t="n">
        <f aca="false">IF(J22="",T22,T22*(1+J22))</f>
        <v>117.378240943051</v>
      </c>
      <c r="V22" s="43" t="n">
        <f aca="false">IF(K22="",U22,U22*(1+K22))</f>
        <v>120.808969587551</v>
      </c>
    </row>
    <row r="23" customFormat="false" ht="15" hidden="false" customHeight="false" outlineLevel="0" collapsed="false">
      <c r="A23" s="4" t="s">
        <v>21</v>
      </c>
      <c r="B23" s="8" t="n">
        <f aca="false">COUNT(E23:K23)</f>
        <v>7</v>
      </c>
      <c r="C23" s="38" t="n">
        <f aca="false">SUMIFS($E$120:$E$239,$A$120:$A$239,$A23,$B$120:$B$239,K$11)/1000</f>
        <v>234.55</v>
      </c>
      <c r="D23" s="39" t="s">
        <v>104</v>
      </c>
      <c r="E23" s="13" t="n">
        <f aca="false">IF(SUMIFS($C$120:$C$239,$A$120:$A$239,$A$23,$B$120:$B$239,E$11)=0,"",SUMIFS($N$120:$N$239,$A$120:$A$239,$A$23,$B$120:$B$239,E$11))</f>
        <v>0.138826402841875</v>
      </c>
      <c r="F23" s="13" t="n">
        <f aca="false">IF(SUMIFS($C$120:$C$239,$A$120:$A$239,$A$23,$B$120:$B$239,F$11)=0,"",SUMIFS($N$120:$N$239,$A$120:$A$239,$A$23,$B$120:$B$239,F$11))</f>
        <v>0.241519441549271</v>
      </c>
      <c r="G23" s="13" t="n">
        <f aca="false">IF(SUMIFS($C$120:$C$239,$A$120:$A$239,$A$23,$B$120:$B$239,G$11)=0,"",SUMIFS($N$120:$N$239,$A$120:$A$239,$A$23,$B$120:$B$239,G$11))</f>
        <v>0.251622808840398</v>
      </c>
      <c r="H23" s="13" t="n">
        <f aca="false">IF(SUMIFS($C$120:$C$239,$A$120:$A$239,$A$23,$B$120:$B$239,H$11)=0,"",SUMIFS($N$120:$N$239,$A$120:$A$239,$A$23,$B$120:$B$239,H$11))</f>
        <v>0.204225289257674</v>
      </c>
      <c r="I23" s="13" t="n">
        <f aca="false">IF(SUMIFS($C$120:$C$239,$A$120:$A$239,$A$23,$B$120:$B$239,I$11)=0,"",SUMIFS($N$120:$N$239,$A$120:$A$239,$A$23,$B$120:$B$239,I$11))</f>
        <v>0.155341859943081</v>
      </c>
      <c r="J23" s="13" t="n">
        <f aca="false">IF(SUMIFS($C$120:$C$239,$A$120:$A$239,$A$23,$B$120:$B$239,J$11)=0,"",SUMIFS($N$120:$N$239,$A$120:$A$239,$A$23,$B$120:$B$239,J$11))</f>
        <v>0.0819686925132762</v>
      </c>
      <c r="K23" s="13" t="n">
        <f aca="false">IF(SUMIFS($C$120:$C$239,$A$120:$A$239,$A$23,$B$120:$B$239,K$11)=0,"",SUMIFS($N$120:$N$239,$A$120:$A$239,$A$23,$B$120:$B$239,K$11))</f>
        <v>0.0588712717596186</v>
      </c>
      <c r="L23" s="13" t="n">
        <f aca="false">V23/O23-1</f>
        <v>1.82072425621719</v>
      </c>
      <c r="M23" s="13" t="n">
        <f aca="false">IF($B23=0,"",(V23/O23)^(1/$B23)-1)</f>
        <v>0.159677505940945</v>
      </c>
      <c r="O23" s="40" t="n">
        <v>100</v>
      </c>
      <c r="P23" s="38" t="n">
        <f aca="false">IF(E23="",O23,O23*(1+E23))</f>
        <v>113.882640284188</v>
      </c>
      <c r="Q23" s="38" t="n">
        <f aca="false">IF(F23="",P23,P23*(1+F23))</f>
        <v>141.387511967781</v>
      </c>
      <c r="R23" s="38" t="n">
        <f aca="false">IF(G23="",Q23,Q23*(1+G23))</f>
        <v>176.963834864069</v>
      </c>
      <c r="S23" s="38" t="n">
        <f aca="false">IF(H23="",R23,R23*(1+H23))</f>
        <v>213.104325227331</v>
      </c>
      <c r="T23" s="38" t="n">
        <f aca="false">IF(I23="",S23,S23*(1+I23))</f>
        <v>246.20834747006</v>
      </c>
      <c r="U23" s="38" t="n">
        <f aca="false">IF(J23="",T23,T23*(1+J23))</f>
        <v>266.389723798035</v>
      </c>
      <c r="V23" s="38" t="n">
        <f aca="false">IF(K23="",U23,U23*(1+K23))</f>
        <v>282.072425621719</v>
      </c>
    </row>
    <row r="24" customFormat="false" ht="15" hidden="false" customHeight="false" outlineLevel="0" collapsed="false">
      <c r="D24" s="39" t="s">
        <v>105</v>
      </c>
      <c r="E24" s="13" t="n">
        <f aca="false">IF(SUMIFS($C$120:$C$239,$A$120:$A$239,$A$23,$B$120:$B$239,E$11)=0,"",SUMIFS($M$120:$M$239,$A$120:$A$239,$A$23,$B$120:$B$239,E$11))</f>
        <v>0.105524815857164</v>
      </c>
      <c r="F24" s="13" t="n">
        <f aca="false">IF(SUMIFS($C$120:$C$239,$A$120:$A$239,$A$23,$B$120:$B$239,F$11)=0,"",SUMIFS($M$120:$M$239,$A$120:$A$239,$A$23,$B$120:$B$239,F$11))</f>
        <v>0.207862357805557</v>
      </c>
      <c r="G24" s="13" t="n">
        <f aca="false">IF(SUMIFS($C$120:$C$239,$A$120:$A$239,$A$23,$B$120:$B$239,G$11)=0,"",SUMIFS($M$120:$M$239,$A$120:$A$239,$A$23,$B$120:$B$239,G$11))</f>
        <v>0.220060869811145</v>
      </c>
      <c r="H24" s="13" t="n">
        <f aca="false">IF(SUMIFS($C$120:$C$239,$A$120:$A$239,$A$23,$B$120:$B$239,H$11)=0,"",SUMIFS($M$120:$M$239,$A$120:$A$239,$A$23,$B$120:$B$239,H$11))</f>
        <v>0.145787652587328</v>
      </c>
      <c r="I24" s="13" t="n">
        <f aca="false">IF(SUMIFS($C$120:$C$239,$A$120:$A$239,$A$23,$B$120:$B$239,I$11)=0,"",SUMIFS($M$120:$M$239,$A$120:$A$239,$A$23,$B$120:$B$239,I$11))</f>
        <v>0.117304958317315</v>
      </c>
      <c r="J24" s="13" t="n">
        <f aca="false">IF(SUMIFS($C$120:$C$239,$A$120:$A$239,$A$23,$B$120:$B$239,J$11)=0,"",SUMIFS($M$120:$M$239,$A$120:$A$239,$A$23,$B$120:$B$239,J$11))</f>
        <v>0.0438304814133491</v>
      </c>
      <c r="K24" s="13" t="n">
        <f aca="false">IF(SUMIFS($C$120:$C$239,$A$120:$A$239,$A$23,$B$120:$B$239,K$11)=0,"",SUMIFS($M$120:$M$239,$A$120:$A$239,$A$23,$B$120:$B$239,K$11))</f>
        <v>0.0216254573677791</v>
      </c>
      <c r="L24" s="13" t="n">
        <f aca="false">V24/O24-1</f>
        <v>1.22415467483628</v>
      </c>
      <c r="M24" s="13" t="n">
        <f aca="false">IF($B23=0,"",(V24/O24)^(1/$B23)-1)</f>
        <v>0.120972602034307</v>
      </c>
      <c r="O24" s="40" t="n">
        <v>100</v>
      </c>
      <c r="P24" s="38" t="n">
        <f aca="false">IF(E24="",O24,O24*(1+E24))</f>
        <v>110.552481585716</v>
      </c>
      <c r="Q24" s="38" t="n">
        <f aca="false">IF(F24="",P24,P24*(1+F24))</f>
        <v>133.532181069379</v>
      </c>
      <c r="R24" s="38" t="n">
        <f aca="false">IF(G24="",Q24,Q24*(1+G24))</f>
        <v>162.917388983286</v>
      </c>
      <c r="S24" s="38" t="n">
        <f aca="false">IF(H24="",R24,R24*(1+H24))</f>
        <v>186.668732688815</v>
      </c>
      <c r="T24" s="38" t="n">
        <f aca="false">IF(I24="",S24,S24*(1+I24))</f>
        <v>208.565900596023</v>
      </c>
      <c r="U24" s="38" t="n">
        <f aca="false">IF(J24="",T24,T24*(1+J24))</f>
        <v>217.707444425555</v>
      </c>
      <c r="V24" s="38" t="n">
        <f aca="false">IF(K24="",U24,U24*(1+K24))</f>
        <v>222.415467483628</v>
      </c>
    </row>
    <row r="25" customFormat="false" ht="15" hidden="false" customHeight="false" outlineLevel="0" collapsed="false">
      <c r="A25" s="41"/>
      <c r="B25" s="41"/>
      <c r="C25" s="41"/>
      <c r="D25" s="42" t="s">
        <v>106</v>
      </c>
      <c r="E25" s="44" t="n">
        <f aca="false">IF(SUMIFS($C$120:$C$239,$A$120:$A$239,$A$23,$B$120:$B$239,E$11)=0,"",SUMIFS($L$120:$L$239,$A$120:$A$239,$A$23,$B$120:$B$239,E$11))</f>
        <v>0.0333015869847111</v>
      </c>
      <c r="F25" s="44" t="n">
        <f aca="false">IF(SUMIFS($C$120:$C$239,$A$120:$A$239,$A$23,$B$120:$B$239,F$11)=0,"",SUMIFS($L$120:$L$239,$A$120:$A$239,$A$23,$B$120:$B$239,F$11))</f>
        <v>0.0336570837437144</v>
      </c>
      <c r="G25" s="44" t="n">
        <f aca="false">IF(SUMIFS($C$120:$C$239,$A$120:$A$239,$A$23,$B$120:$B$239,G$11)=0,"",SUMIFS($L$120:$L$239,$A$120:$A$239,$A$23,$B$120:$B$239,G$11))</f>
        <v>0.0315619390292526</v>
      </c>
      <c r="H25" s="44" t="n">
        <f aca="false">IF(SUMIFS($C$120:$C$239,$A$120:$A$239,$A$23,$B$120:$B$239,H$11)=0,"",SUMIFS($L$120:$L$239,$A$120:$A$239,$A$23,$B$120:$B$239,H$11))</f>
        <v>0.0584376366703459</v>
      </c>
      <c r="I25" s="44" t="n">
        <f aca="false">IF(SUMIFS($C$120:$C$239,$A$120:$A$239,$A$23,$B$120:$B$239,I$11)=0,"",SUMIFS($L$120:$L$239,$A$120:$A$239,$A$23,$B$120:$B$239,I$11))</f>
        <v>0.0380369016257666</v>
      </c>
      <c r="J25" s="44" t="n">
        <f aca="false">IF(SUMIFS($C$120:$C$239,$A$120:$A$239,$A$23,$B$120:$B$239,J$11)=0,"",SUMIFS($L$120:$L$239,$A$120:$A$239,$A$23,$B$120:$B$239,J$11))</f>
        <v>0.0381382110999271</v>
      </c>
      <c r="K25" s="44" t="n">
        <f aca="false">IF(SUMIFS($C$120:$C$239,$A$120:$A$239,$A$23,$B$120:$B$239,K$11)=0,"",SUMIFS($L$120:$L$239,$A$120:$A$239,$A$23,$B$120:$B$239,K$11))</f>
        <v>0.0372458143918395</v>
      </c>
      <c r="L25" s="44" t="n">
        <f aca="false">V25/O25-1</f>
        <v>0.303508375887567</v>
      </c>
      <c r="M25" s="44" t="n">
        <f aca="false">IF($B23=0,"",(V25/O25)^(1/$B23)-1)</f>
        <v>0.0385916634976005</v>
      </c>
      <c r="N25" s="41"/>
      <c r="O25" s="45" t="n">
        <v>100</v>
      </c>
      <c r="P25" s="43" t="n">
        <f aca="false">IF(E25="",O25,O25*(1+E25))</f>
        <v>103.330158698471</v>
      </c>
      <c r="Q25" s="43" t="n">
        <f aca="false">IF(F25="",P25,P25*(1+F25))</f>
        <v>106.807950503037</v>
      </c>
      <c r="R25" s="43" t="n">
        <f aca="false">IF(G25="",Q25,Q25*(1+G25))</f>
        <v>110.179016524653</v>
      </c>
      <c r="S25" s="43" t="n">
        <f aca="false">IF(H25="",R25,R25*(1+H25))</f>
        <v>116.617617861017</v>
      </c>
      <c r="T25" s="43" t="n">
        <f aca="false">IF(I25="",S25,S25*(1+I25))</f>
        <v>121.053390719428</v>
      </c>
      <c r="U25" s="43" t="n">
        <f aca="false">IF(J25="",T25,T25*(1+J25))</f>
        <v>125.670150489047</v>
      </c>
      <c r="V25" s="43" t="n">
        <f aca="false">IF(K25="",U25,U25*(1+K25))</f>
        <v>130.350837588757</v>
      </c>
    </row>
    <row r="26" customFormat="false" ht="15" hidden="false" customHeight="false" outlineLevel="0" collapsed="false">
      <c r="A26" s="4" t="s">
        <v>22</v>
      </c>
      <c r="B26" s="8" t="n">
        <f aca="false">COUNT(E26:K26)</f>
        <v>7</v>
      </c>
      <c r="C26" s="38" t="n">
        <f aca="false">SUMIFS($E$120:$E$239,$A$120:$A$239,$A26,$B$120:$B$239,K$11)/1000</f>
        <v>166.43</v>
      </c>
      <c r="D26" s="39" t="s">
        <v>104</v>
      </c>
      <c r="E26" s="13" t="n">
        <f aca="false">IF(SUMIFS($C$120:$C$239,$A$120:$A$239,$A$26,$B$120:$B$239,E$11)=0,"",SUMIFS($N$120:$N$239,$A$120:$A$239,$A$26,$B$120:$B$239,E$11))</f>
        <v>0.179839676133476</v>
      </c>
      <c r="F26" s="13" t="n">
        <f aca="false">IF(SUMIFS($C$120:$C$239,$A$120:$A$239,$A$26,$B$120:$B$239,F$11)=0,"",SUMIFS($N$120:$N$239,$A$120:$A$239,$A$26,$B$120:$B$239,F$11))</f>
        <v>0.227852668947948</v>
      </c>
      <c r="G26" s="13" t="n">
        <f aca="false">IF(SUMIFS($C$120:$C$239,$A$120:$A$239,$A$26,$B$120:$B$239,G$11)=0,"",SUMIFS($N$120:$N$239,$A$120:$A$239,$A$26,$B$120:$B$239,G$11))</f>
        <v>0.474229505240528</v>
      </c>
      <c r="H26" s="13" t="n">
        <f aca="false">IF(SUMIFS($C$120:$C$239,$A$120:$A$239,$A$26,$B$120:$B$239,H$11)=0,"",SUMIFS($N$120:$N$239,$A$120:$A$239,$A$26,$B$120:$B$239,H$11))</f>
        <v>0.201442730467258</v>
      </c>
      <c r="I26" s="13" t="n">
        <f aca="false">IF(SUMIFS($C$120:$C$239,$A$120:$A$239,$A$26,$B$120:$B$239,I$11)=0,"",SUMIFS($N$120:$N$239,$A$120:$A$239,$A$26,$B$120:$B$239,I$11))</f>
        <v>-0.100992814836392</v>
      </c>
      <c r="J26" s="13" t="n">
        <f aca="false">IF(SUMIFS($C$120:$C$239,$A$120:$A$239,$A$26,$B$120:$B$239,J$11)=0,"",SUMIFS($N$120:$N$239,$A$120:$A$239,$A$26,$B$120:$B$239,J$11))</f>
        <v>0.117045454545455</v>
      </c>
      <c r="K26" s="13" t="n">
        <f aca="false">IF(SUMIFS($C$120:$C$239,$A$120:$A$239,$A$26,$B$120:$B$239,K$11)=0,"",SUMIFS($N$120:$N$239,$A$120:$A$239,$A$26,$B$120:$B$239,K$11))</f>
        <v>0.105675172303567</v>
      </c>
      <c r="L26" s="13" t="n">
        <f aca="false">V26/O26-1</f>
        <v>1.84904293680737</v>
      </c>
      <c r="M26" s="13" t="n">
        <f aca="false">IF($B26=0,"",(V26/O26)^(1/$B26)-1)</f>
        <v>0.16133362100918</v>
      </c>
      <c r="O26" s="40" t="n">
        <v>100</v>
      </c>
      <c r="P26" s="38" t="n">
        <f aca="false">IF(E26="",O26,O26*(1+E26))</f>
        <v>117.983967613348</v>
      </c>
      <c r="Q26" s="38" t="n">
        <f aca="false">IF(F26="",P26,P26*(1+F26))</f>
        <v>144.866929527117</v>
      </c>
      <c r="R26" s="38" t="n">
        <f aca="false">IF(G26="",Q26,Q26*(1+G26))</f>
        <v>213.567101842476</v>
      </c>
      <c r="S26" s="38" t="n">
        <f aca="false">IF(H26="",R26,R26*(1+H26))</f>
        <v>256.588641975604</v>
      </c>
      <c r="T26" s="38" t="n">
        <f aca="false">IF(I26="",S26,S26*(1+I26))</f>
        <v>230.67503276744</v>
      </c>
      <c r="U26" s="38" t="n">
        <f aca="false">IF(J26="",T26,T26*(1+J26))</f>
        <v>257.674496829993</v>
      </c>
      <c r="V26" s="38" t="n">
        <f aca="false">IF(K26="",U26,U26*(1+K26))</f>
        <v>284.904293680737</v>
      </c>
    </row>
    <row r="27" customFormat="false" ht="15" hidden="false" customHeight="false" outlineLevel="0" collapsed="false">
      <c r="D27" s="39" t="s">
        <v>105</v>
      </c>
      <c r="E27" s="13" t="n">
        <f aca="false">IF(SUMIFS($C$120:$C$239,$A$120:$A$239,$A$26,$B$120:$B$239,E$11)=0,"",SUMIFS($M$120:$M$239,$A$120:$A$239,$A$26,$B$120:$B$239,E$11))</f>
        <v>0.152163475689218</v>
      </c>
      <c r="F27" s="13" t="n">
        <f aca="false">IF(SUMIFS($C$120:$C$239,$A$120:$A$239,$A$26,$B$120:$B$239,F$11)=0,"",SUMIFS($M$120:$M$239,$A$120:$A$239,$A$26,$B$120:$B$239,F$11))</f>
        <v>0.19373143946817</v>
      </c>
      <c r="G27" s="13" t="n">
        <f aca="false">IF(SUMIFS($C$120:$C$239,$A$120:$A$239,$A$26,$B$120:$B$239,G$11)=0,"",SUMIFS($M$120:$M$239,$A$120:$A$239,$A$26,$B$120:$B$239,G$11))</f>
        <v>0.435310497275005</v>
      </c>
      <c r="H27" s="13" t="n">
        <f aca="false">IF(SUMIFS($C$120:$C$239,$A$120:$A$239,$A$26,$B$120:$B$239,H$11)=0,"",SUMIFS($M$120:$M$239,$A$120:$A$239,$A$26,$B$120:$B$239,H$11))</f>
        <v>0.145464227781846</v>
      </c>
      <c r="I27" s="13" t="n">
        <f aca="false">IF(SUMIFS($C$120:$C$239,$A$120:$A$239,$A$26,$B$120:$B$239,I$11)=0,"",SUMIFS($M$120:$M$239,$A$120:$A$239,$A$26,$B$120:$B$239,I$11))</f>
        <v>-0.133593067288086</v>
      </c>
      <c r="J27" s="13" t="n">
        <f aca="false">IF(SUMIFS($C$120:$C$239,$A$120:$A$239,$A$26,$B$120:$B$239,J$11)=0,"",SUMIFS($M$120:$M$239,$A$120:$A$239,$A$26,$B$120:$B$239,J$11))</f>
        <v>0.0764169472502806</v>
      </c>
      <c r="K27" s="13" t="n">
        <f aca="false">IF(SUMIFS($C$120:$C$239,$A$120:$A$239,$A$26,$B$120:$B$239,K$11)=0,"",SUMIFS($M$120:$M$239,$A$120:$A$239,$A$26,$B$120:$B$239,K$11))</f>
        <v>0.0657574996493586</v>
      </c>
      <c r="L27" s="13" t="n">
        <f aca="false">V27/O27-1</f>
        <v>1.24754797505951</v>
      </c>
      <c r="M27" s="13" t="n">
        <f aca="false">IF($B26=0,"",(V27/O27)^(1/$B26)-1)</f>
        <v>0.122649374384171</v>
      </c>
      <c r="O27" s="40" t="n">
        <v>100</v>
      </c>
      <c r="P27" s="38" t="n">
        <f aca="false">IF(E27="",O27,O27*(1+E27))</f>
        <v>115.216347568922</v>
      </c>
      <c r="Q27" s="38" t="n">
        <f aca="false">IF(F27="",P27,P27*(1+F27))</f>
        <v>137.537376433714</v>
      </c>
      <c r="R27" s="38" t="n">
        <f aca="false">IF(G27="",Q27,Q27*(1+G27))</f>
        <v>197.408840162974</v>
      </c>
      <c r="S27" s="38" t="n">
        <f aca="false">IF(H27="",R27,R27*(1+H27))</f>
        <v>226.12476465459</v>
      </c>
      <c r="T27" s="38" t="n">
        <f aca="false">IF(I27="",S27,S27*(1+I27))</f>
        <v>195.916063754587</v>
      </c>
      <c r="U27" s="38" t="n">
        <f aca="false">IF(J27="",T27,T27*(1+J27))</f>
        <v>210.887371264004</v>
      </c>
      <c r="V27" s="38" t="n">
        <f aca="false">IF(K27="",U27,U27*(1+K27))</f>
        <v>224.754797505951</v>
      </c>
    </row>
    <row r="28" customFormat="false" ht="15" hidden="false" customHeight="false" outlineLevel="0" collapsed="false">
      <c r="A28" s="41"/>
      <c r="B28" s="41"/>
      <c r="C28" s="41"/>
      <c r="D28" s="42" t="s">
        <v>106</v>
      </c>
      <c r="E28" s="44" t="n">
        <f aca="false">IF(SUMIFS($C$120:$C$239,$A$120:$A$239,$A$26,$B$120:$B$239,E$11)=0,"",SUMIFS($L$120:$L$239,$A$120:$A$239,$A$26,$B$120:$B$239,E$11))</f>
        <v>0.0276762004442579</v>
      </c>
      <c r="F28" s="44" t="n">
        <f aca="false">IF(SUMIFS($C$120:$C$239,$A$120:$A$239,$A$26,$B$120:$B$239,F$11)=0,"",SUMIFS($L$120:$L$239,$A$120:$A$239,$A$26,$B$120:$B$239,F$11))</f>
        <v>0.0341212294797775</v>
      </c>
      <c r="G28" s="44" t="n">
        <f aca="false">IF(SUMIFS($C$120:$C$239,$A$120:$A$239,$A$26,$B$120:$B$239,G$11)=0,"",SUMIFS($L$120:$L$239,$A$120:$A$239,$A$26,$B$120:$B$239,G$11))</f>
        <v>0.0389190079655229</v>
      </c>
      <c r="H28" s="44" t="n">
        <f aca="false">IF(SUMIFS($C$120:$C$239,$A$120:$A$239,$A$26,$B$120:$B$239,H$11)=0,"",SUMIFS($L$120:$L$239,$A$120:$A$239,$A$26,$B$120:$B$239,H$11))</f>
        <v>0.0559785026854126</v>
      </c>
      <c r="I28" s="44" t="n">
        <f aca="false">IF(SUMIFS($C$120:$C$239,$A$120:$A$239,$A$26,$B$120:$B$239,I$11)=0,"",SUMIFS($L$120:$L$239,$A$120:$A$239,$A$26,$B$120:$B$239,I$11))</f>
        <v>0.0326002524516943</v>
      </c>
      <c r="J28" s="44" t="n">
        <f aca="false">IF(SUMIFS($C$120:$C$239,$A$120:$A$239,$A$26,$B$120:$B$239,J$11)=0,"",SUMIFS($L$120:$L$239,$A$120:$A$239,$A$26,$B$120:$B$239,J$11))</f>
        <v>0.040628507295174</v>
      </c>
      <c r="K28" s="44" t="n">
        <f aca="false">IF(SUMIFS($C$120:$C$239,$A$120:$A$239,$A$26,$B$120:$B$239,K$11)=0,"",SUMIFS($L$120:$L$239,$A$120:$A$239,$A$26,$B$120:$B$239,K$11))</f>
        <v>0.0399176726542088</v>
      </c>
      <c r="L28" s="44" t="n">
        <f aca="false">V28/O28-1</f>
        <v>0.302841028239213</v>
      </c>
      <c r="M28" s="44" t="n">
        <f aca="false">IF($B26=0,"",(V28/O28)^(1/$B26)-1)</f>
        <v>0.0385156868004579</v>
      </c>
      <c r="N28" s="41"/>
      <c r="O28" s="45" t="n">
        <v>100</v>
      </c>
      <c r="P28" s="43" t="n">
        <f aca="false">IF(E28="",O28,O28*(1+E28))</f>
        <v>102.767620044426</v>
      </c>
      <c r="Q28" s="43" t="n">
        <f aca="false">IF(F28="",P28,P28*(1+F28))</f>
        <v>106.274177591052</v>
      </c>
      <c r="R28" s="43" t="n">
        <f aca="false">IF(G28="",Q28,Q28*(1+G28))</f>
        <v>110.410263155248</v>
      </c>
      <c r="S28" s="43" t="n">
        <f aca="false">IF(H28="",R28,R28*(1+H28))</f>
        <v>116.590864367781</v>
      </c>
      <c r="T28" s="43" t="n">
        <f aca="false">IF(I28="",S28,S28*(1+I28))</f>
        <v>120.391755979732</v>
      </c>
      <c r="U28" s="43" t="n">
        <f aca="false">IF(J28="",T28,T28*(1+J28))</f>
        <v>125.283093315833</v>
      </c>
      <c r="V28" s="43" t="n">
        <f aca="false">IF(K28="",U28,U28*(1+K28))</f>
        <v>130.284102823921</v>
      </c>
    </row>
    <row r="29" customFormat="false" ht="15" hidden="false" customHeight="false" outlineLevel="0" collapsed="false">
      <c r="A29" s="4" t="s">
        <v>23</v>
      </c>
      <c r="B29" s="8" t="n">
        <f aca="false">COUNT(E29:K29)</f>
        <v>7</v>
      </c>
      <c r="C29" s="38" t="n">
        <f aca="false">SUMIFS($E$120:$E$239,$A$120:$A$239,$A29,$B$120:$B$239,K$11)/1000</f>
        <v>222.86</v>
      </c>
      <c r="D29" s="39" t="s">
        <v>104</v>
      </c>
      <c r="E29" s="13" t="n">
        <f aca="false">IF(SUMIFS($C$120:$C$239,$A$120:$A$239,$A$29,$B$120:$B$239,E$11)=0,"",SUMIFS($N$120:$N$239,$A$120:$A$239,$A$29,$B$120:$B$239,E$11))</f>
        <v>0.609640190088255</v>
      </c>
      <c r="F29" s="13" t="n">
        <f aca="false">IF(SUMIFS($C$120:$C$239,$A$120:$A$239,$A$29,$B$120:$B$239,F$11)=0,"",SUMIFS($N$120:$N$239,$A$120:$A$239,$A$29,$B$120:$B$239,F$11))</f>
        <v>-0.132910556216145</v>
      </c>
      <c r="G29" s="13" t="n">
        <f aca="false">IF(SUMIFS($C$120:$C$239,$A$120:$A$239,$A$29,$B$120:$B$239,G$11)=0,"",SUMIFS($N$120:$N$239,$A$120:$A$239,$A$29,$B$120:$B$239,G$11))</f>
        <v>0.46341092763309</v>
      </c>
      <c r="H29" s="13" t="n">
        <f aca="false">IF(SUMIFS($C$120:$C$239,$A$120:$A$239,$A$29,$B$120:$B$239,H$11)=0,"",SUMIFS($N$120:$N$239,$A$120:$A$239,$A$29,$B$120:$B$239,H$11))</f>
        <v>0.173731643637184</v>
      </c>
      <c r="I29" s="13" t="n">
        <f aca="false">IF(SUMIFS($C$120:$C$239,$A$120:$A$239,$A$29,$B$120:$B$239,I$11)=0,"",SUMIFS($N$120:$N$239,$A$120:$A$239,$A$29,$B$120:$B$239,I$11))</f>
        <v>0.345294838621817</v>
      </c>
      <c r="J29" s="13" t="n">
        <f aca="false">IF(SUMIFS($C$120:$C$239,$A$120:$A$239,$A$29,$B$120:$B$239,J$11)=0,"",SUMIFS($N$120:$N$239,$A$120:$A$239,$A$29,$B$120:$B$239,J$11))</f>
        <v>0.143266213351718</v>
      </c>
      <c r="K29" s="13" t="n">
        <f aca="false">IF(SUMIFS($C$120:$C$239,$A$120:$A$239,$A$29,$B$120:$B$239,K$11)=0,"",SUMIFS($N$120:$N$239,$A$120:$A$239,$A$29,$B$120:$B$239,K$11))</f>
        <v>0.143842695599489</v>
      </c>
      <c r="L29" s="13" t="n">
        <f aca="false">V29/O29-1</f>
        <v>3.21753758326195</v>
      </c>
      <c r="M29" s="13" t="n">
        <f aca="false">IF($B29=0,"",(V29/O29)^(1/$B29)-1)</f>
        <v>0.22827082817287</v>
      </c>
      <c r="O29" s="40" t="n">
        <v>100</v>
      </c>
      <c r="P29" s="38" t="n">
        <f aca="false">IF(E29="",O29,O29*(1+E29))</f>
        <v>160.964019008826</v>
      </c>
      <c r="Q29" s="38" t="n">
        <f aca="false">IF(F29="",P29,P29*(1+F29))</f>
        <v>139.570201711576</v>
      </c>
      <c r="R29" s="38" t="n">
        <f aca="false">IF(G29="",Q29,Q29*(1+G29))</f>
        <v>204.248558356676</v>
      </c>
      <c r="S29" s="38" t="n">
        <f aca="false">IF(H29="",R29,R29*(1+H29))</f>
        <v>239.732996110506</v>
      </c>
      <c r="T29" s="38" t="n">
        <f aca="false">IF(I29="",S29,S29*(1+I29))</f>
        <v>322.511562314808</v>
      </c>
      <c r="U29" s="38" t="n">
        <f aca="false">IF(J29="",T29,T29*(1+J29))</f>
        <v>368.716572609797</v>
      </c>
      <c r="V29" s="38" t="n">
        <f aca="false">IF(K29="",U29,U29*(1+K29))</f>
        <v>421.753758326195</v>
      </c>
    </row>
    <row r="30" customFormat="false" ht="15" hidden="false" customHeight="false" outlineLevel="0" collapsed="false">
      <c r="D30" s="39" t="s">
        <v>105</v>
      </c>
      <c r="E30" s="13" t="n">
        <f aca="false">IF(SUMIFS($C$120:$C$239,$A$120:$A$239,$A$29,$B$120:$B$239,E$11)=0,"",SUMIFS($M$120:$M$239,$A$120:$A$239,$A$29,$B$120:$B$239,E$11))</f>
        <v>0.609640190088255</v>
      </c>
      <c r="F30" s="13" t="n">
        <f aca="false">IF(SUMIFS($C$120:$C$239,$A$120:$A$239,$A$29,$B$120:$B$239,F$11)=0,"",SUMIFS($M$120:$M$239,$A$120:$A$239,$A$29,$B$120:$B$239,F$11))</f>
        <v>-0.137719645924164</v>
      </c>
      <c r="G30" s="13" t="n">
        <f aca="false">IF(SUMIFS($C$120:$C$239,$A$120:$A$239,$A$29,$B$120:$B$239,G$11)=0,"",SUMIFS($M$120:$M$239,$A$120:$A$239,$A$29,$B$120:$B$239,G$11))</f>
        <v>0.43623547131701</v>
      </c>
      <c r="H30" s="13" t="n">
        <f aca="false">IF(SUMIFS($C$120:$C$239,$A$120:$A$239,$A$29,$B$120:$B$239,H$11)=0,"",SUMIFS($M$120:$M$239,$A$120:$A$239,$A$29,$B$120:$B$239,H$11))</f>
        <v>0.143667542741159</v>
      </c>
      <c r="I30" s="13" t="n">
        <f aca="false">IF(SUMIFS($C$120:$C$239,$A$120:$A$239,$A$29,$B$120:$B$239,I$11)=0,"",SUMIFS($M$120:$M$239,$A$120:$A$239,$A$29,$B$120:$B$239,I$11))</f>
        <v>0.323974457911541</v>
      </c>
      <c r="J30" s="13" t="n">
        <f aca="false">IF(SUMIFS($C$120:$C$239,$A$120:$A$239,$A$29,$B$120:$B$239,J$11)=0,"",SUMIFS($M$120:$M$239,$A$120:$A$239,$A$29,$B$120:$B$239,J$11))</f>
        <v>0.124757918946829</v>
      </c>
      <c r="K30" s="13" t="n">
        <f aca="false">IF(SUMIFS($C$120:$C$239,$A$120:$A$239,$A$29,$B$120:$B$239,K$11)=0,"",SUMIFS($M$120:$M$239,$A$120:$A$239,$A$29,$B$120:$B$239,K$11))</f>
        <v>0.125503413794684</v>
      </c>
      <c r="L30" s="13" t="n">
        <f aca="false">V30/O30-1</f>
        <v>2.82109843749754</v>
      </c>
      <c r="M30" s="13" t="n">
        <f aca="false">IF($B29=0,"",(V30/O30)^(1/$B29)-1)</f>
        <v>0.211071395462621</v>
      </c>
      <c r="O30" s="40" t="n">
        <v>100</v>
      </c>
      <c r="P30" s="38" t="n">
        <f aca="false">IF(E30="",O30,O30*(1+E30))</f>
        <v>160.964019008826</v>
      </c>
      <c r="Q30" s="38" t="n">
        <f aca="false">IF(F30="",P30,P30*(1+F30))</f>
        <v>138.7961113044</v>
      </c>
      <c r="R30" s="38" t="n">
        <f aca="false">IF(G30="",Q30,Q30*(1+G30))</f>
        <v>199.343898336243</v>
      </c>
      <c r="S30" s="38" t="n">
        <f aca="false">IF(H30="",R30,R30*(1+H30))</f>
        <v>227.983146370654</v>
      </c>
      <c r="T30" s="38" t="n">
        <f aca="false">IF(I30="",S30,S30*(1+I30))</f>
        <v>301.843862629054</v>
      </c>
      <c r="U30" s="38" t="n">
        <f aca="false">IF(J30="",T30,T30*(1+J30))</f>
        <v>339.501274777528</v>
      </c>
      <c r="V30" s="38" t="n">
        <f aca="false">IF(K30="",U30,U30*(1+K30))</f>
        <v>382.109843749754</v>
      </c>
    </row>
    <row r="31" customFormat="false" ht="15" hidden="false" customHeight="false" outlineLevel="0" collapsed="false">
      <c r="A31" s="41"/>
      <c r="B31" s="41"/>
      <c r="C31" s="41"/>
      <c r="D31" s="42" t="s">
        <v>106</v>
      </c>
      <c r="E31" s="44" t="n">
        <f aca="false">IF(SUMIFS($C$120:$C$239,$A$120:$A$239,$A$29,$B$120:$B$239,E$11)=0,"",SUMIFS($L$120:$L$239,$A$120:$A$239,$A$29,$B$120:$B$239,E$11))</f>
        <v>0</v>
      </c>
      <c r="F31" s="44" t="n">
        <f aca="false">IF(SUMIFS($C$120:$C$239,$A$120:$A$239,$A$29,$B$120:$B$239,F$11)=0,"",SUMIFS($L$120:$L$239,$A$120:$A$239,$A$29,$B$120:$B$239,F$11))</f>
        <v>0.00480908970801955</v>
      </c>
      <c r="G31" s="44" t="n">
        <f aca="false">IF(SUMIFS($C$120:$C$239,$A$120:$A$239,$A$29,$B$120:$B$239,G$11)=0,"",SUMIFS($L$120:$L$239,$A$120:$A$239,$A$29,$B$120:$B$239,G$11))</f>
        <v>0.0271754563160802</v>
      </c>
      <c r="H31" s="44" t="n">
        <f aca="false">IF(SUMIFS($C$120:$C$239,$A$120:$A$239,$A$29,$B$120:$B$239,H$11)=0,"",SUMIFS($L$120:$L$239,$A$120:$A$239,$A$29,$B$120:$B$239,H$11))</f>
        <v>0.0300641008960247</v>
      </c>
      <c r="I31" s="44" t="n">
        <f aca="false">IF(SUMIFS($C$120:$C$239,$A$120:$A$239,$A$29,$B$120:$B$239,I$11)=0,"",SUMIFS($L$120:$L$239,$A$120:$A$239,$A$29,$B$120:$B$239,I$11))</f>
        <v>0.0213203807102759</v>
      </c>
      <c r="J31" s="44" t="n">
        <f aca="false">IF(SUMIFS($C$120:$C$239,$A$120:$A$239,$A$29,$B$120:$B$239,J$11)=0,"",SUMIFS($L$120:$L$239,$A$120:$A$239,$A$29,$B$120:$B$239,J$11))</f>
        <v>0.0185082944048883</v>
      </c>
      <c r="K31" s="44" t="n">
        <f aca="false">IF(SUMIFS($C$120:$C$239,$A$120:$A$239,$A$29,$B$120:$B$239,K$11)=0,"",SUMIFS($L$120:$L$239,$A$120:$A$239,$A$29,$B$120:$B$239,K$11))</f>
        <v>0.0183392818048053</v>
      </c>
      <c r="L31" s="44" t="n">
        <f aca="false">V31/O31-1</f>
        <v>0.126189582687576</v>
      </c>
      <c r="M31" s="44" t="n">
        <f aca="false">IF($B29=0,"",(V31/O31)^(1/$B29)-1)</f>
        <v>0.0171220566749857</v>
      </c>
      <c r="N31" s="41"/>
      <c r="O31" s="45" t="n">
        <v>100</v>
      </c>
      <c r="P31" s="43" t="n">
        <f aca="false">IF(E31="",O31,O31*(1+E31))</f>
        <v>100</v>
      </c>
      <c r="Q31" s="43" t="n">
        <f aca="false">IF(F31="",P31,P31*(1+F31))</f>
        <v>100.480908970802</v>
      </c>
      <c r="R31" s="43" t="n">
        <f aca="false">IF(G31="",Q31,Q31*(1+G31))</f>
        <v>103.211523523138</v>
      </c>
      <c r="S31" s="43" t="n">
        <f aca="false">IF(H31="",R31,R31*(1+H31))</f>
        <v>106.31448517997</v>
      </c>
      <c r="T31" s="43" t="n">
        <f aca="false">IF(I31="",S31,S31*(1+I31))</f>
        <v>108.581150479024</v>
      </c>
      <c r="U31" s="43" t="n">
        <f aca="false">IF(J31="",T31,T31*(1+J31))</f>
        <v>110.590802378911</v>
      </c>
      <c r="V31" s="43" t="n">
        <f aca="false">IF(K31="",U31,U31*(1+K31))</f>
        <v>112.618958268758</v>
      </c>
    </row>
    <row r="32" customFormat="false" ht="15" hidden="false" customHeight="false" outlineLevel="0" collapsed="false">
      <c r="A32" s="4" t="s">
        <v>24</v>
      </c>
      <c r="B32" s="8" t="n">
        <f aca="false">COUNT(E32:K32)</f>
        <v>6</v>
      </c>
      <c r="C32" s="38" t="n">
        <f aca="false">SUMIFS($E$120:$E$239,$A$120:$A$239,$A32,$B$120:$B$239,K$11)/1000</f>
        <v>187.6</v>
      </c>
      <c r="D32" s="39" t="s">
        <v>104</v>
      </c>
      <c r="E32" s="13" t="str">
        <f aca="false">IF(SUMIFS($C$120:$C$239,$A$120:$A$239,$A$32,$B$120:$B$239,E$11)=0,"",SUMIFS($N$120:$N$239,$A$120:$A$239,$A$32,$B$120:$B$239,E$11))</f>
        <v/>
      </c>
      <c r="F32" s="13" t="n">
        <f aca="false">IF(SUMIFS($C$120:$C$239,$A$120:$A$239,$A$32,$B$120:$B$239,F$11)=0,"",SUMIFS($N$120:$N$239,$A$120:$A$239,$A$32,$B$120:$B$239,F$11))</f>
        <v>1.21461659649328</v>
      </c>
      <c r="G32" s="13" t="n">
        <f aca="false">IF(SUMIFS($C$120:$C$239,$A$120:$A$239,$A$32,$B$120:$B$239,G$11)=0,"",SUMIFS($N$120:$N$239,$A$120:$A$239,$A$32,$B$120:$B$239,G$11))</f>
        <v>0.963452916603662</v>
      </c>
      <c r="H32" s="13" t="n">
        <f aca="false">IF(SUMIFS($C$120:$C$239,$A$120:$A$239,$A$32,$B$120:$B$239,H$11)=0,"",SUMIFS($N$120:$N$239,$A$120:$A$239,$A$32,$B$120:$B$239,H$11))</f>
        <v>0.326990592086358</v>
      </c>
      <c r="I32" s="13" t="n">
        <f aca="false">IF(SUMIFS($C$120:$C$239,$A$120:$A$239,$A$32,$B$120:$B$239,I$11)=0,"",SUMIFS($N$120:$N$239,$A$120:$A$239,$A$32,$B$120:$B$239,I$11))</f>
        <v>0.793489008899369</v>
      </c>
      <c r="J32" s="13" t="n">
        <f aca="false">IF(SUMIFS($C$120:$C$239,$A$120:$A$239,$A$32,$B$120:$B$239,J$11)=0,"",SUMIFS($N$120:$N$239,$A$120:$A$239,$A$32,$B$120:$B$239,J$11))</f>
        <v>0.103429546407212</v>
      </c>
      <c r="K32" s="13" t="n">
        <f aca="false">IF(SUMIFS($C$120:$C$239,$A$120:$A$239,$A$32,$B$120:$B$239,K$11)=0,"",SUMIFS($N$120:$N$239,$A$120:$A$239,$A$32,$B$120:$B$239,K$11))</f>
        <v>0.0821991675607057</v>
      </c>
      <c r="L32" s="13" t="n">
        <f aca="false">V32/O32-1</f>
        <v>11.357693212438</v>
      </c>
      <c r="M32" s="13" t="n">
        <f aca="false">IF($B32=0,"",(V32/O32)^(1/$B32)-1)</f>
        <v>0.520511006559666</v>
      </c>
      <c r="O32" s="40" t="n">
        <v>100</v>
      </c>
      <c r="P32" s="38" t="n">
        <f aca="false">IF(E32="",O32,O32*(1+E32))</f>
        <v>100</v>
      </c>
      <c r="Q32" s="38" t="n">
        <f aca="false">IF(F32="",P32,P32*(1+F32))</f>
        <v>221.461659649328</v>
      </c>
      <c r="R32" s="38" t="n">
        <f aca="false">IF(G32="",Q32,Q32*(1+G32))</f>
        <v>434.82954155436</v>
      </c>
      <c r="S32" s="38" t="n">
        <f aca="false">IF(H32="",R32,R32*(1+H32))</f>
        <v>577.01471080386</v>
      </c>
      <c r="T32" s="38" t="n">
        <f aca="false">IF(I32="",S32,S32*(1+I32))</f>
        <v>1034.86954179997</v>
      </c>
      <c r="U32" s="38" t="n">
        <f aca="false">IF(J32="",T32,T32*(1+J32))</f>
        <v>1141.90562909898</v>
      </c>
      <c r="V32" s="38" t="n">
        <f aca="false">IF(K32="",U32,U32*(1+K32))</f>
        <v>1235.7693212438</v>
      </c>
    </row>
    <row r="33" customFormat="false" ht="15" hidden="false" customHeight="false" outlineLevel="0" collapsed="false">
      <c r="D33" s="39" t="s">
        <v>105</v>
      </c>
      <c r="E33" s="13" t="str">
        <f aca="false">IF(SUMIFS($C$120:$C$239,$A$120:$A$239,$A$32,$B$120:$B$239,E$11)=0,"",SUMIFS($M$120:$M$239,$A$120:$A$239,$A$32,$B$120:$B$239,E$11))</f>
        <v/>
      </c>
      <c r="F33" s="13" t="n">
        <f aca="false">IF(SUMIFS($C$120:$C$239,$A$120:$A$239,$A$32,$B$120:$B$239,F$11)=0,"",SUMIFS($M$120:$M$239,$A$120:$A$239,$A$32,$B$120:$B$239,F$11))</f>
        <v>1.09510961912376</v>
      </c>
      <c r="G33" s="13" t="n">
        <f aca="false">IF(SUMIFS($C$120:$C$239,$A$120:$A$239,$A$32,$B$120:$B$239,G$11)=0,"",SUMIFS($M$120:$M$239,$A$120:$A$239,$A$32,$B$120:$B$239,G$11))</f>
        <v>0.856674632556672</v>
      </c>
      <c r="H33" s="13" t="n">
        <f aca="false">IF(SUMIFS($C$120:$C$239,$A$120:$A$239,$A$32,$B$120:$B$239,H$11)=0,"",SUMIFS($M$120:$M$239,$A$120:$A$239,$A$32,$B$120:$B$239,H$11))</f>
        <v>0.2282637214358</v>
      </c>
      <c r="I33" s="13" t="n">
        <f aca="false">IF(SUMIFS($C$120:$C$239,$A$120:$A$239,$A$32,$B$120:$B$239,I$11)=0,"",SUMIFS($M$120:$M$239,$A$120:$A$239,$A$32,$B$120:$B$239,I$11))</f>
        <v>0.71930224892878</v>
      </c>
      <c r="J33" s="13" t="n">
        <f aca="false">IF(SUMIFS($C$120:$C$239,$A$120:$A$239,$A$32,$B$120:$B$239,J$11)=0,"",SUMIFS($M$120:$M$239,$A$120:$A$239,$A$32,$B$120:$B$239,J$11))</f>
        <v>0.058513056364055</v>
      </c>
      <c r="K33" s="13" t="n">
        <f aca="false">IF(SUMIFS($C$120:$C$239,$A$120:$A$239,$A$32,$B$120:$B$239,K$11)=0,"",SUMIFS($M$120:$M$239,$A$120:$A$239,$A$32,$B$120:$B$239,K$11))</f>
        <v>0.0252989647870315</v>
      </c>
      <c r="L33" s="13" t="n">
        <f aca="false">V33/O33-1</f>
        <v>7.91524224784248</v>
      </c>
      <c r="M33" s="13" t="n">
        <f aca="false">IF($B32=0,"",(V33/O33)^(1/$B32)-1)</f>
        <v>0.43997689838048</v>
      </c>
      <c r="O33" s="40" t="n">
        <v>100</v>
      </c>
      <c r="P33" s="38" t="n">
        <f aca="false">IF(E33="",O33,O33*(1+E33))</f>
        <v>100</v>
      </c>
      <c r="Q33" s="38" t="n">
        <f aca="false">IF(F33="",P33,P33*(1+F33))</f>
        <v>209.510961912376</v>
      </c>
      <c r="R33" s="38" t="n">
        <f aca="false">IF(G33="",Q33,Q33*(1+G33))</f>
        <v>388.993688225255</v>
      </c>
      <c r="S33" s="38" t="n">
        <f aca="false">IF(H33="",R33,R33*(1+H33))</f>
        <v>477.78683511459</v>
      </c>
      <c r="T33" s="38" t="n">
        <f aca="false">IF(I33="",S33,S33*(1+I33))</f>
        <v>821.459980121078</v>
      </c>
      <c r="U33" s="38" t="n">
        <f aca="false">IF(J33="",T33,T33*(1+J33))</f>
        <v>869.526114238718</v>
      </c>
      <c r="V33" s="38" t="n">
        <f aca="false">IF(K33="",U33,U33*(1+K33))</f>
        <v>891.524224784248</v>
      </c>
    </row>
    <row r="34" customFormat="false" ht="15" hidden="false" customHeight="false" outlineLevel="0" collapsed="false">
      <c r="A34" s="41"/>
      <c r="B34" s="41"/>
      <c r="C34" s="41"/>
      <c r="D34" s="42" t="s">
        <v>106</v>
      </c>
      <c r="E34" s="44" t="str">
        <f aca="false">IF(SUMIFS($C$120:$C$239,$A$120:$A$239,$A$32,$B$120:$B$239,E$11)=0,"",SUMIFS($L$120:$L$239,$A$120:$A$239,$A$32,$B$120:$B$239,E$11))</f>
        <v/>
      </c>
      <c r="F34" s="44" t="n">
        <f aca="false">IF(SUMIFS($C$120:$C$239,$A$120:$A$239,$A$32,$B$120:$B$239,F$11)=0,"",SUMIFS($L$120:$L$239,$A$120:$A$239,$A$32,$B$120:$B$239,F$11))</f>
        <v>0.119506977369518</v>
      </c>
      <c r="G34" s="44" t="n">
        <f aca="false">IF(SUMIFS($C$120:$C$239,$A$120:$A$239,$A$32,$B$120:$B$239,G$11)=0,"",SUMIFS($L$120:$L$239,$A$120:$A$239,$A$32,$B$120:$B$239,G$11))</f>
        <v>0.10677828404699</v>
      </c>
      <c r="H34" s="44" t="n">
        <f aca="false">IF(SUMIFS($C$120:$C$239,$A$120:$A$239,$A$32,$B$120:$B$239,H$11)=0,"",SUMIFS($L$120:$L$239,$A$120:$A$239,$A$32,$B$120:$B$239,H$11))</f>
        <v>0.0987268706505579</v>
      </c>
      <c r="I34" s="44" t="n">
        <f aca="false">IF(SUMIFS($C$120:$C$239,$A$120:$A$239,$A$32,$B$120:$B$239,I$11)=0,"",SUMIFS($L$120:$L$239,$A$120:$A$239,$A$32,$B$120:$B$239,I$11))</f>
        <v>0.074186759970589</v>
      </c>
      <c r="J34" s="44" t="n">
        <f aca="false">IF(SUMIFS($C$120:$C$239,$A$120:$A$239,$A$32,$B$120:$B$239,J$11)=0,"",SUMIFS($L$120:$L$239,$A$120:$A$239,$A$32,$B$120:$B$239,J$11))</f>
        <v>0.0449164900431571</v>
      </c>
      <c r="K34" s="44" t="n">
        <f aca="false">IF(SUMIFS($C$120:$C$239,$A$120:$A$239,$A$32,$B$120:$B$239,K$11)=0,"",SUMIFS($L$120:$L$239,$A$120:$A$239,$A$32,$B$120:$B$239,K$11))</f>
        <v>0.0569002027736743</v>
      </c>
      <c r="L34" s="44" t="n">
        <f aca="false">V34/O34-1</f>
        <v>0.615000046187658</v>
      </c>
      <c r="M34" s="44" t="n">
        <f aca="false">IF($B32=0,"",(V34/O34)^(1/$B32)-1)</f>
        <v>0.0831670073531186</v>
      </c>
      <c r="N34" s="41"/>
      <c r="O34" s="45" t="n">
        <v>100</v>
      </c>
      <c r="P34" s="43" t="n">
        <f aca="false">IF(E34="",O34,O34*(1+E34))</f>
        <v>100</v>
      </c>
      <c r="Q34" s="43" t="n">
        <f aca="false">IF(F34="",P34,P34*(1+F34))</f>
        <v>111.950697736952</v>
      </c>
      <c r="R34" s="43" t="n">
        <f aca="false">IF(G34="",Q34,Q34*(1+G34))</f>
        <v>123.904601139167</v>
      </c>
      <c r="S34" s="43" t="n">
        <f aca="false">IF(H34="",R34,R34*(1+H34))</f>
        <v>136.137314668842</v>
      </c>
      <c r="T34" s="43" t="n">
        <f aca="false">IF(I34="",S34,S34*(1+I34))</f>
        <v>146.23690095522</v>
      </c>
      <c r="U34" s="43" t="n">
        <f aca="false">IF(J34="",T34,T34*(1+J34))</f>
        <v>152.805349260917</v>
      </c>
      <c r="V34" s="43" t="n">
        <f aca="false">IF(K34="",U34,U34*(1+K34))</f>
        <v>161.500004618766</v>
      </c>
    </row>
    <row r="35" customFormat="false" ht="15" hidden="false" customHeight="false" outlineLevel="0" collapsed="false">
      <c r="A35" s="4" t="s">
        <v>25</v>
      </c>
      <c r="B35" s="8" t="n">
        <f aca="false">COUNT(E35:K35)</f>
        <v>7</v>
      </c>
      <c r="C35" s="38" t="n">
        <f aca="false">SUMIFS($E$120:$E$239,$A$120:$A$239,$A35,$B$120:$B$239,K$11)/1000</f>
        <v>412.09</v>
      </c>
      <c r="D35" s="39" t="s">
        <v>104</v>
      </c>
      <c r="E35" s="13" t="n">
        <f aca="false">IF(SUMIFS($C$120:$C$239,$A$120:$A$239,$A$35,$B$120:$B$239,E$11)=0,"",SUMIFS($N$120:$N$239,$A$120:$A$239,$A$35,$B$120:$B$239,E$11))</f>
        <v>0.323566960296183</v>
      </c>
      <c r="F35" s="13" t="n">
        <f aca="false">IF(SUMIFS($C$120:$C$239,$A$120:$A$239,$A$35,$B$120:$B$239,F$11)=0,"",SUMIFS($N$120:$N$239,$A$120:$A$239,$A$35,$B$120:$B$239,F$11))</f>
        <v>-0.0361707258258982</v>
      </c>
      <c r="G35" s="13" t="n">
        <f aca="false">IF(SUMIFS($C$120:$C$239,$A$120:$A$239,$A$35,$B$120:$B$239,G$11)=0,"",SUMIFS($N$120:$N$239,$A$120:$A$239,$A$35,$B$120:$B$239,G$11))</f>
        <v>0.113685263947961</v>
      </c>
      <c r="H35" s="13" t="n">
        <f aca="false">IF(SUMIFS($C$120:$C$239,$A$120:$A$239,$A$35,$B$120:$B$239,H$11)=0,"",SUMIFS($N$120:$N$239,$A$120:$A$239,$A$35,$B$120:$B$239,H$11))</f>
        <v>0.177786763714786</v>
      </c>
      <c r="I35" s="13" t="n">
        <f aca="false">IF(SUMIFS($C$120:$C$239,$A$120:$A$239,$A$35,$B$120:$B$239,I$11)=0,"",SUMIFS($N$120:$N$239,$A$120:$A$239,$A$35,$B$120:$B$239,I$11))</f>
        <v>0.164888990615702</v>
      </c>
      <c r="J35" s="13" t="n">
        <f aca="false">IF(SUMIFS($C$120:$C$239,$A$120:$A$239,$A$35,$B$120:$B$239,J$11)=0,"",SUMIFS($N$120:$N$239,$A$120:$A$239,$A$35,$B$120:$B$239,J$11))</f>
        <v>0.136844329216462</v>
      </c>
      <c r="K35" s="13" t="n">
        <f aca="false">IF(SUMIFS($C$120:$C$239,$A$120:$A$239,$A$35,$B$120:$B$239,K$11)=0,"",SUMIFS($N$120:$N$239,$A$120:$A$239,$A$35,$B$120:$B$239,K$11))</f>
        <v>0.188114801944594</v>
      </c>
      <c r="L35" s="13" t="n">
        <f aca="false">V35/O35-1</f>
        <v>1.63280758178998</v>
      </c>
      <c r="M35" s="13" t="n">
        <f aca="false">IF($B35=0,"",(V35/O35)^(1/$B35)-1)</f>
        <v>0.148311923317955</v>
      </c>
      <c r="O35" s="40" t="n">
        <v>100</v>
      </c>
      <c r="P35" s="38" t="n">
        <f aca="false">IF(E35="",O35,O35*(1+E35))</f>
        <v>132.356696029618</v>
      </c>
      <c r="Q35" s="38" t="n">
        <f aca="false">IF(F35="",P35,P35*(1+F35))</f>
        <v>127.569258266309</v>
      </c>
      <c r="R35" s="38" t="n">
        <f aca="false">IF(G35="",Q35,Q35*(1+G35))</f>
        <v>142.07200306396</v>
      </c>
      <c r="S35" s="38" t="n">
        <f aca="false">IF(H35="",R35,R35*(1+H35))</f>
        <v>167.330524703179</v>
      </c>
      <c r="T35" s="38" t="n">
        <f aca="false">IF(I35="",S35,S35*(1+I35))</f>
        <v>194.921486020682</v>
      </c>
      <c r="U35" s="38" t="n">
        <f aca="false">IF(J35="",T35,T35*(1+J35))</f>
        <v>221.595386025058</v>
      </c>
      <c r="V35" s="38" t="n">
        <f aca="false">IF(K35="",U35,U35*(1+K35))</f>
        <v>263.280758178998</v>
      </c>
    </row>
    <row r="36" customFormat="false" ht="15" hidden="false" customHeight="false" outlineLevel="0" collapsed="false">
      <c r="D36" s="39" t="s">
        <v>105</v>
      </c>
      <c r="E36" s="13" t="n">
        <f aca="false">IF(SUMIFS($C$120:$C$239,$A$120:$A$239,$A$35,$B$120:$B$239,E$11)=0,"",SUMIFS($M$120:$M$239,$A$120:$A$239,$A$35,$B$120:$B$239,E$11))</f>
        <v>0.323566960296183</v>
      </c>
      <c r="F36" s="13" t="n">
        <f aca="false">IF(SUMIFS($C$120:$C$239,$A$120:$A$239,$A$35,$B$120:$B$239,F$11)=0,"",SUMIFS($M$120:$M$239,$A$120:$A$239,$A$35,$B$120:$B$239,F$11))</f>
        <v>-0.0361707258258982</v>
      </c>
      <c r="G36" s="13" t="n">
        <f aca="false">IF(SUMIFS($C$120:$C$239,$A$120:$A$239,$A$35,$B$120:$B$239,G$11)=0,"",SUMIFS($M$120:$M$239,$A$120:$A$239,$A$35,$B$120:$B$239,G$11))</f>
        <v>0.113685263947961</v>
      </c>
      <c r="H36" s="13" t="n">
        <f aca="false">IF(SUMIFS($C$120:$C$239,$A$120:$A$239,$A$35,$B$120:$B$239,H$11)=0,"",SUMIFS($M$120:$M$239,$A$120:$A$239,$A$35,$B$120:$B$239,H$11))</f>
        <v>0.177786763714786</v>
      </c>
      <c r="I36" s="13" t="n">
        <f aca="false">IF(SUMIFS($C$120:$C$239,$A$120:$A$239,$A$35,$B$120:$B$239,I$11)=0,"",SUMIFS($M$120:$M$239,$A$120:$A$239,$A$35,$B$120:$B$239,I$11))</f>
        <v>0.164888990615702</v>
      </c>
      <c r="J36" s="13" t="n">
        <f aca="false">IF(SUMIFS($C$120:$C$239,$A$120:$A$239,$A$35,$B$120:$B$239,J$11)=0,"",SUMIFS($M$120:$M$239,$A$120:$A$239,$A$35,$B$120:$B$239,J$11))</f>
        <v>0.136349715105548</v>
      </c>
      <c r="K36" s="13" t="n">
        <f aca="false">IF(SUMIFS($C$120:$C$239,$A$120:$A$239,$A$35,$B$120:$B$239,K$11)=0,"",SUMIFS($M$120:$M$239,$A$120:$A$239,$A$35,$B$120:$B$239,K$11))</f>
        <v>0.187656470472932</v>
      </c>
      <c r="L36" s="13" t="n">
        <f aca="false">V36/O36-1</f>
        <v>1.63064690989607</v>
      </c>
      <c r="M36" s="13" t="n">
        <f aca="false">IF($B35=0,"",(V36/O36)^(1/$B35)-1)</f>
        <v>0.148177249139063</v>
      </c>
      <c r="O36" s="40" t="n">
        <v>100</v>
      </c>
      <c r="P36" s="38" t="n">
        <f aca="false">IF(E36="",O36,O36*(1+E36))</f>
        <v>132.356696029618</v>
      </c>
      <c r="Q36" s="38" t="n">
        <f aca="false">IF(F36="",P36,P36*(1+F36))</f>
        <v>127.569258266309</v>
      </c>
      <c r="R36" s="38" t="n">
        <f aca="false">IF(G36="",Q36,Q36*(1+G36))</f>
        <v>142.07200306396</v>
      </c>
      <c r="S36" s="38" t="n">
        <f aca="false">IF(H36="",R36,R36*(1+H36))</f>
        <v>167.330524703179</v>
      </c>
      <c r="T36" s="38" t="n">
        <f aca="false">IF(I36="",S36,S36*(1+I36))</f>
        <v>194.921486020682</v>
      </c>
      <c r="U36" s="38" t="n">
        <f aca="false">IF(J36="",T36,T36*(1+J36))</f>
        <v>221.498975107552</v>
      </c>
      <c r="V36" s="38" t="n">
        <f aca="false">IF(K36="",U36,U36*(1+K36))</f>
        <v>263.064690989607</v>
      </c>
    </row>
    <row r="37" customFormat="false" ht="15" hidden="false" customHeight="false" outlineLevel="0" collapsed="false">
      <c r="A37" s="41"/>
      <c r="B37" s="41"/>
      <c r="C37" s="41"/>
      <c r="D37" s="42" t="s">
        <v>106</v>
      </c>
      <c r="E37" s="44" t="n">
        <f aca="false">IF(SUMIFS($C$120:$C$239,$A$120:$A$239,$A$35,$B$120:$B$239,E$11)=0,"",SUMIFS($L$120:$L$239,$A$120:$A$239,$A$35,$B$120:$B$239,E$11))</f>
        <v>0</v>
      </c>
      <c r="F37" s="44" t="n">
        <f aca="false">IF(SUMIFS($C$120:$C$239,$A$120:$A$239,$A$35,$B$120:$B$239,F$11)=0,"",SUMIFS($L$120:$L$239,$A$120:$A$239,$A$35,$B$120:$B$239,F$11))</f>
        <v>0</v>
      </c>
      <c r="G37" s="44" t="n">
        <f aca="false">IF(SUMIFS($C$120:$C$239,$A$120:$A$239,$A$35,$B$120:$B$239,G$11)=0,"",SUMIFS($L$120:$L$239,$A$120:$A$239,$A$35,$B$120:$B$239,G$11))</f>
        <v>0</v>
      </c>
      <c r="H37" s="44" t="n">
        <f aca="false">IF(SUMIFS($C$120:$C$239,$A$120:$A$239,$A$35,$B$120:$B$239,H$11)=0,"",SUMIFS($L$120:$L$239,$A$120:$A$239,$A$35,$B$120:$B$239,H$11))</f>
        <v>0</v>
      </c>
      <c r="I37" s="44" t="n">
        <f aca="false">IF(SUMIFS($C$120:$C$239,$A$120:$A$239,$A$35,$B$120:$B$239,I$11)=0,"",SUMIFS($L$120:$L$239,$A$120:$A$239,$A$35,$B$120:$B$239,I$11))</f>
        <v>0</v>
      </c>
      <c r="J37" s="44" t="n">
        <f aca="false">IF(SUMIFS($C$120:$C$239,$A$120:$A$239,$A$35,$B$120:$B$239,J$11)=0,"",SUMIFS($L$120:$L$239,$A$120:$A$239,$A$35,$B$120:$B$239,J$11))</f>
        <v>0.000494614110914758</v>
      </c>
      <c r="K37" s="44" t="n">
        <f aca="false">IF(SUMIFS($C$120:$C$239,$A$120:$A$239,$A$35,$B$120:$B$239,K$11)=0,"",SUMIFS($L$120:$L$239,$A$120:$A$239,$A$35,$B$120:$B$239,K$11))</f>
        <v>0.000458331471661999</v>
      </c>
      <c r="L37" s="44" t="n">
        <f aca="false">V37/O37-1</f>
        <v>0.000953172279790193</v>
      </c>
      <c r="M37" s="44" t="n">
        <f aca="false">IF($B35=0,"",(V37/O37)^(1/$B35)-1)</f>
        <v>0.000136111876602563</v>
      </c>
      <c r="N37" s="41"/>
      <c r="O37" s="45" t="n">
        <v>100</v>
      </c>
      <c r="P37" s="43" t="n">
        <f aca="false">IF(E37="",O37,O37*(1+E37))</f>
        <v>100</v>
      </c>
      <c r="Q37" s="43" t="n">
        <f aca="false">IF(F37="",P37,P37*(1+F37))</f>
        <v>100</v>
      </c>
      <c r="R37" s="43" t="n">
        <f aca="false">IF(G37="",Q37,Q37*(1+G37))</f>
        <v>100</v>
      </c>
      <c r="S37" s="43" t="n">
        <f aca="false">IF(H37="",R37,R37*(1+H37))</f>
        <v>100</v>
      </c>
      <c r="T37" s="43" t="n">
        <f aca="false">IF(I37="",S37,S37*(1+I37))</f>
        <v>100</v>
      </c>
      <c r="U37" s="43" t="n">
        <f aca="false">IF(J37="",T37,T37*(1+J37))</f>
        <v>100.049461411091</v>
      </c>
      <c r="V37" s="43" t="n">
        <f aca="false">IF(K37="",U37,U37*(1+K37))</f>
        <v>100.095317227979</v>
      </c>
    </row>
    <row r="38" customFormat="false" ht="15" hidden="false" customHeight="false" outlineLevel="0" collapsed="false">
      <c r="A38" s="4" t="s">
        <v>26</v>
      </c>
      <c r="B38" s="8" t="n">
        <f aca="false">COUNT(E38:K38)</f>
        <v>7</v>
      </c>
      <c r="C38" s="38" t="n">
        <f aca="false">SUMIFS($E$120:$E$239,$A$120:$A$239,$A38,$B$120:$B$239,K$11)/1000</f>
        <v>450.91</v>
      </c>
      <c r="D38" s="39" t="s">
        <v>104</v>
      </c>
      <c r="E38" s="13" t="n">
        <f aca="false">IF(SUMIFS($C$120:$C$239,$A$120:$A$239,$A$38,$B$120:$B$239,E$11)=0,"",SUMIFS($N$120:$N$239,$A$120:$A$239,$A$38,$B$120:$B$239,E$11))</f>
        <v>0.24713732622551</v>
      </c>
      <c r="F38" s="13" t="n">
        <f aca="false">IF(SUMIFS($C$120:$C$239,$A$120:$A$239,$A$38,$B$120:$B$239,F$11)=0,"",SUMIFS($N$120:$N$239,$A$120:$A$239,$A$38,$B$120:$B$239,F$11))</f>
        <v>-0.0470325342016684</v>
      </c>
      <c r="G38" s="13" t="n">
        <f aca="false">IF(SUMIFS($C$120:$C$239,$A$120:$A$239,$A$38,$B$120:$B$239,G$11)=0,"",SUMIFS($N$120:$N$239,$A$120:$A$239,$A$38,$B$120:$B$239,G$11))</f>
        <v>0.168128714880621</v>
      </c>
      <c r="H38" s="13" t="n">
        <f aca="false">IF(SUMIFS($C$120:$C$239,$A$120:$A$239,$A$38,$B$120:$B$239,H$11)=0,"",SUMIFS($N$120:$N$239,$A$120:$A$239,$A$38,$B$120:$B$239,H$11))</f>
        <v>0.0736912358676024</v>
      </c>
      <c r="I38" s="13" t="n">
        <f aca="false">IF(SUMIFS($C$120:$C$239,$A$120:$A$239,$A$38,$B$120:$B$239,I$11)=0,"",SUMIFS($N$120:$N$239,$A$120:$A$239,$A$38,$B$120:$B$239,I$11))</f>
        <v>0.058349330897162</v>
      </c>
      <c r="J38" s="13" t="n">
        <f aca="false">IF(SUMIFS($C$120:$C$239,$A$120:$A$239,$A$38,$B$120:$B$239,J$11)=0,"",SUMIFS($N$120:$N$239,$A$120:$A$239,$A$38,$B$120:$B$239,J$11))</f>
        <v>0.471068473569917</v>
      </c>
      <c r="K38" s="13" t="n">
        <f aca="false">IF(SUMIFS($C$120:$C$239,$A$120:$A$239,$A$38,$B$120:$B$239,K$11)=0,"",SUMIFS($N$120:$N$239,$A$120:$A$239,$A$38,$B$120:$B$239,K$11))</f>
        <v>0.116806760451166</v>
      </c>
      <c r="L38" s="13" t="n">
        <f aca="false">V38/O38-1</f>
        <v>1.59180558763638</v>
      </c>
      <c r="M38" s="13" t="n">
        <f aca="false">IF($B38=0,"",(V38/O38)^(1/$B38)-1)</f>
        <v>0.14573996000982</v>
      </c>
      <c r="O38" s="40" t="n">
        <v>100</v>
      </c>
      <c r="P38" s="38" t="n">
        <f aca="false">IF(E38="",O38,O38*(1+E38))</f>
        <v>124.713732622551</v>
      </c>
      <c r="Q38" s="38" t="n">
        <f aca="false">IF(F38="",P38,P38*(1+F38))</f>
        <v>118.848129727563</v>
      </c>
      <c r="R38" s="38" t="n">
        <f aca="false">IF(G38="",Q38,Q38*(1+G38))</f>
        <v>138.829913044624</v>
      </c>
      <c r="S38" s="38" t="n">
        <f aca="false">IF(H38="",R38,R38*(1+H38))</f>
        <v>149.060460912274</v>
      </c>
      <c r="T38" s="38" t="n">
        <f aca="false">IF(I38="",S38,S38*(1+I38))</f>
        <v>157.758039069728</v>
      </c>
      <c r="U38" s="38" t="n">
        <f aca="false">IF(J38="",T38,T38*(1+J38))</f>
        <v>232.072877727687</v>
      </c>
      <c r="V38" s="38" t="n">
        <f aca="false">IF(K38="",U38,U38*(1+K38))</f>
        <v>259.180558763638</v>
      </c>
    </row>
    <row r="39" customFormat="false" ht="15" hidden="false" customHeight="false" outlineLevel="0" collapsed="false">
      <c r="D39" s="39" t="s">
        <v>105</v>
      </c>
      <c r="E39" s="13" t="n">
        <f aca="false">IF(SUMIFS($C$120:$C$239,$A$120:$A$239,$A$38,$B$120:$B$239,E$11)=0,"",SUMIFS($M$120:$M$239,$A$120:$A$239,$A$38,$B$120:$B$239,E$11))</f>
        <v>0.214594672022321</v>
      </c>
      <c r="F39" s="13" t="n">
        <f aca="false">IF(SUMIFS($C$120:$C$239,$A$120:$A$239,$A$38,$B$120:$B$239,F$11)=0,"",SUMIFS($M$120:$M$239,$A$120:$A$239,$A$38,$B$120:$B$239,F$11))</f>
        <v>-0.0809579833562766</v>
      </c>
      <c r="G39" s="13" t="n">
        <f aca="false">IF(SUMIFS($C$120:$C$239,$A$120:$A$239,$A$38,$B$120:$B$239,G$11)=0,"",SUMIFS($M$120:$M$239,$A$120:$A$239,$A$38,$B$120:$B$239,G$11))</f>
        <v>0.14751823201415</v>
      </c>
      <c r="H39" s="13" t="n">
        <f aca="false">IF(SUMIFS($C$120:$C$239,$A$120:$A$239,$A$38,$B$120:$B$239,H$11)=0,"",SUMIFS($M$120:$M$239,$A$120:$A$239,$A$38,$B$120:$B$239,H$11))</f>
        <v>0.0400444453335128</v>
      </c>
      <c r="I39" s="13" t="n">
        <f aca="false">IF(SUMIFS($C$120:$C$239,$A$120:$A$239,$A$38,$B$120:$B$239,I$11)=0,"",SUMIFS($M$120:$M$239,$A$120:$A$239,$A$38,$B$120:$B$239,I$11))</f>
        <v>0.0280357670009415</v>
      </c>
      <c r="J39" s="13" t="n">
        <f aca="false">IF(SUMIFS($C$120:$C$239,$A$120:$A$239,$A$38,$B$120:$B$239,J$11)=0,"",SUMIFS($M$120:$M$239,$A$120:$A$239,$A$38,$B$120:$B$239,J$11))</f>
        <v>0.419026086478463</v>
      </c>
      <c r="K39" s="13" t="n">
        <f aca="false">IF(SUMIFS($C$120:$C$239,$A$120:$A$239,$A$38,$B$120:$B$239,K$11)=0,"",SUMIFS($M$120:$M$239,$A$120:$A$239,$A$38,$B$120:$B$239,K$11))</f>
        <v>0.0737329315732647</v>
      </c>
      <c r="L39" s="13" t="n">
        <f aca="false">V39/O39-1</f>
        <v>1.08676291050202</v>
      </c>
      <c r="M39" s="13" t="n">
        <f aca="false">IF($B38=0,"",(V39/O39)^(1/$B38)-1)</f>
        <v>0.110808042771833</v>
      </c>
      <c r="O39" s="40" t="n">
        <v>100</v>
      </c>
      <c r="P39" s="38" t="n">
        <f aca="false">IF(E39="",O39,O39*(1+E39))</f>
        <v>121.459467202232</v>
      </c>
      <c r="Q39" s="38" t="n">
        <f aca="false">IF(F39="",P39,P39*(1+F39))</f>
        <v>111.626353678012</v>
      </c>
      <c r="R39" s="38" t="n">
        <f aca="false">IF(G39="",Q39,Q39*(1+G39))</f>
        <v>128.093276018778</v>
      </c>
      <c r="S39" s="38" t="n">
        <f aca="false">IF(H39="",R39,R39*(1+H39))</f>
        <v>133.222700207903</v>
      </c>
      <c r="T39" s="38" t="n">
        <f aca="false">IF(I39="",S39,S39*(1+I39))</f>
        <v>136.957700790168</v>
      </c>
      <c r="U39" s="38" t="n">
        <f aca="false">IF(J39="",T39,T39*(1+J39))</f>
        <v>194.34655016536</v>
      </c>
      <c r="V39" s="38" t="n">
        <f aca="false">IF(K39="",U39,U39*(1+K39))</f>
        <v>208.676291050202</v>
      </c>
    </row>
    <row r="40" customFormat="false" ht="15" hidden="false" customHeight="false" outlineLevel="0" collapsed="false">
      <c r="A40" s="41"/>
      <c r="B40" s="41"/>
      <c r="C40" s="41"/>
      <c r="D40" s="42" t="s">
        <v>106</v>
      </c>
      <c r="E40" s="44" t="n">
        <f aca="false">IF(SUMIFS($C$120:$C$239,$A$120:$A$239,$A$38,$B$120:$B$239,E$11)=0,"",SUMIFS($L$120:$L$239,$A$120:$A$239,$A$38,$B$120:$B$239,E$11))</f>
        <v>0.0325426542031888</v>
      </c>
      <c r="F40" s="44" t="n">
        <f aca="false">IF(SUMIFS($C$120:$C$239,$A$120:$A$239,$A$38,$B$120:$B$239,F$11)=0,"",SUMIFS($L$120:$L$239,$A$120:$A$239,$A$38,$B$120:$B$239,F$11))</f>
        <v>0.0339254491546082</v>
      </c>
      <c r="G40" s="44" t="n">
        <f aca="false">IF(SUMIFS($C$120:$C$239,$A$120:$A$239,$A$38,$B$120:$B$239,G$11)=0,"",SUMIFS($L$120:$L$239,$A$120:$A$239,$A$38,$B$120:$B$239,G$11))</f>
        <v>0.0206104828664715</v>
      </c>
      <c r="H40" s="44" t="n">
        <f aca="false">IF(SUMIFS($C$120:$C$239,$A$120:$A$239,$A$38,$B$120:$B$239,H$11)=0,"",SUMIFS($L$120:$L$239,$A$120:$A$239,$A$38,$B$120:$B$239,H$11))</f>
        <v>0.0336467905340896</v>
      </c>
      <c r="I40" s="44" t="n">
        <f aca="false">IF(SUMIFS($C$120:$C$239,$A$120:$A$239,$A$38,$B$120:$B$239,I$11)=0,"",SUMIFS($L$120:$L$239,$A$120:$A$239,$A$38,$B$120:$B$239,I$11))</f>
        <v>0.0303135638962205</v>
      </c>
      <c r="J40" s="44" t="n">
        <f aca="false">IF(SUMIFS($C$120:$C$239,$A$120:$A$239,$A$38,$B$120:$B$239,J$11)=0,"",SUMIFS($L$120:$L$239,$A$120:$A$239,$A$38,$B$120:$B$239,J$11))</f>
        <v>0.0520423870914539</v>
      </c>
      <c r="K40" s="44" t="n">
        <f aca="false">IF(SUMIFS($C$120:$C$239,$A$120:$A$239,$A$38,$B$120:$B$239,K$11)=0,"",SUMIFS($L$120:$L$239,$A$120:$A$239,$A$38,$B$120:$B$239,K$11))</f>
        <v>0.0430738288779016</v>
      </c>
      <c r="L40" s="44" t="n">
        <f aca="false">V40/O40-1</f>
        <v>0.273348016161138</v>
      </c>
      <c r="M40" s="44" t="n">
        <f aca="false">IF($B38=0,"",(V40/O40)^(1/$B38)-1)</f>
        <v>0.0351241598187173</v>
      </c>
      <c r="N40" s="41"/>
      <c r="O40" s="45" t="n">
        <v>100</v>
      </c>
      <c r="P40" s="43" t="n">
        <f aca="false">IF(E40="",O40,O40*(1+E40))</f>
        <v>103.254265420319</v>
      </c>
      <c r="Q40" s="43" t="n">
        <f aca="false">IF(F40="",P40,P40*(1+F40))</f>
        <v>106.757212751832</v>
      </c>
      <c r="R40" s="43" t="n">
        <f aca="false">IF(G40="",Q40,Q40*(1+G40))</f>
        <v>108.957530456126</v>
      </c>
      <c r="S40" s="43" t="n">
        <f aca="false">IF(H40="",R40,R40*(1+H40))</f>
        <v>112.623601660495</v>
      </c>
      <c r="T40" s="43" t="n">
        <f aca="false">IF(I40="",S40,S40*(1+I40))</f>
        <v>116.037624405653</v>
      </c>
      <c r="U40" s="43" t="n">
        <f aca="false">IF(J40="",T40,T40*(1+J40))</f>
        <v>122.076499372145</v>
      </c>
      <c r="V40" s="43" t="n">
        <f aca="false">IF(K40="",U40,U40*(1+K40))</f>
        <v>127.334801616114</v>
      </c>
    </row>
    <row r="41" customFormat="false" ht="15" hidden="false" customHeight="false" outlineLevel="0" collapsed="false">
      <c r="A41" s="4" t="s">
        <v>27</v>
      </c>
      <c r="B41" s="8" t="n">
        <f aca="false">COUNT(E41:K41)</f>
        <v>2</v>
      </c>
      <c r="C41" s="38" t="n">
        <f aca="false">SUMIFS($E$120:$E$239,$A$120:$A$239,$A41,$B$120:$B$239,K$11)/1000</f>
        <v>0</v>
      </c>
      <c r="D41" s="39" t="s">
        <v>104</v>
      </c>
      <c r="E41" s="13" t="str">
        <f aca="false">IF(SUMIFS($C$120:$C$239,$A$120:$A$239,$A$41,$B$120:$B$239,E$11)=0,"",SUMIFS($N$120:$N$239,$A$120:$A$239,$A$41,$B$120:$B$239,E$11))</f>
        <v/>
      </c>
      <c r="F41" s="13" t="str">
        <f aca="false">IF(SUMIFS($C$120:$C$239,$A$120:$A$239,$A$41,$B$120:$B$239,F$11)=0,"",SUMIFS($N$120:$N$239,$A$120:$A$239,$A$41,$B$120:$B$239,F$11))</f>
        <v/>
      </c>
      <c r="G41" s="13" t="str">
        <f aca="false">IF(SUMIFS($C$120:$C$239,$A$120:$A$239,$A$41,$B$120:$B$239,G$11)=0,"",SUMIFS($N$120:$N$239,$A$120:$A$239,$A$41,$B$120:$B$239,G$11))</f>
        <v/>
      </c>
      <c r="H41" s="13" t="str">
        <f aca="false">IF(SUMIFS($C$120:$C$239,$A$120:$A$239,$A$41,$B$120:$B$239,H$11)=0,"",SUMIFS($N$120:$N$239,$A$120:$A$239,$A$41,$B$120:$B$239,H$11))</f>
        <v/>
      </c>
      <c r="I41" s="13" t="n">
        <f aca="false">IF(SUMIFS($C$120:$C$239,$A$120:$A$239,$A$41,$B$120:$B$239,I$11)=0,"",SUMIFS($N$120:$N$239,$A$120:$A$239,$A$41,$B$120:$B$239,I$11))</f>
        <v>0.0544924566731306</v>
      </c>
      <c r="J41" s="13" t="n">
        <f aca="false">IF(SUMIFS($C$120:$C$239,$A$120:$A$239,$A$41,$B$120:$B$239,J$11)=0,"",SUMIFS($N$120:$N$239,$A$120:$A$239,$A$41,$B$120:$B$239,J$11))</f>
        <v>-1</v>
      </c>
      <c r="K41" s="13" t="str">
        <f aca="false">IF(SUMIFS($C$120:$C$239,$A$120:$A$239,$A$41,$B$120:$B$239,K$11)=0,"",SUMIFS($N$120:$N$239,$A$120:$A$239,$A$41,$B$120:$B$239,K$11))</f>
        <v/>
      </c>
      <c r="L41" s="13" t="n">
        <f aca="false">V41/O41-1</f>
        <v>-1</v>
      </c>
      <c r="M41" s="13" t="n">
        <f aca="false">IF($B41=0,"",(V41/O41)^(1/$B41)-1)</f>
        <v>-1</v>
      </c>
      <c r="O41" s="40" t="n">
        <v>100</v>
      </c>
      <c r="P41" s="38" t="n">
        <f aca="false">IF(E41="",O41,O41*(1+E41))</f>
        <v>100</v>
      </c>
      <c r="Q41" s="38" t="n">
        <f aca="false">IF(F41="",P41,P41*(1+F41))</f>
        <v>100</v>
      </c>
      <c r="R41" s="38" t="n">
        <f aca="false">IF(G41="",Q41,Q41*(1+G41))</f>
        <v>100</v>
      </c>
      <c r="S41" s="38" t="n">
        <f aca="false">IF(H41="",R41,R41*(1+H41))</f>
        <v>100</v>
      </c>
      <c r="T41" s="38" t="n">
        <f aca="false">IF(I41="",S41,S41*(1+I41))</f>
        <v>105.449245667313</v>
      </c>
      <c r="U41" s="38" t="n">
        <f aca="false">IF(J41="",T41,T41*(1+J41))</f>
        <v>0</v>
      </c>
      <c r="V41" s="38" t="n">
        <f aca="false">IF(K41="",U41,U41*(1+K41))</f>
        <v>0</v>
      </c>
    </row>
    <row r="42" customFormat="false" ht="15" hidden="false" customHeight="false" outlineLevel="0" collapsed="false">
      <c r="D42" s="39" t="s">
        <v>105</v>
      </c>
      <c r="E42" s="13" t="str">
        <f aca="false">IF(SUMIFS($C$120:$C$239,$A$120:$A$239,$A$41,$B$120:$B$239,E$11)=0,"",SUMIFS($M$120:$M$239,$A$120:$A$239,$A$41,$B$120:$B$239,E$11))</f>
        <v/>
      </c>
      <c r="F42" s="13" t="str">
        <f aca="false">IF(SUMIFS($C$120:$C$239,$A$120:$A$239,$A$41,$B$120:$B$239,F$11)=0,"",SUMIFS($M$120:$M$239,$A$120:$A$239,$A$41,$B$120:$B$239,F$11))</f>
        <v/>
      </c>
      <c r="G42" s="13" t="str">
        <f aca="false">IF(SUMIFS($C$120:$C$239,$A$120:$A$239,$A$41,$B$120:$B$239,G$11)=0,"",SUMIFS($M$120:$M$239,$A$120:$A$239,$A$41,$B$120:$B$239,G$11))</f>
        <v/>
      </c>
      <c r="H42" s="13" t="str">
        <f aca="false">IF(SUMIFS($C$120:$C$239,$A$120:$A$239,$A$41,$B$120:$B$239,H$11)=0,"",SUMIFS($M$120:$M$239,$A$120:$A$239,$A$41,$B$120:$B$239,H$11))</f>
        <v/>
      </c>
      <c r="I42" s="13" t="n">
        <f aca="false">IF(SUMIFS($C$120:$C$239,$A$120:$A$239,$A$41,$B$120:$B$239,I$11)=0,"",SUMIFS($M$120:$M$239,$A$120:$A$239,$A$41,$B$120:$B$239,I$11))</f>
        <v>0.0250509189808886</v>
      </c>
      <c r="J42" s="13" t="n">
        <f aca="false">IF(SUMIFS($C$120:$C$239,$A$120:$A$239,$A$41,$B$120:$B$239,J$11)=0,"",SUMIFS($M$120:$M$239,$A$120:$A$239,$A$41,$B$120:$B$239,J$11))</f>
        <v>-1</v>
      </c>
      <c r="K42" s="13" t="str">
        <f aca="false">IF(SUMIFS($C$120:$C$239,$A$120:$A$239,$A$41,$B$120:$B$239,K$11)=0,"",SUMIFS($M$120:$M$239,$A$120:$A$239,$A$41,$B$120:$B$239,K$11))</f>
        <v/>
      </c>
      <c r="L42" s="13" t="n">
        <f aca="false">V42/O42-1</f>
        <v>-1</v>
      </c>
      <c r="M42" s="13" t="n">
        <f aca="false">IF($B41=0,"",(V42/O42)^(1/$B41)-1)</f>
        <v>-1</v>
      </c>
      <c r="O42" s="40" t="n">
        <v>100</v>
      </c>
      <c r="P42" s="38" t="n">
        <f aca="false">IF(E42="",O42,O42*(1+E42))</f>
        <v>100</v>
      </c>
      <c r="Q42" s="38" t="n">
        <f aca="false">IF(F42="",P42,P42*(1+F42))</f>
        <v>100</v>
      </c>
      <c r="R42" s="38" t="n">
        <f aca="false">IF(G42="",Q42,Q42*(1+G42))</f>
        <v>100</v>
      </c>
      <c r="S42" s="38" t="n">
        <f aca="false">IF(H42="",R42,R42*(1+H42))</f>
        <v>100</v>
      </c>
      <c r="T42" s="38" t="n">
        <f aca="false">IF(I42="",S42,S42*(1+I42))</f>
        <v>102.505091898089</v>
      </c>
      <c r="U42" s="38" t="n">
        <f aca="false">IF(J42="",T42,T42*(1+J42))</f>
        <v>0</v>
      </c>
      <c r="V42" s="38" t="n">
        <f aca="false">IF(K42="",U42,U42*(1+K42))</f>
        <v>0</v>
      </c>
    </row>
    <row r="43" customFormat="false" ht="15" hidden="false" customHeight="false" outlineLevel="0" collapsed="false">
      <c r="A43" s="41"/>
      <c r="B43" s="41"/>
      <c r="C43" s="41"/>
      <c r="D43" s="42" t="s">
        <v>106</v>
      </c>
      <c r="E43" s="44" t="str">
        <f aca="false">IF(SUMIFS($C$120:$C$239,$A$120:$A$239,$A$41,$B$120:$B$239,E$11)=0,"",SUMIFS($L$120:$L$239,$A$120:$A$239,$A$41,$B$120:$B$239,E$11))</f>
        <v/>
      </c>
      <c r="F43" s="44" t="str">
        <f aca="false">IF(SUMIFS($C$120:$C$239,$A$120:$A$239,$A$41,$B$120:$B$239,F$11)=0,"",SUMIFS($L$120:$L$239,$A$120:$A$239,$A$41,$B$120:$B$239,F$11))</f>
        <v/>
      </c>
      <c r="G43" s="44" t="str">
        <f aca="false">IF(SUMIFS($C$120:$C$239,$A$120:$A$239,$A$41,$B$120:$B$239,G$11)=0,"",SUMIFS($L$120:$L$239,$A$120:$A$239,$A$41,$B$120:$B$239,G$11))</f>
        <v/>
      </c>
      <c r="H43" s="44" t="str">
        <f aca="false">IF(SUMIFS($C$120:$C$239,$A$120:$A$239,$A$41,$B$120:$B$239,H$11)=0,"",SUMIFS($L$120:$L$239,$A$120:$A$239,$A$41,$B$120:$B$239,H$11))</f>
        <v/>
      </c>
      <c r="I43" s="44" t="n">
        <f aca="false">IF(SUMIFS($C$120:$C$239,$A$120:$A$239,$A$41,$B$120:$B$239,I$11)=0,"",SUMIFS($L$120:$L$239,$A$120:$A$239,$A$41,$B$120:$B$239,I$11))</f>
        <v>0.029441537692242</v>
      </c>
      <c r="J43" s="44" t="n">
        <f aca="false">IF(SUMIFS($C$120:$C$239,$A$120:$A$239,$A$41,$B$120:$B$239,J$11)=0,"",SUMIFS($L$120:$L$239,$A$120:$A$239,$A$41,$B$120:$B$239,J$11))</f>
        <v>0</v>
      </c>
      <c r="K43" s="44" t="str">
        <f aca="false">IF(SUMIFS($C$120:$C$239,$A$120:$A$239,$A$41,$B$120:$B$239,K$11)=0,"",SUMIFS($L$120:$L$239,$A$120:$A$239,$A$41,$B$120:$B$239,K$11))</f>
        <v/>
      </c>
      <c r="L43" s="44" t="n">
        <f aca="false">V43/O43-1</f>
        <v>0.0294415376922421</v>
      </c>
      <c r="M43" s="44" t="n">
        <f aca="false">IF($B41=0,"",(V43/O43)^(1/$B41)-1)</f>
        <v>0.0146139845735629</v>
      </c>
      <c r="N43" s="41"/>
      <c r="O43" s="45" t="n">
        <v>100</v>
      </c>
      <c r="P43" s="43" t="n">
        <f aca="false">IF(E43="",O43,O43*(1+E43))</f>
        <v>100</v>
      </c>
      <c r="Q43" s="43" t="n">
        <f aca="false">IF(F43="",P43,P43*(1+F43))</f>
        <v>100</v>
      </c>
      <c r="R43" s="43" t="n">
        <f aca="false">IF(G43="",Q43,Q43*(1+G43))</f>
        <v>100</v>
      </c>
      <c r="S43" s="43" t="n">
        <f aca="false">IF(H43="",R43,R43*(1+H43))</f>
        <v>100</v>
      </c>
      <c r="T43" s="43" t="n">
        <f aca="false">IF(I43="",S43,S43*(1+I43))</f>
        <v>102.944153769224</v>
      </c>
      <c r="U43" s="43" t="n">
        <f aca="false">IF(J43="",T43,T43*(1+J43))</f>
        <v>102.944153769224</v>
      </c>
      <c r="V43" s="43" t="n">
        <f aca="false">IF(K43="",U43,U43*(1+K43))</f>
        <v>102.944153769224</v>
      </c>
    </row>
    <row r="44" customFormat="false" ht="15" hidden="false" customHeight="false" outlineLevel="0" collapsed="false">
      <c r="A44" s="4" t="s">
        <v>28</v>
      </c>
      <c r="B44" s="8" t="n">
        <f aca="false">COUNT(E44:K44)</f>
        <v>3</v>
      </c>
      <c r="C44" s="38" t="n">
        <f aca="false">SUMIFS($E$120:$E$239,$A$120:$A$239,$A44,$B$120:$B$239,K$11)/1000</f>
        <v>234.99</v>
      </c>
      <c r="D44" s="39" t="s">
        <v>104</v>
      </c>
      <c r="E44" s="13" t="str">
        <f aca="false">IF(SUMIFS($C$120:$C$239,$A$120:$A$239,$A$44,$B$120:$B$239,E$11)=0,"",SUMIFS($N$120:$N$239,$A$120:$A$239,$A$44,$B$120:$B$239,E$11))</f>
        <v/>
      </c>
      <c r="F44" s="13" t="str">
        <f aca="false">IF(SUMIFS($C$120:$C$239,$A$120:$A$239,$A$44,$B$120:$B$239,F$11)=0,"",SUMIFS($N$120:$N$239,$A$120:$A$239,$A$44,$B$120:$B$239,F$11))</f>
        <v/>
      </c>
      <c r="G44" s="13" t="str">
        <f aca="false">IF(SUMIFS($C$120:$C$239,$A$120:$A$239,$A$44,$B$120:$B$239,G$11)=0,"",SUMIFS($N$120:$N$239,$A$120:$A$239,$A$44,$B$120:$B$239,G$11))</f>
        <v/>
      </c>
      <c r="H44" s="13" t="str">
        <f aca="false">IF(SUMIFS($C$120:$C$239,$A$120:$A$239,$A$44,$B$120:$B$239,H$11)=0,"",SUMIFS($N$120:$N$239,$A$120:$A$239,$A$44,$B$120:$B$239,H$11))</f>
        <v/>
      </c>
      <c r="I44" s="13" t="n">
        <f aca="false">IF(SUMIFS($C$120:$C$239,$A$120:$A$239,$A$44,$B$120:$B$239,I$11)=0,"",SUMIFS($N$120:$N$239,$A$120:$A$239,$A$44,$B$120:$B$239,I$11))</f>
        <v>0.494138736439619</v>
      </c>
      <c r="J44" s="13" t="n">
        <f aca="false">IF(SUMIFS($C$120:$C$239,$A$120:$A$239,$A$44,$B$120:$B$239,J$11)=0,"",SUMIFS($N$120:$N$239,$A$120:$A$239,$A$44,$B$120:$B$239,J$11))</f>
        <v>0.353161391471262</v>
      </c>
      <c r="K44" s="13" t="n">
        <f aca="false">IF(SUMIFS($C$120:$C$239,$A$120:$A$239,$A$44,$B$120:$B$239,K$11)=0,"",SUMIFS($N$120:$N$239,$A$120:$A$239,$A$44,$B$120:$B$239,K$11))</f>
        <v>0.0422106862664865</v>
      </c>
      <c r="L44" s="13" t="n">
        <f aca="false">V44/O44-1</f>
        <v>1.107152875201</v>
      </c>
      <c r="M44" s="13" t="n">
        <f aca="false">IF($B44=0,"",(V44/O44)^(1/$B44)-1)</f>
        <v>0.282031457485068</v>
      </c>
      <c r="O44" s="40" t="n">
        <v>100</v>
      </c>
      <c r="P44" s="38" t="n">
        <f aca="false">IF(E44="",O44,O44*(1+E44))</f>
        <v>100</v>
      </c>
      <c r="Q44" s="38" t="n">
        <f aca="false">IF(F44="",P44,P44*(1+F44))</f>
        <v>100</v>
      </c>
      <c r="R44" s="38" t="n">
        <f aca="false">IF(G44="",Q44,Q44*(1+G44))</f>
        <v>100</v>
      </c>
      <c r="S44" s="38" t="n">
        <f aca="false">IF(H44="",R44,R44*(1+H44))</f>
        <v>100</v>
      </c>
      <c r="T44" s="38" t="n">
        <f aca="false">IF(I44="",S44,S44*(1+I44))</f>
        <v>149.413873643962</v>
      </c>
      <c r="U44" s="38" t="n">
        <f aca="false">IF(J44="",T44,T44*(1+J44))</f>
        <v>202.181085165175</v>
      </c>
      <c r="V44" s="38" t="n">
        <f aca="false">IF(K44="",U44,U44*(1+K44))</f>
        <v>210.7152875201</v>
      </c>
    </row>
    <row r="45" customFormat="false" ht="15" hidden="false" customHeight="false" outlineLevel="0" collapsed="false">
      <c r="D45" s="39" t="s">
        <v>105</v>
      </c>
      <c r="E45" s="13" t="str">
        <f aca="false">IF(SUMIFS($C$120:$C$239,$A$120:$A$239,$A$44,$B$120:$B$239,E$11)=0,"",SUMIFS($M$120:$M$239,$A$120:$A$239,$A$44,$B$120:$B$239,E$11))</f>
        <v/>
      </c>
      <c r="F45" s="13" t="str">
        <f aca="false">IF(SUMIFS($C$120:$C$239,$A$120:$A$239,$A$44,$B$120:$B$239,F$11)=0,"",SUMIFS($M$120:$M$239,$A$120:$A$239,$A$44,$B$120:$B$239,F$11))</f>
        <v/>
      </c>
      <c r="G45" s="13" t="str">
        <f aca="false">IF(SUMIFS($C$120:$C$239,$A$120:$A$239,$A$44,$B$120:$B$239,G$11)=0,"",SUMIFS($M$120:$M$239,$A$120:$A$239,$A$44,$B$120:$B$239,G$11))</f>
        <v/>
      </c>
      <c r="H45" s="13" t="str">
        <f aca="false">IF(SUMIFS($C$120:$C$239,$A$120:$A$239,$A$44,$B$120:$B$239,H$11)=0,"",SUMIFS($M$120:$M$239,$A$120:$A$239,$A$44,$B$120:$B$239,H$11))</f>
        <v/>
      </c>
      <c r="I45" s="13" t="n">
        <f aca="false">IF(SUMIFS($C$120:$C$239,$A$120:$A$239,$A$44,$B$120:$B$239,I$11)=0,"",SUMIFS($M$120:$M$239,$A$120:$A$239,$A$44,$B$120:$B$239,I$11))</f>
        <v>0.474314199048952</v>
      </c>
      <c r="J45" s="13" t="n">
        <f aca="false">IF(SUMIFS($C$120:$C$239,$A$120:$A$239,$A$44,$B$120:$B$239,J$11)=0,"",SUMIFS($M$120:$M$239,$A$120:$A$239,$A$44,$B$120:$B$239,J$11))</f>
        <v>0.349244860671056</v>
      </c>
      <c r="K45" s="13" t="n">
        <f aca="false">IF(SUMIFS($C$120:$C$239,$A$120:$A$239,$A$44,$B$120:$B$239,K$11)=0,"",SUMIFS($M$120:$M$239,$A$120:$A$239,$A$44,$B$120:$B$239,K$11))</f>
        <v>0.0368270764167365</v>
      </c>
      <c r="L45" s="13" t="n">
        <f aca="false">V45/O45-1</f>
        <v>1.06246767628707</v>
      </c>
      <c r="M45" s="13" t="n">
        <f aca="false">IF($B44=0,"",(V45/O45)^(1/$B44)-1)</f>
        <v>0.272904192650087</v>
      </c>
      <c r="O45" s="40" t="n">
        <v>100</v>
      </c>
      <c r="P45" s="38" t="n">
        <f aca="false">IF(E45="",O45,O45*(1+E45))</f>
        <v>100</v>
      </c>
      <c r="Q45" s="38" t="n">
        <f aca="false">IF(F45="",P45,P45*(1+F45))</f>
        <v>100</v>
      </c>
      <c r="R45" s="38" t="n">
        <f aca="false">IF(G45="",Q45,Q45*(1+G45))</f>
        <v>100</v>
      </c>
      <c r="S45" s="38" t="n">
        <f aca="false">IF(H45="",R45,R45*(1+H45))</f>
        <v>100</v>
      </c>
      <c r="T45" s="38" t="n">
        <f aca="false">IF(I45="",S45,S45*(1+I45))</f>
        <v>147.431419904895</v>
      </c>
      <c r="U45" s="38" t="n">
        <f aca="false">IF(J45="",T45,T45*(1+J45))</f>
        <v>198.921085608116</v>
      </c>
      <c r="V45" s="38" t="n">
        <f aca="false">IF(K45="",U45,U45*(1+K45))</f>
        <v>206.246767628707</v>
      </c>
    </row>
    <row r="46" customFormat="false" ht="15" hidden="false" customHeight="false" outlineLevel="0" collapsed="false">
      <c r="A46" s="41"/>
      <c r="B46" s="41"/>
      <c r="C46" s="41"/>
      <c r="D46" s="42" t="s">
        <v>106</v>
      </c>
      <c r="E46" s="44" t="str">
        <f aca="false">IF(SUMIFS($C$120:$C$239,$A$120:$A$239,$A$44,$B$120:$B$239,E$11)=0,"",SUMIFS($L$120:$L$239,$A$120:$A$239,$A$44,$B$120:$B$239,E$11))</f>
        <v/>
      </c>
      <c r="F46" s="44" t="str">
        <f aca="false">IF(SUMIFS($C$120:$C$239,$A$120:$A$239,$A$44,$B$120:$B$239,F$11)=0,"",SUMIFS($L$120:$L$239,$A$120:$A$239,$A$44,$B$120:$B$239,F$11))</f>
        <v/>
      </c>
      <c r="G46" s="44" t="str">
        <f aca="false">IF(SUMIFS($C$120:$C$239,$A$120:$A$239,$A$44,$B$120:$B$239,G$11)=0,"",SUMIFS($L$120:$L$239,$A$120:$A$239,$A$44,$B$120:$B$239,G$11))</f>
        <v/>
      </c>
      <c r="H46" s="44" t="str">
        <f aca="false">IF(SUMIFS($C$120:$C$239,$A$120:$A$239,$A$44,$B$120:$B$239,H$11)=0,"",SUMIFS($L$120:$L$239,$A$120:$A$239,$A$44,$B$120:$B$239,H$11))</f>
        <v/>
      </c>
      <c r="I46" s="44" t="n">
        <f aca="false">IF(SUMIFS($C$120:$C$239,$A$120:$A$239,$A$44,$B$120:$B$239,I$11)=0,"",SUMIFS($L$120:$L$239,$A$120:$A$239,$A$44,$B$120:$B$239,I$11))</f>
        <v>0.019824537390667</v>
      </c>
      <c r="J46" s="44" t="n">
        <f aca="false">IF(SUMIFS($C$120:$C$239,$A$120:$A$239,$A$44,$B$120:$B$239,J$11)=0,"",SUMIFS($L$120:$L$239,$A$120:$A$239,$A$44,$B$120:$B$239,J$11))</f>
        <v>0.00391653080020626</v>
      </c>
      <c r="K46" s="44" t="n">
        <f aca="false">IF(SUMIFS($C$120:$C$239,$A$120:$A$239,$A$44,$B$120:$B$239,K$11)=0,"",SUMIFS($L$120:$L$239,$A$120:$A$239,$A$44,$B$120:$B$239,K$11))</f>
        <v>0.00538360984974995</v>
      </c>
      <c r="L46" s="44" t="n">
        <f aca="false">V46/O46-1</f>
        <v>0.0293305521023033</v>
      </c>
      <c r="M46" s="44" t="n">
        <f aca="false">IF($B44=0,"",(V46/O46)^(1/$B44)-1)</f>
        <v>0.0096827916387785</v>
      </c>
      <c r="N46" s="41"/>
      <c r="O46" s="45" t="n">
        <v>100</v>
      </c>
      <c r="P46" s="43" t="n">
        <f aca="false">IF(E46="",O46,O46*(1+E46))</f>
        <v>100</v>
      </c>
      <c r="Q46" s="43" t="n">
        <f aca="false">IF(F46="",P46,P46*(1+F46))</f>
        <v>100</v>
      </c>
      <c r="R46" s="43" t="n">
        <f aca="false">IF(G46="",Q46,Q46*(1+G46))</f>
        <v>100</v>
      </c>
      <c r="S46" s="43" t="n">
        <f aca="false">IF(H46="",R46,R46*(1+H46))</f>
        <v>100</v>
      </c>
      <c r="T46" s="43" t="n">
        <f aca="false">IF(I46="",S46,S46*(1+I46))</f>
        <v>101.982453739067</v>
      </c>
      <c r="U46" s="43" t="n">
        <f aca="false">IF(J46="",T46,T46*(1+J46))</f>
        <v>102.381871160216</v>
      </c>
      <c r="V46" s="43" t="n">
        <f aca="false">IF(K46="",U46,U46*(1+K46))</f>
        <v>102.93305521023</v>
      </c>
    </row>
    <row r="47" customFormat="false" ht="15" hidden="false" customHeight="false" outlineLevel="0" collapsed="false">
      <c r="A47" s="4" t="s">
        <v>29</v>
      </c>
      <c r="B47" s="8" t="n">
        <f aca="false">COUNT(E47:K47)</f>
        <v>3</v>
      </c>
      <c r="C47" s="38" t="n">
        <f aca="false">SUMIFS($E$120:$E$239,$A$120:$A$239,$A47,$B$120:$B$239,K$11)/1000</f>
        <v>175.03</v>
      </c>
      <c r="D47" s="39" t="s">
        <v>104</v>
      </c>
      <c r="E47" s="13" t="str">
        <f aca="false">IF(SUMIFS($C$120:$C$239,$A$120:$A$239,$A$47,$B$120:$B$239,E$11)=0,"",SUMIFS($N$120:$N$239,$A$120:$A$239,$A$47,$B$120:$B$239,E$11))</f>
        <v/>
      </c>
      <c r="F47" s="13" t="str">
        <f aca="false">IF(SUMIFS($C$120:$C$239,$A$120:$A$239,$A$47,$B$120:$B$239,F$11)=0,"",SUMIFS($N$120:$N$239,$A$120:$A$239,$A$47,$B$120:$B$239,F$11))</f>
        <v/>
      </c>
      <c r="G47" s="13" t="str">
        <f aca="false">IF(SUMIFS($C$120:$C$239,$A$120:$A$239,$A$47,$B$120:$B$239,G$11)=0,"",SUMIFS($N$120:$N$239,$A$120:$A$239,$A$47,$B$120:$B$239,G$11))</f>
        <v/>
      </c>
      <c r="H47" s="13" t="str">
        <f aca="false">IF(SUMIFS($C$120:$C$239,$A$120:$A$239,$A$47,$B$120:$B$239,H$11)=0,"",SUMIFS($N$120:$N$239,$A$120:$A$239,$A$47,$B$120:$B$239,H$11))</f>
        <v/>
      </c>
      <c r="I47" s="13" t="n">
        <f aca="false">IF(SUMIFS($C$120:$C$239,$A$120:$A$239,$A$47,$B$120:$B$239,I$11)=0,"",SUMIFS($N$120:$N$239,$A$120:$A$239,$A$47,$B$120:$B$239,I$11))</f>
        <v>1.05632872691696</v>
      </c>
      <c r="J47" s="13" t="n">
        <f aca="false">IF(SUMIFS($C$120:$C$239,$A$120:$A$239,$A$47,$B$120:$B$239,J$11)=0,"",SUMIFS($N$120:$N$239,$A$120:$A$239,$A$47,$B$120:$B$239,J$11))</f>
        <v>0.0635753470838824</v>
      </c>
      <c r="K47" s="13" t="n">
        <f aca="false">IF(SUMIFS($C$120:$C$239,$A$120:$A$239,$A$47,$B$120:$B$239,K$11)=0,"",SUMIFS($N$120:$N$239,$A$120:$A$239,$A$47,$B$120:$B$239,K$11))</f>
        <v>0.0600764576981707</v>
      </c>
      <c r="L47" s="13" t="n">
        <f aca="false">V47/O47-1</f>
        <v>1.31845138943083</v>
      </c>
      <c r="M47" s="13" t="n">
        <f aca="false">IF($B47=0,"",(V47/O47)^(1/$B47)-1)</f>
        <v>0.323526571817626</v>
      </c>
      <c r="O47" s="40" t="n">
        <v>100</v>
      </c>
      <c r="P47" s="38" t="n">
        <f aca="false">IF(E47="",O47,O47*(1+E47))</f>
        <v>100</v>
      </c>
      <c r="Q47" s="38" t="n">
        <f aca="false">IF(F47="",P47,P47*(1+F47))</f>
        <v>100</v>
      </c>
      <c r="R47" s="38" t="n">
        <f aca="false">IF(G47="",Q47,Q47*(1+G47))</f>
        <v>100</v>
      </c>
      <c r="S47" s="38" t="n">
        <f aca="false">IF(H47="",R47,R47*(1+H47))</f>
        <v>100</v>
      </c>
      <c r="T47" s="38" t="n">
        <f aca="false">IF(I47="",S47,S47*(1+I47))</f>
        <v>205.632872691696</v>
      </c>
      <c r="U47" s="38" t="n">
        <f aca="false">IF(J47="",T47,T47*(1+J47))</f>
        <v>218.706053944927</v>
      </c>
      <c r="V47" s="38" t="n">
        <f aca="false">IF(K47="",U47,U47*(1+K47))</f>
        <v>231.845138943083</v>
      </c>
    </row>
    <row r="48" customFormat="false" ht="15" hidden="false" customHeight="false" outlineLevel="0" collapsed="false">
      <c r="D48" s="39" t="s">
        <v>105</v>
      </c>
      <c r="E48" s="13" t="str">
        <f aca="false">IF(SUMIFS($C$120:$C$239,$A$120:$A$239,$A$47,$B$120:$B$239,E$11)=0,"",SUMIFS($M$120:$M$239,$A$120:$A$239,$A$47,$B$120:$B$239,E$11))</f>
        <v/>
      </c>
      <c r="F48" s="13" t="str">
        <f aca="false">IF(SUMIFS($C$120:$C$239,$A$120:$A$239,$A$47,$B$120:$B$239,F$11)=0,"",SUMIFS($M$120:$M$239,$A$120:$A$239,$A$47,$B$120:$B$239,F$11))</f>
        <v/>
      </c>
      <c r="G48" s="13" t="str">
        <f aca="false">IF(SUMIFS($C$120:$C$239,$A$120:$A$239,$A$47,$B$120:$B$239,G$11)=0,"",SUMIFS($M$120:$M$239,$A$120:$A$239,$A$47,$B$120:$B$239,G$11))</f>
        <v/>
      </c>
      <c r="H48" s="13" t="str">
        <f aca="false">IF(SUMIFS($C$120:$C$239,$A$120:$A$239,$A$47,$B$120:$B$239,H$11)=0,"",SUMIFS($M$120:$M$239,$A$120:$A$239,$A$47,$B$120:$B$239,H$11))</f>
        <v/>
      </c>
      <c r="I48" s="13" t="n">
        <f aca="false">IF(SUMIFS($C$120:$C$239,$A$120:$A$239,$A$47,$B$120:$B$239,I$11)=0,"",SUMIFS($M$120:$M$239,$A$120:$A$239,$A$47,$B$120:$B$239,I$11))</f>
        <v>0.997260609025315</v>
      </c>
      <c r="J48" s="13" t="n">
        <f aca="false">IF(SUMIFS($C$120:$C$239,$A$120:$A$239,$A$47,$B$120:$B$239,J$11)=0,"",SUMIFS($M$120:$M$239,$A$120:$A$239,$A$47,$B$120:$B$239,J$11))</f>
        <v>0.0318734867755678</v>
      </c>
      <c r="K48" s="13" t="n">
        <f aca="false">IF(SUMIFS($C$120:$C$239,$A$120:$A$239,$A$47,$B$120:$B$239,K$11)=0,"",SUMIFS($M$120:$M$239,$A$120:$A$239,$A$47,$B$120:$B$239,K$11))</f>
        <v>0.0244081078506098</v>
      </c>
      <c r="L48" s="13" t="n">
        <f aca="false">V48/O48-1</f>
        <v>1.11122343282278</v>
      </c>
      <c r="M48" s="13" t="n">
        <f aca="false">IF($B47=0,"",(V48/O48)^(1/$B47)-1)</f>
        <v>0.282856461087093</v>
      </c>
      <c r="O48" s="40" t="n">
        <v>100</v>
      </c>
      <c r="P48" s="38" t="n">
        <f aca="false">IF(E48="",O48,O48*(1+E48))</f>
        <v>100</v>
      </c>
      <c r="Q48" s="38" t="n">
        <f aca="false">IF(F48="",P48,P48*(1+F48))</f>
        <v>100</v>
      </c>
      <c r="R48" s="38" t="n">
        <f aca="false">IF(G48="",Q48,Q48*(1+G48))</f>
        <v>100</v>
      </c>
      <c r="S48" s="38" t="n">
        <f aca="false">IF(H48="",R48,R48*(1+H48))</f>
        <v>100</v>
      </c>
      <c r="T48" s="38" t="n">
        <f aca="false">IF(I48="",S48,S48*(1+I48))</f>
        <v>199.726060902532</v>
      </c>
      <c r="U48" s="38" t="n">
        <f aca="false">IF(J48="",T48,T48*(1+J48))</f>
        <v>206.092026863445</v>
      </c>
      <c r="V48" s="38" t="n">
        <f aca="false">IF(K48="",U48,U48*(1+K48))</f>
        <v>211.122343282278</v>
      </c>
    </row>
    <row r="49" customFormat="false" ht="15" hidden="false" customHeight="false" outlineLevel="0" collapsed="false">
      <c r="A49" s="41"/>
      <c r="B49" s="41"/>
      <c r="C49" s="41"/>
      <c r="D49" s="42" t="s">
        <v>106</v>
      </c>
      <c r="E49" s="44" t="str">
        <f aca="false">IF(SUMIFS($C$120:$C$239,$A$120:$A$239,$A$47,$B$120:$B$239,E$11)=0,"",SUMIFS($L$120:$L$239,$A$120:$A$239,$A$47,$B$120:$B$239,E$11))</f>
        <v/>
      </c>
      <c r="F49" s="44" t="str">
        <f aca="false">IF(SUMIFS($C$120:$C$239,$A$120:$A$239,$A$47,$B$120:$B$239,F$11)=0,"",SUMIFS($L$120:$L$239,$A$120:$A$239,$A$47,$B$120:$B$239,F$11))</f>
        <v/>
      </c>
      <c r="G49" s="44" t="str">
        <f aca="false">IF(SUMIFS($C$120:$C$239,$A$120:$A$239,$A$47,$B$120:$B$239,G$11)=0,"",SUMIFS($L$120:$L$239,$A$120:$A$239,$A$47,$B$120:$B$239,G$11))</f>
        <v/>
      </c>
      <c r="H49" s="44" t="str">
        <f aca="false">IF(SUMIFS($C$120:$C$239,$A$120:$A$239,$A$47,$B$120:$B$239,H$11)=0,"",SUMIFS($L$120:$L$239,$A$120:$A$239,$A$47,$B$120:$B$239,H$11))</f>
        <v/>
      </c>
      <c r="I49" s="44" t="n">
        <f aca="false">IF(SUMIFS($C$120:$C$239,$A$120:$A$239,$A$47,$B$120:$B$239,I$11)=0,"",SUMIFS($L$120:$L$239,$A$120:$A$239,$A$47,$B$120:$B$239,I$11))</f>
        <v>0.0590681178916473</v>
      </c>
      <c r="J49" s="44" t="n">
        <f aca="false">IF(SUMIFS($C$120:$C$239,$A$120:$A$239,$A$47,$B$120:$B$239,J$11)=0,"",SUMIFS($L$120:$L$239,$A$120:$A$239,$A$47,$B$120:$B$239,J$11))</f>
        <v>0.0317018603083147</v>
      </c>
      <c r="K49" s="44" t="n">
        <f aca="false">IF(SUMIFS($C$120:$C$239,$A$120:$A$239,$A$47,$B$120:$B$239,K$11)=0,"",SUMIFS($L$120:$L$239,$A$120:$A$239,$A$47,$B$120:$B$239,K$11))</f>
        <v>0.035668349847561</v>
      </c>
      <c r="L49" s="44" t="n">
        <f aca="false">V49/O49-1</f>
        <v>0.131615304061818</v>
      </c>
      <c r="M49" s="44" t="n">
        <f aca="false">IF($B47=0,"",(V49/O49)^(1/$B47)-1)</f>
        <v>0.0420765045826548</v>
      </c>
      <c r="N49" s="41"/>
      <c r="O49" s="45" t="n">
        <v>100</v>
      </c>
      <c r="P49" s="43" t="n">
        <f aca="false">IF(E49="",O49,O49*(1+E49))</f>
        <v>100</v>
      </c>
      <c r="Q49" s="43" t="n">
        <f aca="false">IF(F49="",P49,P49*(1+F49))</f>
        <v>100</v>
      </c>
      <c r="R49" s="43" t="n">
        <f aca="false">IF(G49="",Q49,Q49*(1+G49))</f>
        <v>100</v>
      </c>
      <c r="S49" s="43" t="n">
        <f aca="false">IF(H49="",R49,R49*(1+H49))</f>
        <v>100</v>
      </c>
      <c r="T49" s="43" t="n">
        <f aca="false">IF(I49="",S49,S49*(1+I49))</f>
        <v>105.906811789165</v>
      </c>
      <c r="U49" s="43" t="n">
        <f aca="false">IF(J49="",T49,T49*(1+J49))</f>
        <v>109.264254742204</v>
      </c>
      <c r="V49" s="43" t="n">
        <f aca="false">IF(K49="",U49,U49*(1+K49))</f>
        <v>113.161530406182</v>
      </c>
    </row>
    <row r="50" customFormat="false" ht="15" hidden="false" customHeight="false" outlineLevel="0" collapsed="false">
      <c r="A50" s="4" t="s">
        <v>30</v>
      </c>
      <c r="B50" s="8" t="n">
        <f aca="false">COUNT(E50:K50)</f>
        <v>7</v>
      </c>
      <c r="C50" s="38" t="n">
        <f aca="false">SUMIFS($E$120:$E$239,$A$120:$A$239,$A50,$B$120:$B$239,K$11)/1000</f>
        <v>315.87</v>
      </c>
      <c r="D50" s="39" t="s">
        <v>104</v>
      </c>
      <c r="E50" s="13" t="n">
        <f aca="false">IF(SUMIFS($C$120:$C$239,$A$120:$A$239,$A$50,$B$120:$B$239,E$11)=0,"",SUMIFS($N$120:$N$239,$A$120:$A$239,$A$50,$B$120:$B$239,E$11))</f>
        <v>1.1477691740413</v>
      </c>
      <c r="F50" s="13" t="n">
        <f aca="false">IF(SUMIFS($C$120:$C$239,$A$120:$A$239,$A$50,$B$120:$B$239,F$11)=0,"",SUMIFS($N$120:$N$239,$A$120:$A$239,$A$50,$B$120:$B$239,F$11))</f>
        <v>-0.141379458345852</v>
      </c>
      <c r="G50" s="13" t="n">
        <f aca="false">IF(SUMIFS($C$120:$C$239,$A$120:$A$239,$A$50,$B$120:$B$239,G$11)=0,"",SUMIFS($N$120:$N$239,$A$120:$A$239,$A$50,$B$120:$B$239,G$11))</f>
        <v>0.0961759560109973</v>
      </c>
      <c r="H50" s="13" t="n">
        <f aca="false">IF(SUMIFS($C$120:$C$239,$A$120:$A$239,$A$50,$B$120:$B$239,H$11)=0,"",SUMIFS($N$120:$N$239,$A$120:$A$239,$A$50,$B$120:$B$239,H$11))</f>
        <v>0.162934926353231</v>
      </c>
      <c r="I50" s="13" t="n">
        <f aca="false">IF(SUMIFS($C$120:$C$239,$A$120:$A$239,$A$50,$B$120:$B$239,I$11)=0,"",SUMIFS($N$120:$N$239,$A$120:$A$239,$A$50,$B$120:$B$239,I$11))</f>
        <v>0.00669751392047683</v>
      </c>
      <c r="J50" s="13" t="n">
        <f aca="false">IF(SUMIFS($C$120:$C$239,$A$120:$A$239,$A$50,$B$120:$B$239,J$11)=0,"",SUMIFS($N$120:$N$239,$A$120:$A$239,$A$50,$B$120:$B$239,J$11))</f>
        <v>0.200659842323393</v>
      </c>
      <c r="K50" s="13" t="n">
        <f aca="false">IF(SUMIFS($C$120:$C$239,$A$120:$A$239,$A$50,$B$120:$B$239,K$11)=0,"",SUMIFS($N$120:$N$239,$A$120:$A$239,$A$50,$B$120:$B$239,K$11))</f>
        <v>0.0247434653828311</v>
      </c>
      <c r="L50" s="13" t="n">
        <f aca="false">V50/O50-1</f>
        <v>1.91178097345133</v>
      </c>
      <c r="M50" s="13" t="n">
        <f aca="false">IF($B50=0,"",(V50/O50)^(1/$B50)-1)</f>
        <v>0.164952952128958</v>
      </c>
      <c r="O50" s="40" t="n">
        <v>100</v>
      </c>
      <c r="P50" s="38" t="n">
        <f aca="false">IF(E50="",O50,O50*(1+E50))</f>
        <v>214.77691740413</v>
      </c>
      <c r="Q50" s="38" t="n">
        <f aca="false">IF(F50="",P50,P50*(1+F50))</f>
        <v>184.411873156342</v>
      </c>
      <c r="R50" s="38" t="n">
        <f aca="false">IF(G50="",Q50,Q50*(1+G50))</f>
        <v>202.147861356932</v>
      </c>
      <c r="S50" s="38" t="n">
        <f aca="false">IF(H50="",R50,R50*(1+H50))</f>
        <v>235.084808259587</v>
      </c>
      <c r="T50" s="38" t="n">
        <f aca="false">IF(I50="",S50,S50*(1+I50))</f>
        <v>236.659292035398</v>
      </c>
      <c r="U50" s="38" t="n">
        <f aca="false">IF(J50="",T50,T50*(1+J50))</f>
        <v>284.147308259587</v>
      </c>
      <c r="V50" s="38" t="n">
        <f aca="false">IF(K50="",U50,U50*(1+K50))</f>
        <v>291.178097345133</v>
      </c>
    </row>
    <row r="51" customFormat="false" ht="15" hidden="false" customHeight="false" outlineLevel="0" collapsed="false">
      <c r="D51" s="39" t="s">
        <v>105</v>
      </c>
      <c r="E51" s="13" t="n">
        <f aca="false">IF(SUMIFS($C$120:$C$239,$A$120:$A$239,$A$50,$B$120:$B$239,E$11)=0,"",SUMIFS($M$120:$M$239,$A$120:$A$239,$A$50,$B$120:$B$239,E$11))</f>
        <v>1.1477691740413</v>
      </c>
      <c r="F51" s="13" t="n">
        <f aca="false">IF(SUMIFS($C$120:$C$239,$A$120:$A$239,$A$50,$B$120:$B$239,F$11)=0,"",SUMIFS($M$120:$M$239,$A$120:$A$239,$A$50,$B$120:$B$239,F$11))</f>
        <v>-0.141379458345852</v>
      </c>
      <c r="G51" s="13" t="n">
        <f aca="false">IF(SUMIFS($C$120:$C$239,$A$120:$A$239,$A$50,$B$120:$B$239,G$11)=0,"",SUMIFS($M$120:$M$239,$A$120:$A$239,$A$50,$B$120:$B$239,G$11))</f>
        <v>0.0961759560109973</v>
      </c>
      <c r="H51" s="13" t="n">
        <f aca="false">IF(SUMIFS($C$120:$C$239,$A$120:$A$239,$A$50,$B$120:$B$239,H$11)=0,"",SUMIFS($M$120:$M$239,$A$120:$A$239,$A$50,$B$120:$B$239,H$11))</f>
        <v>0.162934926353231</v>
      </c>
      <c r="I51" s="13" t="n">
        <f aca="false">IF(SUMIFS($C$120:$C$239,$A$120:$A$239,$A$50,$B$120:$B$239,I$11)=0,"",SUMIFS($M$120:$M$239,$A$120:$A$239,$A$50,$B$120:$B$239,I$11))</f>
        <v>0.00669751392047683</v>
      </c>
      <c r="J51" s="13" t="n">
        <f aca="false">IF(SUMIFS($C$120:$C$239,$A$120:$A$239,$A$50,$B$120:$B$239,J$11)=0,"",SUMIFS($M$120:$M$239,$A$120:$A$239,$A$50,$B$120:$B$239,J$11))</f>
        <v>0.200659842323393</v>
      </c>
      <c r="K51" s="13" t="n">
        <f aca="false">IF(SUMIFS($C$120:$C$239,$A$120:$A$239,$A$50,$B$120:$B$239,K$11)=0,"",SUMIFS($M$120:$M$239,$A$120:$A$239,$A$50,$B$120:$B$239,K$11))</f>
        <v>0.0247434653828311</v>
      </c>
      <c r="L51" s="13" t="n">
        <f aca="false">V51/O51-1</f>
        <v>1.91178097345133</v>
      </c>
      <c r="M51" s="13" t="n">
        <f aca="false">IF($B50=0,"",(V51/O51)^(1/$B50)-1)</f>
        <v>0.164952952128958</v>
      </c>
      <c r="O51" s="40" t="n">
        <v>100</v>
      </c>
      <c r="P51" s="38" t="n">
        <f aca="false">IF(E51="",O51,O51*(1+E51))</f>
        <v>214.77691740413</v>
      </c>
      <c r="Q51" s="38" t="n">
        <f aca="false">IF(F51="",P51,P51*(1+F51))</f>
        <v>184.411873156342</v>
      </c>
      <c r="R51" s="38" t="n">
        <f aca="false">IF(G51="",Q51,Q51*(1+G51))</f>
        <v>202.147861356932</v>
      </c>
      <c r="S51" s="38" t="n">
        <f aca="false">IF(H51="",R51,R51*(1+H51))</f>
        <v>235.084808259587</v>
      </c>
      <c r="T51" s="38" t="n">
        <f aca="false">IF(I51="",S51,S51*(1+I51))</f>
        <v>236.659292035398</v>
      </c>
      <c r="U51" s="38" t="n">
        <f aca="false">IF(J51="",T51,T51*(1+J51))</f>
        <v>284.147308259587</v>
      </c>
      <c r="V51" s="38" t="n">
        <f aca="false">IF(K51="",U51,U51*(1+K51))</f>
        <v>291.178097345133</v>
      </c>
    </row>
    <row r="52" customFormat="false" ht="15" hidden="false" customHeight="false" outlineLevel="0" collapsed="false">
      <c r="A52" s="41"/>
      <c r="B52" s="41"/>
      <c r="C52" s="41"/>
      <c r="D52" s="42" t="s">
        <v>106</v>
      </c>
      <c r="E52" s="44" t="n">
        <f aca="false">IF(SUMIFS($C$120:$C$239,$A$120:$A$239,$A$50,$B$120:$B$239,E$11)=0,"",SUMIFS($L$120:$L$239,$A$120:$A$239,$A$50,$B$120:$B$239,E$11))</f>
        <v>0</v>
      </c>
      <c r="F52" s="44" t="n">
        <f aca="false">IF(SUMIFS($C$120:$C$239,$A$120:$A$239,$A$50,$B$120:$B$239,F$11)=0,"",SUMIFS($L$120:$L$239,$A$120:$A$239,$A$50,$B$120:$B$239,F$11))</f>
        <v>0</v>
      </c>
      <c r="G52" s="44" t="n">
        <f aca="false">IF(SUMIFS($C$120:$C$239,$A$120:$A$239,$A$50,$B$120:$B$239,G$11)=0,"",SUMIFS($L$120:$L$239,$A$120:$A$239,$A$50,$B$120:$B$239,G$11))</f>
        <v>0</v>
      </c>
      <c r="H52" s="44" t="n">
        <f aca="false">IF(SUMIFS($C$120:$C$239,$A$120:$A$239,$A$50,$B$120:$B$239,H$11)=0,"",SUMIFS($L$120:$L$239,$A$120:$A$239,$A$50,$B$120:$B$239,H$11))</f>
        <v>0</v>
      </c>
      <c r="I52" s="44" t="n">
        <f aca="false">IF(SUMIFS($C$120:$C$239,$A$120:$A$239,$A$50,$B$120:$B$239,I$11)=0,"",SUMIFS($L$120:$L$239,$A$120:$A$239,$A$50,$B$120:$B$239,I$11))</f>
        <v>0</v>
      </c>
      <c r="J52" s="44" t="n">
        <f aca="false">IF(SUMIFS($C$120:$C$239,$A$120:$A$239,$A$50,$B$120:$B$239,J$11)=0,"",SUMIFS($L$120:$L$239,$A$120:$A$239,$A$50,$B$120:$B$239,J$11))</f>
        <v>0</v>
      </c>
      <c r="K52" s="44" t="n">
        <f aca="false">IF(SUMIFS($C$120:$C$239,$A$120:$A$239,$A$50,$B$120:$B$239,K$11)=0,"",SUMIFS($L$120:$L$239,$A$120:$A$239,$A$50,$B$120:$B$239,K$11))</f>
        <v>0</v>
      </c>
      <c r="L52" s="44" t="n">
        <f aca="false">V52/O52-1</f>
        <v>0</v>
      </c>
      <c r="M52" s="44" t="n">
        <f aca="false">IF($B50=0,"",(V52/O52)^(1/$B50)-1)</f>
        <v>0</v>
      </c>
      <c r="N52" s="41"/>
      <c r="O52" s="45" t="n">
        <v>100</v>
      </c>
      <c r="P52" s="43" t="n">
        <f aca="false">IF(E52="",O52,O52*(1+E52))</f>
        <v>100</v>
      </c>
      <c r="Q52" s="43" t="n">
        <f aca="false">IF(F52="",P52,P52*(1+F52))</f>
        <v>100</v>
      </c>
      <c r="R52" s="43" t="n">
        <f aca="false">IF(G52="",Q52,Q52*(1+G52))</f>
        <v>100</v>
      </c>
      <c r="S52" s="43" t="n">
        <f aca="false">IF(H52="",R52,R52*(1+H52))</f>
        <v>100</v>
      </c>
      <c r="T52" s="43" t="n">
        <f aca="false">IF(I52="",S52,S52*(1+I52))</f>
        <v>100</v>
      </c>
      <c r="U52" s="43" t="n">
        <f aca="false">IF(J52="",T52,T52*(1+J52))</f>
        <v>100</v>
      </c>
      <c r="V52" s="43" t="n">
        <f aca="false">IF(K52="",U52,U52*(1+K52))</f>
        <v>100</v>
      </c>
    </row>
    <row r="53" customFormat="false" ht="15" hidden="false" customHeight="false" outlineLevel="0" collapsed="false">
      <c r="A53" s="4" t="s">
        <v>31</v>
      </c>
      <c r="B53" s="8" t="n">
        <f aca="false">COUNT(E53:K53)</f>
        <v>6</v>
      </c>
      <c r="C53" s="38" t="n">
        <f aca="false">SUMIFS($E$120:$E$239,$A$120:$A$239,$A53,$B$120:$B$239,K$11)/1000</f>
        <v>143.71</v>
      </c>
      <c r="D53" s="39" t="s">
        <v>104</v>
      </c>
      <c r="E53" s="13" t="str">
        <f aca="false">IF(SUMIFS($C$120:$C$239,$A$120:$A$239,$A$53,$B$120:$B$239,E$11)=0,"",SUMIFS($N$120:$N$239,$A$120:$A$239,$A$53,$B$120:$B$239,E$11))</f>
        <v/>
      </c>
      <c r="F53" s="13" t="n">
        <f aca="false">IF(SUMIFS($C$120:$C$239,$A$120:$A$239,$A$53,$B$120:$B$239,F$11)=0,"",SUMIFS($N$120:$N$239,$A$120:$A$239,$A$53,$B$120:$B$239,F$11))</f>
        <v>0.0154030806161232</v>
      </c>
      <c r="G53" s="13" t="n">
        <f aca="false">IF(SUMIFS($C$120:$C$239,$A$120:$A$239,$A$53,$B$120:$B$239,G$11)=0,"",SUMIFS($N$120:$N$239,$A$120:$A$239,$A$53,$B$120:$B$239,G$11))</f>
        <v>0.192671394799054</v>
      </c>
      <c r="H53" s="13" t="n">
        <f aca="false">IF(SUMIFS($C$120:$C$239,$A$120:$A$239,$A$53,$B$120:$B$239,H$11)=0,"",SUMIFS($N$120:$N$239,$A$120:$A$239,$A$53,$B$120:$B$239,H$11))</f>
        <v>0.0485629335976214</v>
      </c>
      <c r="I53" s="13" t="n">
        <f aca="false">IF(SUMIFS($C$120:$C$239,$A$120:$A$239,$A$53,$B$120:$B$239,I$11)=0,"",SUMIFS($N$120:$N$239,$A$120:$A$239,$A$53,$B$120:$B$239,I$11))</f>
        <v>0.405702386673074</v>
      </c>
      <c r="J53" s="13" t="n">
        <f aca="false">IF(SUMIFS($C$120:$C$239,$A$120:$A$239,$A$53,$B$120:$B$239,J$11)=0,"",SUMIFS($N$120:$N$239,$A$120:$A$239,$A$53,$B$120:$B$239,J$11))</f>
        <v>0.587050791161139</v>
      </c>
      <c r="K53" s="13" t="n">
        <f aca="false">IF(SUMIFS($C$120:$C$239,$A$120:$A$239,$A$53,$B$120:$B$239,K$11)=0,"",SUMIFS($N$120:$N$239,$A$120:$A$239,$A$53,$B$120:$B$239,K$11))</f>
        <v>0.0486902568509362</v>
      </c>
      <c r="L53" s="13" t="n">
        <f aca="false">V53/O53-1</f>
        <v>1.9708807691136</v>
      </c>
      <c r="M53" s="13" t="n">
        <f aca="false">IF($B53=0,"",(V53/O53)^(1/$B53)-1)</f>
        <v>0.198986253111293</v>
      </c>
      <c r="O53" s="40" t="n">
        <v>100</v>
      </c>
      <c r="P53" s="38" t="n">
        <f aca="false">IF(E53="",O53,O53*(1+E53))</f>
        <v>100</v>
      </c>
      <c r="Q53" s="38" t="n">
        <f aca="false">IF(F53="",P53,P53*(1+F53))</f>
        <v>101.540308061612</v>
      </c>
      <c r="R53" s="38" t="n">
        <f aca="false">IF(G53="",Q53,Q53*(1+G53))</f>
        <v>121.104220844169</v>
      </c>
      <c r="S53" s="38" t="n">
        <f aca="false">IF(H53="",R53,R53*(1+H53))</f>
        <v>126.985397079416</v>
      </c>
      <c r="T53" s="38" t="n">
        <f aca="false">IF(I53="",S53,S53*(1+I53))</f>
        <v>178.503675747163</v>
      </c>
      <c r="U53" s="38" t="n">
        <f aca="false">IF(J53="",T53,T53*(1+J53))</f>
        <v>283.294399819706</v>
      </c>
      <c r="V53" s="38" t="n">
        <f aca="false">IF(K53="",U53,U53*(1+K53))</f>
        <v>297.08807691136</v>
      </c>
    </row>
    <row r="54" customFormat="false" ht="15" hidden="false" customHeight="false" outlineLevel="0" collapsed="false">
      <c r="D54" s="39" t="s">
        <v>105</v>
      </c>
      <c r="E54" s="13" t="str">
        <f aca="false">IF(SUMIFS($C$120:$C$239,$A$120:$A$239,$A$53,$B$120:$B$239,E$11)=0,"",SUMIFS($M$120:$M$239,$A$120:$A$239,$A$53,$B$120:$B$239,E$11))</f>
        <v/>
      </c>
      <c r="F54" s="13" t="n">
        <f aca="false">IF(SUMIFS($C$120:$C$239,$A$120:$A$239,$A$53,$B$120:$B$239,F$11)=0,"",SUMIFS($M$120:$M$239,$A$120:$A$239,$A$53,$B$120:$B$239,F$11))</f>
        <v>0.0154030806161232</v>
      </c>
      <c r="G54" s="13" t="n">
        <f aca="false">IF(SUMIFS($C$120:$C$239,$A$120:$A$239,$A$53,$B$120:$B$239,G$11)=0,"",SUMIFS($M$120:$M$239,$A$120:$A$239,$A$53,$B$120:$B$239,G$11))</f>
        <v>0.192671394799054</v>
      </c>
      <c r="H54" s="13" t="n">
        <f aca="false">IF(SUMIFS($C$120:$C$239,$A$120:$A$239,$A$53,$B$120:$B$239,H$11)=0,"",SUMIFS($M$120:$M$239,$A$120:$A$239,$A$53,$B$120:$B$239,H$11))</f>
        <v>0.0485629335976214</v>
      </c>
      <c r="I54" s="13" t="n">
        <f aca="false">IF(SUMIFS($C$120:$C$239,$A$120:$A$239,$A$53,$B$120:$B$239,I$11)=0,"",SUMIFS($M$120:$M$239,$A$120:$A$239,$A$53,$B$120:$B$239,I$11))</f>
        <v>0.372064712477975</v>
      </c>
      <c r="J54" s="13" t="n">
        <f aca="false">IF(SUMIFS($C$120:$C$239,$A$120:$A$239,$A$53,$B$120:$B$239,J$11)=0,"",SUMIFS($M$120:$M$239,$A$120:$A$239,$A$53,$B$120:$B$239,J$11))</f>
        <v>0.587050791161139</v>
      </c>
      <c r="K54" s="13" t="n">
        <f aca="false">IF(SUMIFS($C$120:$C$239,$A$120:$A$239,$A$53,$B$120:$B$239,K$11)=0,"",SUMIFS($M$120:$M$239,$A$120:$A$239,$A$53,$B$120:$B$239,K$11))</f>
        <v>0.044422759017456</v>
      </c>
      <c r="L54" s="13" t="n">
        <f aca="false">V54/O54-1</f>
        <v>1.88798896366921</v>
      </c>
      <c r="M54" s="13" t="n">
        <f aca="false">IF($B53=0,"",(V54/O54)^(1/$B53)-1)</f>
        <v>0.193344735511213</v>
      </c>
      <c r="O54" s="40" t="n">
        <v>100</v>
      </c>
      <c r="P54" s="38" t="n">
        <f aca="false">IF(E54="",O54,O54*(1+E54))</f>
        <v>100</v>
      </c>
      <c r="Q54" s="38" t="n">
        <f aca="false">IF(F54="",P54,P54*(1+F54))</f>
        <v>101.540308061612</v>
      </c>
      <c r="R54" s="38" t="n">
        <f aca="false">IF(G54="",Q54,Q54*(1+G54))</f>
        <v>121.104220844169</v>
      </c>
      <c r="S54" s="38" t="n">
        <f aca="false">IF(H54="",R54,R54*(1+H54))</f>
        <v>126.985397079416</v>
      </c>
      <c r="T54" s="38" t="n">
        <f aca="false">IF(I54="",S54,S54*(1+I54))</f>
        <v>174.23218233267</v>
      </c>
      <c r="U54" s="38" t="n">
        <f aca="false">IF(J54="",T54,T54*(1+J54))</f>
        <v>276.515322816796</v>
      </c>
      <c r="V54" s="38" t="n">
        <f aca="false">IF(K54="",U54,U54*(1+K54))</f>
        <v>288.798896366921</v>
      </c>
    </row>
    <row r="55" customFormat="false" ht="15" hidden="false" customHeight="false" outlineLevel="0" collapsed="false">
      <c r="A55" s="41"/>
      <c r="B55" s="41"/>
      <c r="C55" s="41"/>
      <c r="D55" s="42" t="s">
        <v>106</v>
      </c>
      <c r="E55" s="44" t="str">
        <f aca="false">IF(SUMIFS($C$120:$C$239,$A$120:$A$239,$A$53,$B$120:$B$239,E$11)=0,"",SUMIFS($L$120:$L$239,$A$120:$A$239,$A$53,$B$120:$B$239,E$11))</f>
        <v/>
      </c>
      <c r="F55" s="44" t="n">
        <f aca="false">IF(SUMIFS($C$120:$C$239,$A$120:$A$239,$A$53,$B$120:$B$239,F$11)=0,"",SUMIFS($L$120:$L$239,$A$120:$A$239,$A$53,$B$120:$B$239,F$11))</f>
        <v>0</v>
      </c>
      <c r="G55" s="44" t="n">
        <f aca="false">IF(SUMIFS($C$120:$C$239,$A$120:$A$239,$A$53,$B$120:$B$239,G$11)=0,"",SUMIFS($L$120:$L$239,$A$120:$A$239,$A$53,$B$120:$B$239,G$11))</f>
        <v>0</v>
      </c>
      <c r="H55" s="44" t="n">
        <f aca="false">IF(SUMIFS($C$120:$C$239,$A$120:$A$239,$A$53,$B$120:$B$239,H$11)=0,"",SUMIFS($L$120:$L$239,$A$120:$A$239,$A$53,$B$120:$B$239,H$11))</f>
        <v>0</v>
      </c>
      <c r="I55" s="44" t="n">
        <f aca="false">IF(SUMIFS($C$120:$C$239,$A$120:$A$239,$A$53,$B$120:$B$239,I$11)=0,"",SUMIFS($L$120:$L$239,$A$120:$A$239,$A$53,$B$120:$B$239,I$11))</f>
        <v>0.0336376741950985</v>
      </c>
      <c r="J55" s="44" t="n">
        <f aca="false">IF(SUMIFS($C$120:$C$239,$A$120:$A$239,$A$53,$B$120:$B$239,J$11)=0,"",SUMIFS($L$120:$L$239,$A$120:$A$239,$A$53,$B$120:$B$239,J$11))</f>
        <v>0</v>
      </c>
      <c r="K55" s="44" t="n">
        <f aca="false">IF(SUMIFS($C$120:$C$239,$A$120:$A$239,$A$53,$B$120:$B$239,K$11)=0,"",SUMIFS($L$120:$L$239,$A$120:$A$239,$A$53,$B$120:$B$239,K$11))</f>
        <v>0.0042674978334802</v>
      </c>
      <c r="L55" s="44" t="n">
        <f aca="false">V55/O55-1</f>
        <v>0.0380487207303297</v>
      </c>
      <c r="M55" s="44" t="n">
        <f aca="false">IF($B53=0,"",(V55/O55)^(1/$B53)-1)</f>
        <v>0.00624319479755497</v>
      </c>
      <c r="N55" s="41"/>
      <c r="O55" s="45" t="n">
        <v>100</v>
      </c>
      <c r="P55" s="43" t="n">
        <f aca="false">IF(E55="",O55,O55*(1+E55))</f>
        <v>100</v>
      </c>
      <c r="Q55" s="43" t="n">
        <f aca="false">IF(F55="",P55,P55*(1+F55))</f>
        <v>100</v>
      </c>
      <c r="R55" s="43" t="n">
        <f aca="false">IF(G55="",Q55,Q55*(1+G55))</f>
        <v>100</v>
      </c>
      <c r="S55" s="43" t="n">
        <f aca="false">IF(H55="",R55,R55*(1+H55))</f>
        <v>100</v>
      </c>
      <c r="T55" s="43" t="n">
        <f aca="false">IF(I55="",S55,S55*(1+I55))</f>
        <v>103.36376741951</v>
      </c>
      <c r="U55" s="43" t="n">
        <f aca="false">IF(J55="",T55,T55*(1+J55))</f>
        <v>103.36376741951</v>
      </c>
      <c r="V55" s="43" t="n">
        <f aca="false">IF(K55="",U55,U55*(1+K55))</f>
        <v>103.804872073033</v>
      </c>
    </row>
    <row r="56" customFormat="false" ht="15" hidden="false" customHeight="false" outlineLevel="0" collapsed="false">
      <c r="A56" s="4" t="s">
        <v>32</v>
      </c>
      <c r="B56" s="8" t="n">
        <f aca="false">COUNT(E56:K56)</f>
        <v>3</v>
      </c>
      <c r="C56" s="38" t="n">
        <f aca="false">SUMIFS($E$120:$E$239,$A$120:$A$239,$A56,$B$120:$B$239,K$11)/1000</f>
        <v>93.35</v>
      </c>
      <c r="D56" s="39" t="s">
        <v>104</v>
      </c>
      <c r="E56" s="13" t="str">
        <f aca="false">IF(SUMIFS($C$120:$C$239,$A$120:$A$239,$A$56,$B$120:$B$239,E$11)=0,"",SUMIFS($N$120:$N$239,$A$120:$A$239,$A$56,$B$120:$B$239,E$11))</f>
        <v/>
      </c>
      <c r="F56" s="13" t="str">
        <f aca="false">IF(SUMIFS($C$120:$C$239,$A$120:$A$239,$A$56,$B$120:$B$239,F$11)=0,"",SUMIFS($N$120:$N$239,$A$120:$A$239,$A$56,$B$120:$B$239,F$11))</f>
        <v/>
      </c>
      <c r="G56" s="13" t="str">
        <f aca="false">IF(SUMIFS($C$120:$C$239,$A$120:$A$239,$A$56,$B$120:$B$239,G$11)=0,"",SUMIFS($N$120:$N$239,$A$120:$A$239,$A$56,$B$120:$B$239,G$11))</f>
        <v/>
      </c>
      <c r="H56" s="13" t="str">
        <f aca="false">IF(SUMIFS($C$120:$C$239,$A$120:$A$239,$A$56,$B$120:$B$239,H$11)=0,"",SUMIFS($N$120:$N$239,$A$120:$A$239,$A$56,$B$120:$B$239,H$11))</f>
        <v/>
      </c>
      <c r="I56" s="13" t="n">
        <f aca="false">IF(SUMIFS($C$120:$C$239,$A$120:$A$239,$A$56,$B$120:$B$239,I$11)=0,"",SUMIFS($N$120:$N$239,$A$120:$A$239,$A$56,$B$120:$B$239,I$11))</f>
        <v>0.309508857619103</v>
      </c>
      <c r="J56" s="13" t="n">
        <f aca="false">IF(SUMIFS($C$120:$C$239,$A$120:$A$239,$A$56,$B$120:$B$239,J$11)=0,"",SUMIFS($N$120:$N$239,$A$120:$A$239,$A$56,$B$120:$B$239,J$11))</f>
        <v>0.0788291304930169</v>
      </c>
      <c r="K56" s="13" t="n">
        <f aca="false">IF(SUMIFS($C$120:$C$239,$A$120:$A$239,$A$56,$B$120:$B$239,K$11)=0,"",SUMIFS($N$120:$N$239,$A$120:$A$239,$A$56,$B$120:$B$239,K$11))</f>
        <v>0.069828208625096</v>
      </c>
      <c r="L56" s="13" t="n">
        <f aca="false">V56/O56-1</f>
        <v>0.511385147483051</v>
      </c>
      <c r="M56" s="13" t="n">
        <f aca="false">IF($B56=0,"",(V56/O56)^(1/$B56)-1)</f>
        <v>0.147603110454726</v>
      </c>
      <c r="O56" s="40" t="n">
        <v>100</v>
      </c>
      <c r="P56" s="38" t="n">
        <f aca="false">IF(E56="",O56,O56*(1+E56))</f>
        <v>100</v>
      </c>
      <c r="Q56" s="38" t="n">
        <f aca="false">IF(F56="",P56,P56*(1+F56))</f>
        <v>100</v>
      </c>
      <c r="R56" s="38" t="n">
        <f aca="false">IF(G56="",Q56,Q56*(1+G56))</f>
        <v>100</v>
      </c>
      <c r="S56" s="38" t="n">
        <f aca="false">IF(H56="",R56,R56*(1+H56))</f>
        <v>100</v>
      </c>
      <c r="T56" s="38" t="n">
        <f aca="false">IF(I56="",S56,S56*(1+I56))</f>
        <v>130.95088576191</v>
      </c>
      <c r="U56" s="38" t="n">
        <f aca="false">IF(J56="",T56,T56*(1+J56))</f>
        <v>141.273630223812</v>
      </c>
      <c r="V56" s="38" t="n">
        <f aca="false">IF(K56="",U56,U56*(1+K56))</f>
        <v>151.138514748305</v>
      </c>
    </row>
    <row r="57" customFormat="false" ht="15" hidden="false" customHeight="false" outlineLevel="0" collapsed="false">
      <c r="D57" s="39" t="s">
        <v>105</v>
      </c>
      <c r="E57" s="13" t="str">
        <f aca="false">IF(SUMIFS($C$120:$C$239,$A$120:$A$239,$A$56,$B$120:$B$239,E$11)=0,"",SUMIFS($M$120:$M$239,$A$120:$A$239,$A$56,$B$120:$B$239,E$11))</f>
        <v/>
      </c>
      <c r="F57" s="13" t="str">
        <f aca="false">IF(SUMIFS($C$120:$C$239,$A$120:$A$239,$A$56,$B$120:$B$239,F$11)=0,"",SUMIFS($M$120:$M$239,$A$120:$A$239,$A$56,$B$120:$B$239,F$11))</f>
        <v/>
      </c>
      <c r="G57" s="13" t="str">
        <f aca="false">IF(SUMIFS($C$120:$C$239,$A$120:$A$239,$A$56,$B$120:$B$239,G$11)=0,"",SUMIFS($M$120:$M$239,$A$120:$A$239,$A$56,$B$120:$B$239,G$11))</f>
        <v/>
      </c>
      <c r="H57" s="13" t="str">
        <f aca="false">IF(SUMIFS($C$120:$C$239,$A$120:$A$239,$A$56,$B$120:$B$239,H$11)=0,"",SUMIFS($M$120:$M$239,$A$120:$A$239,$A$56,$B$120:$B$239,H$11))</f>
        <v/>
      </c>
      <c r="I57" s="13" t="n">
        <f aca="false">IF(SUMIFS($C$120:$C$239,$A$120:$A$239,$A$56,$B$120:$B$239,I$11)=0,"",SUMIFS($M$120:$M$239,$A$120:$A$239,$A$56,$B$120:$B$239,I$11))</f>
        <v>0.279040198472691</v>
      </c>
      <c r="J57" s="13" t="n">
        <f aca="false">IF(SUMIFS($C$120:$C$239,$A$120:$A$239,$A$56,$B$120:$B$239,J$11)=0,"",SUMIFS($M$120:$M$239,$A$120:$A$239,$A$56,$B$120:$B$239,J$11))</f>
        <v>0.0460993339583815</v>
      </c>
      <c r="K57" s="13" t="n">
        <f aca="false">IF(SUMIFS($C$120:$C$239,$A$120:$A$239,$A$56,$B$120:$B$239,K$11)=0,"",SUMIFS($M$120:$M$239,$A$120:$A$239,$A$56,$B$120:$B$239,K$11))</f>
        <v>0.069828208625096</v>
      </c>
      <c r="L57" s="13" t="n">
        <f aca="false">V57/O57-1</f>
        <v>0.431433459317129</v>
      </c>
      <c r="M57" s="13" t="n">
        <f aca="false">IF($B56=0,"",(V57/O57)^(1/$B56)-1)</f>
        <v>0.126999495147414</v>
      </c>
      <c r="O57" s="40" t="n">
        <v>100</v>
      </c>
      <c r="P57" s="38" t="n">
        <f aca="false">IF(E57="",O57,O57*(1+E57))</f>
        <v>100</v>
      </c>
      <c r="Q57" s="38" t="n">
        <f aca="false">IF(F57="",P57,P57*(1+F57))</f>
        <v>100</v>
      </c>
      <c r="R57" s="38" t="n">
        <f aca="false">IF(G57="",Q57,Q57*(1+G57))</f>
        <v>100</v>
      </c>
      <c r="S57" s="38" t="n">
        <f aca="false">IF(H57="",R57,R57*(1+H57))</f>
        <v>100</v>
      </c>
      <c r="T57" s="38" t="n">
        <f aca="false">IF(I57="",S57,S57*(1+I57))</f>
        <v>127.904019847269</v>
      </c>
      <c r="U57" s="38" t="n">
        <f aca="false">IF(J57="",T57,T57*(1+J57))</f>
        <v>133.800309972828</v>
      </c>
      <c r="V57" s="38" t="n">
        <f aca="false">IF(K57="",U57,U57*(1+K57))</f>
        <v>143.143345931713</v>
      </c>
    </row>
    <row r="58" customFormat="false" ht="15" hidden="false" customHeight="false" outlineLevel="0" collapsed="false">
      <c r="A58" s="41"/>
      <c r="B58" s="41"/>
      <c r="C58" s="41"/>
      <c r="D58" s="42" t="s">
        <v>106</v>
      </c>
      <c r="E58" s="44" t="str">
        <f aca="false">IF(SUMIFS($C$120:$C$239,$A$120:$A$239,$A$56,$B$120:$B$239,E$11)=0,"",SUMIFS($L$120:$L$239,$A$120:$A$239,$A$56,$B$120:$B$239,E$11))</f>
        <v/>
      </c>
      <c r="F58" s="44" t="str">
        <f aca="false">IF(SUMIFS($C$120:$C$239,$A$120:$A$239,$A$56,$B$120:$B$239,F$11)=0,"",SUMIFS($L$120:$L$239,$A$120:$A$239,$A$56,$B$120:$B$239,F$11))</f>
        <v/>
      </c>
      <c r="G58" s="44" t="str">
        <f aca="false">IF(SUMIFS($C$120:$C$239,$A$120:$A$239,$A$56,$B$120:$B$239,G$11)=0,"",SUMIFS($L$120:$L$239,$A$120:$A$239,$A$56,$B$120:$B$239,G$11))</f>
        <v/>
      </c>
      <c r="H58" s="44" t="str">
        <f aca="false">IF(SUMIFS($C$120:$C$239,$A$120:$A$239,$A$56,$B$120:$B$239,H$11)=0,"",SUMIFS($L$120:$L$239,$A$120:$A$239,$A$56,$B$120:$B$239,H$11))</f>
        <v/>
      </c>
      <c r="I58" s="44" t="n">
        <f aca="false">IF(SUMIFS($C$120:$C$239,$A$120:$A$239,$A$56,$B$120:$B$239,I$11)=0,"",SUMIFS($L$120:$L$239,$A$120:$A$239,$A$56,$B$120:$B$239,I$11))</f>
        <v>0.0304686591464124</v>
      </c>
      <c r="J58" s="44" t="n">
        <f aca="false">IF(SUMIFS($C$120:$C$239,$A$120:$A$239,$A$56,$B$120:$B$239,J$11)=0,"",SUMIFS($L$120:$L$239,$A$120:$A$239,$A$56,$B$120:$B$239,J$11))</f>
        <v>0.0327297965346354</v>
      </c>
      <c r="K58" s="44" t="n">
        <f aca="false">IF(SUMIFS($C$120:$C$239,$A$120:$A$239,$A$56,$B$120:$B$239,K$11)=0,"",SUMIFS($L$120:$L$239,$A$120:$A$239,$A$56,$B$120:$B$239,K$11))</f>
        <v>0</v>
      </c>
      <c r="L58" s="44" t="n">
        <f aca="false">V58/O58-1</f>
        <v>0.0641956886955928</v>
      </c>
      <c r="M58" s="44" t="n">
        <f aca="false">IF($B56=0,"",(V58/O58)^(1/$B56)-1)</f>
        <v>0.0209563274575872</v>
      </c>
      <c r="N58" s="41"/>
      <c r="O58" s="45" t="n">
        <v>100</v>
      </c>
      <c r="P58" s="43" t="n">
        <f aca="false">IF(E58="",O58,O58*(1+E58))</f>
        <v>100</v>
      </c>
      <c r="Q58" s="43" t="n">
        <f aca="false">IF(F58="",P58,P58*(1+F58))</f>
        <v>100</v>
      </c>
      <c r="R58" s="43" t="n">
        <f aca="false">IF(G58="",Q58,Q58*(1+G58))</f>
        <v>100</v>
      </c>
      <c r="S58" s="43" t="n">
        <f aca="false">IF(H58="",R58,R58*(1+H58))</f>
        <v>100</v>
      </c>
      <c r="T58" s="43" t="n">
        <f aca="false">IF(I58="",S58,S58*(1+I58))</f>
        <v>103.046865914641</v>
      </c>
      <c r="U58" s="43" t="n">
        <f aca="false">IF(J58="",T58,T58*(1+J58))</f>
        <v>106.419568869559</v>
      </c>
      <c r="V58" s="43" t="n">
        <f aca="false">IF(K58="",U58,U58*(1+K58))</f>
        <v>106.419568869559</v>
      </c>
    </row>
    <row r="59" customFormat="false" ht="15" hidden="false" customHeight="false" outlineLevel="0" collapsed="false">
      <c r="A59" s="4" t="s">
        <v>33</v>
      </c>
      <c r="B59" s="8" t="n">
        <f aca="false">COUNT(E59:K59)</f>
        <v>2</v>
      </c>
      <c r="C59" s="38" t="n">
        <f aca="false">SUMIFS($E$120:$E$239,$A$120:$A$239,$A59,$B$120:$B$239,K$11)/1000</f>
        <v>0</v>
      </c>
      <c r="D59" s="39" t="s">
        <v>104</v>
      </c>
      <c r="E59" s="13" t="n">
        <f aca="false">IF(SUMIFS($C$120:$C$239,$A$120:$A$239,$A$59,$B$120:$B$239,E$11)=0,"",SUMIFS($N$120:$N$239,$A$120:$A$239,$A$59,$B$120:$B$239,E$11))</f>
        <v>0.283755925456171</v>
      </c>
      <c r="F59" s="13" t="n">
        <f aca="false">IF(SUMIFS($C$120:$C$239,$A$120:$A$239,$A$59,$B$120:$B$239,F$11)=0,"",SUMIFS($N$120:$N$239,$A$120:$A$239,$A$59,$B$120:$B$239,F$11))</f>
        <v>0.0752177355502771</v>
      </c>
      <c r="G59" s="13" t="str">
        <f aca="false">IF(SUMIFS($C$120:$C$239,$A$120:$A$239,$A$59,$B$120:$B$239,G$11)=0,"",SUMIFS($N$120:$N$239,$A$120:$A$239,$A$59,$B$120:$B$239,G$11))</f>
        <v/>
      </c>
      <c r="H59" s="13" t="str">
        <f aca="false">IF(SUMIFS($C$120:$C$239,$A$120:$A$239,$A$59,$B$120:$B$239,H$11)=0,"",SUMIFS($N$120:$N$239,$A$120:$A$239,$A$59,$B$120:$B$239,H$11))</f>
        <v/>
      </c>
      <c r="I59" s="13" t="str">
        <f aca="false">IF(SUMIFS($C$120:$C$239,$A$120:$A$239,$A$59,$B$120:$B$239,I$11)=0,"",SUMIFS($N$120:$N$239,$A$120:$A$239,$A$59,$B$120:$B$239,I$11))</f>
        <v/>
      </c>
      <c r="J59" s="13" t="str">
        <f aca="false">IF(SUMIFS($C$120:$C$239,$A$120:$A$239,$A$59,$B$120:$B$239,J$11)=0,"",SUMIFS($N$120:$N$239,$A$120:$A$239,$A$59,$B$120:$B$239,J$11))</f>
        <v/>
      </c>
      <c r="K59" s="13" t="str">
        <f aca="false">IF(SUMIFS($C$120:$C$239,$A$120:$A$239,$A$59,$B$120:$B$239,K$11)=0,"",SUMIFS($N$120:$N$239,$A$120:$A$239,$A$59,$B$120:$B$239,K$11))</f>
        <v/>
      </c>
      <c r="L59" s="13" t="n">
        <f aca="false">V59/O59-1</f>
        <v>0.380317139168235</v>
      </c>
      <c r="M59" s="13" t="n">
        <f aca="false">IF($B59=0,"",(V59/O59)^(1/$B59)-1)</f>
        <v>0.174868988086857</v>
      </c>
      <c r="O59" s="40" t="n">
        <v>100</v>
      </c>
      <c r="P59" s="38" t="n">
        <f aca="false">IF(E59="",O59,O59*(1+E59))</f>
        <v>128.375592545617</v>
      </c>
      <c r="Q59" s="38" t="n">
        <f aca="false">IF(F59="",P59,P59*(1+F59))</f>
        <v>138.031713916823</v>
      </c>
      <c r="R59" s="38" t="n">
        <f aca="false">IF(G59="",Q59,Q59*(1+G59))</f>
        <v>138.031713916823</v>
      </c>
      <c r="S59" s="38" t="n">
        <f aca="false">IF(H59="",R59,R59*(1+H59))</f>
        <v>138.031713916823</v>
      </c>
      <c r="T59" s="38" t="n">
        <f aca="false">IF(I59="",S59,S59*(1+I59))</f>
        <v>138.031713916823</v>
      </c>
      <c r="U59" s="38" t="n">
        <f aca="false">IF(J59="",T59,T59*(1+J59))</f>
        <v>138.031713916823</v>
      </c>
      <c r="V59" s="38" t="n">
        <f aca="false">IF(K59="",U59,U59*(1+K59))</f>
        <v>138.031713916823</v>
      </c>
    </row>
    <row r="60" customFormat="false" ht="15" hidden="false" customHeight="false" outlineLevel="0" collapsed="false">
      <c r="D60" s="39" t="s">
        <v>105</v>
      </c>
      <c r="E60" s="13" t="n">
        <f aca="false">IF(SUMIFS($C$120:$C$239,$A$120:$A$239,$A$59,$B$120:$B$239,E$11)=0,"",SUMIFS($M$120:$M$239,$A$120:$A$239,$A$59,$B$120:$B$239,E$11))</f>
        <v>0.236457035532159</v>
      </c>
      <c r="F60" s="13" t="n">
        <f aca="false">IF(SUMIFS($C$120:$C$239,$A$120:$A$239,$A$59,$B$120:$B$239,F$11)=0,"",SUMIFS($M$120:$M$239,$A$120:$A$239,$A$59,$B$120:$B$239,F$11))</f>
        <v>0.0752177355502771</v>
      </c>
      <c r="G60" s="13" t="str">
        <f aca="false">IF(SUMIFS($C$120:$C$239,$A$120:$A$239,$A$59,$B$120:$B$239,G$11)=0,"",SUMIFS($M$120:$M$239,$A$120:$A$239,$A$59,$B$120:$B$239,G$11))</f>
        <v/>
      </c>
      <c r="H60" s="13" t="str">
        <f aca="false">IF(SUMIFS($C$120:$C$239,$A$120:$A$239,$A$59,$B$120:$B$239,H$11)=0,"",SUMIFS($M$120:$M$239,$A$120:$A$239,$A$59,$B$120:$B$239,H$11))</f>
        <v/>
      </c>
      <c r="I60" s="13" t="str">
        <f aca="false">IF(SUMIFS($C$120:$C$239,$A$120:$A$239,$A$59,$B$120:$B$239,I$11)=0,"",SUMIFS($M$120:$M$239,$A$120:$A$239,$A$59,$B$120:$B$239,I$11))</f>
        <v/>
      </c>
      <c r="J60" s="13" t="str">
        <f aca="false">IF(SUMIFS($C$120:$C$239,$A$120:$A$239,$A$59,$B$120:$B$239,J$11)=0,"",SUMIFS($M$120:$M$239,$A$120:$A$239,$A$59,$B$120:$B$239,J$11))</f>
        <v/>
      </c>
      <c r="K60" s="13" t="str">
        <f aca="false">IF(SUMIFS($C$120:$C$239,$A$120:$A$239,$A$59,$B$120:$B$239,K$11)=0,"",SUMIFS($M$120:$M$239,$A$120:$A$239,$A$59,$B$120:$B$239,K$11))</f>
        <v/>
      </c>
      <c r="L60" s="13" t="n">
        <f aca="false">V60/O60-1</f>
        <v>0.329460533850097</v>
      </c>
      <c r="M60" s="13" t="n">
        <f aca="false">IF($B59=0,"",(V60/O60)^(1/$B59)-1)</f>
        <v>0.153022347506802</v>
      </c>
      <c r="O60" s="40" t="n">
        <v>100</v>
      </c>
      <c r="P60" s="38" t="n">
        <f aca="false">IF(E60="",O60,O60*(1+E60))</f>
        <v>123.645703553216</v>
      </c>
      <c r="Q60" s="38" t="n">
        <f aca="false">IF(F60="",P60,P60*(1+F60))</f>
        <v>132.94605338501</v>
      </c>
      <c r="R60" s="38" t="n">
        <f aca="false">IF(G60="",Q60,Q60*(1+G60))</f>
        <v>132.94605338501</v>
      </c>
      <c r="S60" s="38" t="n">
        <f aca="false">IF(H60="",R60,R60*(1+H60))</f>
        <v>132.94605338501</v>
      </c>
      <c r="T60" s="38" t="n">
        <f aca="false">IF(I60="",S60,S60*(1+I60))</f>
        <v>132.94605338501</v>
      </c>
      <c r="U60" s="38" t="n">
        <f aca="false">IF(J60="",T60,T60*(1+J60))</f>
        <v>132.94605338501</v>
      </c>
      <c r="V60" s="38" t="n">
        <f aca="false">IF(K60="",U60,U60*(1+K60))</f>
        <v>132.94605338501</v>
      </c>
    </row>
    <row r="61" customFormat="false" ht="15" hidden="false" customHeight="false" outlineLevel="0" collapsed="false">
      <c r="A61" s="41"/>
      <c r="B61" s="41"/>
      <c r="C61" s="41"/>
      <c r="D61" s="42" t="s">
        <v>106</v>
      </c>
      <c r="E61" s="44" t="n">
        <f aca="false">IF(SUMIFS($C$120:$C$239,$A$120:$A$239,$A$59,$B$120:$B$239,E$11)=0,"",SUMIFS($L$120:$L$239,$A$120:$A$239,$A$59,$B$120:$B$239,E$11))</f>
        <v>0.047298889924012</v>
      </c>
      <c r="F61" s="44" t="n">
        <f aca="false">IF(SUMIFS($C$120:$C$239,$A$120:$A$239,$A$59,$B$120:$B$239,F$11)=0,"",SUMIFS($L$120:$L$239,$A$120:$A$239,$A$59,$B$120:$B$239,F$11))</f>
        <v>0</v>
      </c>
      <c r="G61" s="44" t="str">
        <f aca="false">IF(SUMIFS($C$120:$C$239,$A$120:$A$239,$A$59,$B$120:$B$239,G$11)=0,"",SUMIFS($L$120:$L$239,$A$120:$A$239,$A$59,$B$120:$B$239,G$11))</f>
        <v/>
      </c>
      <c r="H61" s="44" t="str">
        <f aca="false">IF(SUMIFS($C$120:$C$239,$A$120:$A$239,$A$59,$B$120:$B$239,H$11)=0,"",SUMIFS($L$120:$L$239,$A$120:$A$239,$A$59,$B$120:$B$239,H$11))</f>
        <v/>
      </c>
      <c r="I61" s="44" t="str">
        <f aca="false">IF(SUMIFS($C$120:$C$239,$A$120:$A$239,$A$59,$B$120:$B$239,I$11)=0,"",SUMIFS($L$120:$L$239,$A$120:$A$239,$A$59,$B$120:$B$239,I$11))</f>
        <v/>
      </c>
      <c r="J61" s="44" t="str">
        <f aca="false">IF(SUMIFS($C$120:$C$239,$A$120:$A$239,$A$59,$B$120:$B$239,J$11)=0,"",SUMIFS($L$120:$L$239,$A$120:$A$239,$A$59,$B$120:$B$239,J$11))</f>
        <v/>
      </c>
      <c r="K61" s="44" t="str">
        <f aca="false">IF(SUMIFS($C$120:$C$239,$A$120:$A$239,$A$59,$B$120:$B$239,K$11)=0,"",SUMIFS($L$120:$L$239,$A$120:$A$239,$A$59,$B$120:$B$239,K$11))</f>
        <v/>
      </c>
      <c r="L61" s="44" t="n">
        <f aca="false">V61/O61-1</f>
        <v>0.0472988899240119</v>
      </c>
      <c r="M61" s="44" t="n">
        <f aca="false">IF($B59=0,"",(V61/O61)^(1/$B59)-1)</f>
        <v>0.0233762211054211</v>
      </c>
      <c r="N61" s="41"/>
      <c r="O61" s="45" t="n">
        <v>100</v>
      </c>
      <c r="P61" s="43" t="n">
        <f aca="false">IF(E61="",O61,O61*(1+E61))</f>
        <v>104.729888992401</v>
      </c>
      <c r="Q61" s="43" t="n">
        <f aca="false">IF(F61="",P61,P61*(1+F61))</f>
        <v>104.729888992401</v>
      </c>
      <c r="R61" s="43" t="n">
        <f aca="false">IF(G61="",Q61,Q61*(1+G61))</f>
        <v>104.729888992401</v>
      </c>
      <c r="S61" s="43" t="n">
        <f aca="false">IF(H61="",R61,R61*(1+H61))</f>
        <v>104.729888992401</v>
      </c>
      <c r="T61" s="43" t="n">
        <f aca="false">IF(I61="",S61,S61*(1+I61))</f>
        <v>104.729888992401</v>
      </c>
      <c r="U61" s="43" t="n">
        <f aca="false">IF(J61="",T61,T61*(1+J61))</f>
        <v>104.729888992401</v>
      </c>
      <c r="V61" s="43" t="n">
        <f aca="false">IF(K61="",U61,U61*(1+K61))</f>
        <v>104.729888992401</v>
      </c>
    </row>
    <row r="64" customFormat="false" ht="15" hidden="false" customHeight="false" outlineLevel="0" collapsed="false">
      <c r="A64" s="36" t="s">
        <v>109</v>
      </c>
      <c r="B64" s="37"/>
      <c r="C64" s="37"/>
      <c r="D64" s="37"/>
      <c r="E64" s="36" t="s">
        <v>97</v>
      </c>
      <c r="F64" s="37"/>
      <c r="G64" s="37"/>
      <c r="H64" s="37"/>
      <c r="I64" s="37"/>
      <c r="J64" s="37"/>
      <c r="K64" s="37"/>
      <c r="L64" s="37"/>
      <c r="M64" s="37"/>
      <c r="N64" s="37"/>
      <c r="O64" s="36" t="s">
        <v>98</v>
      </c>
      <c r="P64" s="37"/>
      <c r="Q64" s="37"/>
      <c r="R64" s="37"/>
      <c r="S64" s="37"/>
      <c r="T64" s="37"/>
      <c r="U64" s="37"/>
      <c r="V64" s="37"/>
    </row>
    <row r="65" customFormat="false" ht="31.5" hidden="false" customHeight="true" outlineLevel="0" collapsed="false">
      <c r="A65" s="12" t="s">
        <v>12</v>
      </c>
      <c r="B65" s="12" t="s">
        <v>99</v>
      </c>
      <c r="C65" s="12" t="s">
        <v>110</v>
      </c>
      <c r="D65" s="12"/>
      <c r="E65" s="6" t="n">
        <v>2009</v>
      </c>
      <c r="F65" s="7" t="n">
        <f aca="false">E65+1</f>
        <v>2010</v>
      </c>
      <c r="G65" s="7" t="n">
        <f aca="false">F65+1</f>
        <v>2011</v>
      </c>
      <c r="H65" s="7" t="n">
        <f aca="false">G65+1</f>
        <v>2012</v>
      </c>
      <c r="I65" s="7" t="n">
        <f aca="false">H65+1</f>
        <v>2013</v>
      </c>
      <c r="J65" s="7" t="n">
        <f aca="false">I65+1</f>
        <v>2014</v>
      </c>
      <c r="K65" s="7" t="n">
        <f aca="false">J65+1</f>
        <v>2015</v>
      </c>
      <c r="L65" s="7" t="s">
        <v>101</v>
      </c>
      <c r="M65" s="7" t="s">
        <v>102</v>
      </c>
      <c r="O65" s="7" t="n">
        <f aca="false">E65-1</f>
        <v>2008</v>
      </c>
      <c r="P65" s="7" t="n">
        <f aca="false">O65+1</f>
        <v>2009</v>
      </c>
      <c r="Q65" s="7" t="n">
        <f aca="false">P65+1</f>
        <v>2010</v>
      </c>
      <c r="R65" s="7" t="n">
        <f aca="false">Q65+1</f>
        <v>2011</v>
      </c>
      <c r="S65" s="7" t="n">
        <f aca="false">R65+1</f>
        <v>2012</v>
      </c>
      <c r="T65" s="7" t="n">
        <f aca="false">S65+1</f>
        <v>2013</v>
      </c>
      <c r="U65" s="7" t="n">
        <f aca="false">T65+1</f>
        <v>2014</v>
      </c>
      <c r="V65" s="7" t="n">
        <f aca="false">U65+1</f>
        <v>2015</v>
      </c>
    </row>
    <row r="66" customFormat="false" ht="15" hidden="false" customHeight="false" outlineLevel="0" collapsed="false">
      <c r="A66" s="4" t="s">
        <v>103</v>
      </c>
      <c r="B66" s="8" t="n">
        <f aca="false">COUNT(E66:K66)</f>
        <v>0</v>
      </c>
      <c r="C66" s="38" t="n">
        <f aca="false">K70</f>
        <v>0</v>
      </c>
      <c r="D66" s="39" t="s">
        <v>104</v>
      </c>
      <c r="E66" s="13" t="str">
        <f aca="false">IF(E68="","",E68+E67)</f>
        <v/>
      </c>
      <c r="F66" s="13" t="str">
        <f aca="false">IF(F68="","",F68+F67)</f>
        <v/>
      </c>
      <c r="G66" s="13" t="str">
        <f aca="false">IF(G68="","",G68+G67)</f>
        <v/>
      </c>
      <c r="H66" s="13" t="str">
        <f aca="false">IF(H68="","",H68+H67)</f>
        <v/>
      </c>
      <c r="I66" s="13" t="str">
        <f aca="false">IF(I68="","",I68+I67)</f>
        <v/>
      </c>
      <c r="J66" s="13" t="str">
        <f aca="false">IF(J68="","",J68+J67)</f>
        <v/>
      </c>
      <c r="K66" s="13" t="str">
        <f aca="false">IF(K68="","",K68+K67)</f>
        <v/>
      </c>
      <c r="L66" s="13" t="n">
        <f aca="false">V66/O66-1</f>
        <v>0</v>
      </c>
      <c r="M66" s="13" t="str">
        <f aca="false">IF($B66=0,"",(V66/O66)^(1/$B66)-1)</f>
        <v/>
      </c>
      <c r="O66" s="40" t="n">
        <v>100</v>
      </c>
      <c r="P66" s="38" t="n">
        <f aca="false">IF(E66="",O66,O66*(1+E66))</f>
        <v>100</v>
      </c>
      <c r="Q66" s="38" t="n">
        <f aca="false">IF(F66="",P66,P66*(1+F66))</f>
        <v>100</v>
      </c>
      <c r="R66" s="38" t="n">
        <f aca="false">IF(G66="",Q66,Q66*(1+G66))</f>
        <v>100</v>
      </c>
      <c r="S66" s="38" t="n">
        <f aca="false">IF(H66="",R66,R66*(1+H66))</f>
        <v>100</v>
      </c>
      <c r="T66" s="38" t="n">
        <f aca="false">IF(I66="",S66,S66*(1+I66))</f>
        <v>100</v>
      </c>
      <c r="U66" s="38" t="n">
        <f aca="false">IF(J66="",T66,T66*(1+J66))</f>
        <v>100</v>
      </c>
      <c r="V66" s="38" t="n">
        <f aca="false">IF(K66="",U66,U66*(1+K66))</f>
        <v>100</v>
      </c>
    </row>
    <row r="67" customFormat="false" ht="15" hidden="false" customHeight="false" outlineLevel="0" collapsed="false">
      <c r="D67" s="39" t="s">
        <v>105</v>
      </c>
      <c r="E67" s="13" t="str">
        <f aca="false">IF(SUMIFS($J$244:$J$363,$B$244:$B$363,E$65)=0,"",SUMIFS($K$244:$K$363,$B$244:$B$363,E$65)/SUMIFS($J$244:$J$363,$B$244:$B$363,E$65))</f>
        <v/>
      </c>
      <c r="F67" s="13" t="str">
        <f aca="false">IF(SUMIFS($J$244:$J$363,$B$244:$B$363,F$65)=0,"",SUMIFS($K$244:$K$363,$B$244:$B$363,F$65)/SUMIFS($J$244:$J$363,$B$244:$B$363,F$65))</f>
        <v/>
      </c>
      <c r="G67" s="13" t="str">
        <f aca="false">IF(SUMIFS($J$244:$J$363,$B$244:$B$363,G$65)=0,"",SUMIFS($K$244:$K$363,$B$244:$B$363,G$65)/SUMIFS($J$244:$J$363,$B$244:$B$363,G$65))</f>
        <v/>
      </c>
      <c r="H67" s="13" t="str">
        <f aca="false">IF(SUMIFS($J$244:$J$363,$B$244:$B$363,H$65)=0,"",SUMIFS($K$244:$K$363,$B$244:$B$363,H$65)/SUMIFS($J$244:$J$363,$B$244:$B$363,H$65))</f>
        <v/>
      </c>
      <c r="I67" s="13" t="str">
        <f aca="false">IF(SUMIFS($J$244:$J$363,$B$244:$B$363,I$65)=0,"",SUMIFS($K$244:$K$363,$B$244:$B$363,I$65)/SUMIFS($J$244:$J$363,$B$244:$B$363,I$65))</f>
        <v/>
      </c>
      <c r="J67" s="13" t="str">
        <f aca="false">IF(SUMIFS($J$244:$J$363,$B$244:$B$363,J$65)=0,"",SUMIFS($K$244:$K$363,$B$244:$B$363,J$65)/SUMIFS($J$244:$J$363,$B$244:$B$363,J$65))</f>
        <v/>
      </c>
      <c r="K67" s="13" t="str">
        <f aca="false">IF(SUMIFS($J$244:$J$363,$B$244:$B$363,K$65)=0,"",SUMIFS($K$244:$K$363,$B$244:$B$363,K$65)/SUMIFS($J$244:$J$363,$B$244:$B$363,K$65))</f>
        <v/>
      </c>
      <c r="L67" s="13" t="n">
        <f aca="false">V67/O67-1</f>
        <v>0</v>
      </c>
      <c r="M67" s="13" t="str">
        <f aca="false">IF($B66=0,"",(V67/O67)^(1/$B66)-1)</f>
        <v/>
      </c>
      <c r="O67" s="40" t="n">
        <v>100</v>
      </c>
      <c r="P67" s="38" t="n">
        <f aca="false">IF(E67="",O67,O67*(1+E67))</f>
        <v>100</v>
      </c>
      <c r="Q67" s="38" t="n">
        <f aca="false">IF(F67="",P67,P67*(1+F67))</f>
        <v>100</v>
      </c>
      <c r="R67" s="38" t="n">
        <f aca="false">IF(G67="",Q67,Q67*(1+G67))</f>
        <v>100</v>
      </c>
      <c r="S67" s="38" t="n">
        <f aca="false">IF(H67="",R67,R67*(1+H67))</f>
        <v>100</v>
      </c>
      <c r="T67" s="38" t="n">
        <f aca="false">IF(I67="",S67,S67*(1+I67))</f>
        <v>100</v>
      </c>
      <c r="U67" s="38" t="n">
        <f aca="false">IF(J67="",T67,T67*(1+J67))</f>
        <v>100</v>
      </c>
      <c r="V67" s="38" t="n">
        <f aca="false">IF(K67="",U67,U67*(1+K67))</f>
        <v>100</v>
      </c>
    </row>
    <row r="68" customFormat="false" ht="15" hidden="false" customHeight="false" outlineLevel="0" collapsed="false">
      <c r="D68" s="39" t="s">
        <v>106</v>
      </c>
      <c r="E68" s="13" t="str">
        <f aca="false">IF(SUMIFS($J$244:$J$363,$B$244:$B$363,E$65)=0,"",SUMIFS($F$244:$F$363,$B$244:$B$363,E$65,$C$244:$C$363,1)/SUMIFS($J$244:$J$363,$B$244:$B$363,E$65))</f>
        <v/>
      </c>
      <c r="F68" s="13" t="str">
        <f aca="false">IF(SUMIFS($J$244:$J$363,$B$244:$B$363,F$65)=0,"",SUMIFS($F$244:$F$363,$B$244:$B$363,F$65,$C$244:$C$363,1)/SUMIFS($J$244:$J$363,$B$244:$B$363,F$65))</f>
        <v/>
      </c>
      <c r="G68" s="13" t="str">
        <f aca="false">IF(SUMIFS($J$244:$J$363,$B$244:$B$363,G$65)=0,"",SUMIFS($F$244:$F$363,$B$244:$B$363,G$65,$C$244:$C$363,1)/SUMIFS($J$244:$J$363,$B$244:$B$363,G$65))</f>
        <v/>
      </c>
      <c r="H68" s="13" t="str">
        <f aca="false">IF(SUMIFS($J$244:$J$363,$B$244:$B$363,H$65)=0,"",SUMIFS($F$244:$F$363,$B$244:$B$363,H$65,$C$244:$C$363,1)/SUMIFS($J$244:$J$363,$B$244:$B$363,H$65))</f>
        <v/>
      </c>
      <c r="I68" s="13" t="str">
        <f aca="false">IF(SUMIFS($J$244:$J$363,$B$244:$B$363,I$65)=0,"",SUMIFS($F$244:$F$363,$B$244:$B$363,I$65,$C$244:$C$363,1)/SUMIFS($J$244:$J$363,$B$244:$B$363,I$65))</f>
        <v/>
      </c>
      <c r="J68" s="13" t="str">
        <f aca="false">IF(SUMIFS($J$244:$J$363,$B$244:$B$363,J$65)=0,"",SUMIFS($F$244:$F$363,$B$244:$B$363,J$65,$C$244:$C$363,1)/SUMIFS($J$244:$J$363,$B$244:$B$363,J$65))</f>
        <v/>
      </c>
      <c r="K68" s="13" t="str">
        <f aca="false">IF(SUMIFS($J$244:$J$363,$B$244:$B$363,K$65)=0,"",SUMIFS($F$244:$F$363,$B$244:$B$363,K$65,$C$244:$C$363,1)/SUMIFS($J$244:$J$363,$B$244:$B$363,K$65))</f>
        <v/>
      </c>
      <c r="L68" s="13" t="n">
        <f aca="false">V68/O68-1</f>
        <v>0</v>
      </c>
      <c r="M68" s="13" t="str">
        <f aca="false">IF($B66=0,"",(V68/O68)^(1/$B66)-1)</f>
        <v/>
      </c>
      <c r="O68" s="40" t="n">
        <v>100</v>
      </c>
      <c r="P68" s="38" t="n">
        <f aca="false">IF(E68="",O68,O68*(1+E68))</f>
        <v>100</v>
      </c>
      <c r="Q68" s="38" t="n">
        <f aca="false">IF(F68="",P68,P68*(1+F68))</f>
        <v>100</v>
      </c>
      <c r="R68" s="38" t="n">
        <f aca="false">IF(G68="",Q68,Q68*(1+G68))</f>
        <v>100</v>
      </c>
      <c r="S68" s="38" t="n">
        <f aca="false">IF(H68="",R68,R68*(1+H68))</f>
        <v>100</v>
      </c>
      <c r="T68" s="38" t="n">
        <f aca="false">IF(I68="",S68,S68*(1+I68))</f>
        <v>100</v>
      </c>
      <c r="U68" s="38" t="n">
        <f aca="false">IF(J68="",T68,T68*(1+J68))</f>
        <v>100</v>
      </c>
      <c r="V68" s="38" t="n">
        <f aca="false">IF(K68="",U68,U68*(1+K68))</f>
        <v>100</v>
      </c>
    </row>
    <row r="69" customFormat="false" ht="15" hidden="false" customHeight="false" outlineLevel="0" collapsed="false">
      <c r="D69" s="39" t="s">
        <v>107</v>
      </c>
      <c r="E69" s="10" t="n">
        <f aca="false">COUNTIFS($B$244:$B$363,E$65,$E$244:$E$363,"&gt;0")</f>
        <v>0</v>
      </c>
      <c r="F69" s="10" t="n">
        <f aca="false">COUNTIFS($B$244:$B$363,F$65,$E$244:$E$363,"&gt;0")</f>
        <v>0</v>
      </c>
      <c r="G69" s="10" t="n">
        <f aca="false">COUNTIFS($B$244:$B$363,G$65,$E$244:$E$363,"&gt;0")</f>
        <v>0</v>
      </c>
      <c r="H69" s="10" t="n">
        <f aca="false">COUNTIFS($B$244:$B$363,H$65,$E$244:$E$363,"&gt;0")</f>
        <v>0</v>
      </c>
      <c r="I69" s="10" t="n">
        <f aca="false">COUNTIFS($B$244:$B$363,I$65,$E$244:$E$363,"&gt;0")</f>
        <v>0</v>
      </c>
      <c r="J69" s="10" t="n">
        <f aca="false">COUNTIFS($B$244:$B$363,J$65,$E$244:$E$363,"&gt;0")</f>
        <v>0</v>
      </c>
      <c r="K69" s="10" t="n">
        <f aca="false">COUNTIFS($B$244:$B$363,K$65,$E$244:$E$363,"&gt;0")</f>
        <v>0</v>
      </c>
    </row>
    <row r="70" customFormat="false" ht="15" hidden="false" customHeight="false" outlineLevel="0" collapsed="false">
      <c r="A70" s="41"/>
      <c r="B70" s="41"/>
      <c r="C70" s="41"/>
      <c r="D70" s="42" t="s">
        <v>111</v>
      </c>
      <c r="E70" s="43" t="n">
        <f aca="false">SUMIFS($E$244:$E$363,$B$244:$B$363,E$65)/1000</f>
        <v>0</v>
      </c>
      <c r="F70" s="43" t="n">
        <f aca="false">SUMIFS($E$244:$E$363,$B$244:$B$363,F$65)/1000</f>
        <v>0</v>
      </c>
      <c r="G70" s="43" t="n">
        <f aca="false">SUMIFS($E$244:$E$363,$B$244:$B$363,G$65)/1000</f>
        <v>0</v>
      </c>
      <c r="H70" s="43" t="n">
        <f aca="false">SUMIFS($E$244:$E$363,$B$244:$B$363,H$65)/1000</f>
        <v>0</v>
      </c>
      <c r="I70" s="43" t="n">
        <f aca="false">SUMIFS($E$244:$E$363,$B$244:$B$363,I$65)/1000</f>
        <v>0</v>
      </c>
      <c r="J70" s="43" t="n">
        <f aca="false">SUMIFS($E$244:$E$363,$B$244:$B$363,J$65)/1000</f>
        <v>0</v>
      </c>
      <c r="K70" s="43" t="n">
        <f aca="false">SUMIFS($E$244:$E$363,$B$244:$B$363,K$65)/1000</f>
        <v>0</v>
      </c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</row>
    <row r="71" customFormat="false" ht="15" hidden="false" customHeight="false" outlineLevel="0" collapsed="false">
      <c r="A71" s="4" t="s">
        <v>19</v>
      </c>
      <c r="B71" s="8" t="n">
        <f aca="false">COUNT(E71:K71)</f>
        <v>0</v>
      </c>
      <c r="C71" s="38" t="n">
        <f aca="false">SUMIFS($E$244:$E$363,$A$244:$A$363,$A71,$B$244:$B$363,K$65)/1000</f>
        <v>0</v>
      </c>
      <c r="D71" s="39" t="s">
        <v>104</v>
      </c>
      <c r="E71" s="13" t="str">
        <f aca="false">IF(SUMIFS($C$244:$C$363,$A$244:$A$363,$A$71,$B$244:$B$363,E$65)=0,"",SUMIFS($N$244:$N$363,$A$244:$A$363,$A$71,$B$244:$B$363,E$65))</f>
        <v/>
      </c>
      <c r="F71" s="13" t="str">
        <f aca="false">IF(SUMIFS($C$244:$C$363,$A$244:$A$363,$A$71,$B$244:$B$363,F$65)=0,"",SUMIFS($N$244:$N$363,$A$244:$A$363,$A$71,$B$244:$B$363,F$65))</f>
        <v/>
      </c>
      <c r="G71" s="13" t="str">
        <f aca="false">IF(SUMIFS($C$244:$C$363,$A$244:$A$363,$A$71,$B$244:$B$363,G$65)=0,"",SUMIFS($N$244:$N$363,$A$244:$A$363,$A$71,$B$244:$B$363,G$65))</f>
        <v/>
      </c>
      <c r="H71" s="13" t="str">
        <f aca="false">IF(SUMIFS($C$244:$C$363,$A$244:$A$363,$A$71,$B$244:$B$363,H$65)=0,"",SUMIFS($N$244:$N$363,$A$244:$A$363,$A$71,$B$244:$B$363,H$65))</f>
        <v/>
      </c>
      <c r="I71" s="13" t="str">
        <f aca="false">IF(SUMIFS($C$244:$C$363,$A$244:$A$363,$A$71,$B$244:$B$363,I$65)=0,"",SUMIFS($N$244:$N$363,$A$244:$A$363,$A$71,$B$244:$B$363,I$65))</f>
        <v/>
      </c>
      <c r="J71" s="13" t="str">
        <f aca="false">IF(SUMIFS($C$244:$C$363,$A$244:$A$363,$A$71,$B$244:$B$363,J$65)=0,"",SUMIFS($N$244:$N$363,$A$244:$A$363,$A$71,$B$244:$B$363,J$65))</f>
        <v/>
      </c>
      <c r="K71" s="13" t="str">
        <f aca="false">IF(SUMIFS($C$244:$C$363,$A$244:$A$363,$A$71,$B$244:$B$363,K$65)=0,"",SUMIFS($N$244:$N$363,$A$244:$A$363,$A$71,$B$244:$B$363,K$65))</f>
        <v/>
      </c>
      <c r="L71" s="13" t="n">
        <f aca="false">V71/O71-1</f>
        <v>0</v>
      </c>
      <c r="M71" s="13" t="str">
        <f aca="false">IF($B71=0,"",(V71/O71)^(1/$B71)-1)</f>
        <v/>
      </c>
      <c r="O71" s="40" t="n">
        <v>100</v>
      </c>
      <c r="P71" s="38" t="n">
        <f aca="false">IF(E71="",O71,O71*(1+E71))</f>
        <v>100</v>
      </c>
      <c r="Q71" s="38" t="n">
        <f aca="false">IF(F71="",P71,P71*(1+F71))</f>
        <v>100</v>
      </c>
      <c r="R71" s="38" t="n">
        <f aca="false">IF(G71="",Q71,Q71*(1+G71))</f>
        <v>100</v>
      </c>
      <c r="S71" s="38" t="n">
        <f aca="false">IF(H71="",R71,R71*(1+H71))</f>
        <v>100</v>
      </c>
      <c r="T71" s="38" t="n">
        <f aca="false">IF(I71="",S71,S71*(1+I71))</f>
        <v>100</v>
      </c>
      <c r="U71" s="38" t="n">
        <f aca="false">IF(J71="",T71,T71*(1+J71))</f>
        <v>100</v>
      </c>
      <c r="V71" s="38" t="n">
        <f aca="false">IF(K71="",U71,U71*(1+K71))</f>
        <v>100</v>
      </c>
    </row>
    <row r="72" customFormat="false" ht="15" hidden="false" customHeight="false" outlineLevel="0" collapsed="false">
      <c r="D72" s="39" t="s">
        <v>105</v>
      </c>
      <c r="E72" s="13" t="str">
        <f aca="false">IF(SUMIFS($C$244:$C$363,$A$244:$A$363,$A$71,$B$244:$B$363,E$65)=0,"",SUMIFS($M$244:$M$363,$A$244:$A$363,$A$71,$B$244:$B$363,E$65))</f>
        <v/>
      </c>
      <c r="F72" s="13" t="str">
        <f aca="false">IF(SUMIFS($C$244:$C$363,$A$244:$A$363,$A$71,$B$244:$B$363,F$65)=0,"",SUMIFS($M$244:$M$363,$A$244:$A$363,$A$71,$B$244:$B$363,F$65))</f>
        <v/>
      </c>
      <c r="G72" s="13" t="str">
        <f aca="false">IF(SUMIFS($C$244:$C$363,$A$244:$A$363,$A$71,$B$244:$B$363,G$65)=0,"",SUMIFS($M$244:$M$363,$A$244:$A$363,$A$71,$B$244:$B$363,G$65))</f>
        <v/>
      </c>
      <c r="H72" s="13" t="str">
        <f aca="false">IF(SUMIFS($C$244:$C$363,$A$244:$A$363,$A$71,$B$244:$B$363,H$65)=0,"",SUMIFS($M$244:$M$363,$A$244:$A$363,$A$71,$B$244:$B$363,H$65))</f>
        <v/>
      </c>
      <c r="I72" s="13" t="str">
        <f aca="false">IF(SUMIFS($C$244:$C$363,$A$244:$A$363,$A$71,$B$244:$B$363,I$65)=0,"",SUMIFS($M$244:$M$363,$A$244:$A$363,$A$71,$B$244:$B$363,I$65))</f>
        <v/>
      </c>
      <c r="J72" s="13" t="str">
        <f aca="false">IF(SUMIFS($C$244:$C$363,$A$244:$A$363,$A$71,$B$244:$B$363,J$65)=0,"",SUMIFS($M$244:$M$363,$A$244:$A$363,$A$71,$B$244:$B$363,J$65))</f>
        <v/>
      </c>
      <c r="K72" s="13" t="str">
        <f aca="false">IF(SUMIFS($C$244:$C$363,$A$244:$A$363,$A$71,$B$244:$B$363,K$65)=0,"",SUMIFS($M$244:$M$363,$A$244:$A$363,$A$71,$B$244:$B$363,K$65))</f>
        <v/>
      </c>
      <c r="L72" s="13" t="n">
        <f aca="false">V72/O72-1</f>
        <v>0</v>
      </c>
      <c r="M72" s="13" t="str">
        <f aca="false">IF($B71=0,"",(V72/O72)^(1/$B71)-1)</f>
        <v/>
      </c>
      <c r="O72" s="40" t="n">
        <v>100</v>
      </c>
      <c r="P72" s="38" t="n">
        <f aca="false">IF(E72="",O72,O72*(1+E72))</f>
        <v>100</v>
      </c>
      <c r="Q72" s="38" t="n">
        <f aca="false">IF(F72="",P72,P72*(1+F72))</f>
        <v>100</v>
      </c>
      <c r="R72" s="38" t="n">
        <f aca="false">IF(G72="",Q72,Q72*(1+G72))</f>
        <v>100</v>
      </c>
      <c r="S72" s="38" t="n">
        <f aca="false">IF(H72="",R72,R72*(1+H72))</f>
        <v>100</v>
      </c>
      <c r="T72" s="38" t="n">
        <f aca="false">IF(I72="",S72,S72*(1+I72))</f>
        <v>100</v>
      </c>
      <c r="U72" s="38" t="n">
        <f aca="false">IF(J72="",T72,T72*(1+J72))</f>
        <v>100</v>
      </c>
      <c r="V72" s="38" t="n">
        <f aca="false">IF(K72="",U72,U72*(1+K72))</f>
        <v>100</v>
      </c>
    </row>
    <row r="73" customFormat="false" ht="15" hidden="false" customHeight="false" outlineLevel="0" collapsed="false">
      <c r="A73" s="41"/>
      <c r="B73" s="41"/>
      <c r="C73" s="41"/>
      <c r="D73" s="42" t="s">
        <v>106</v>
      </c>
      <c r="E73" s="44" t="str">
        <f aca="false">IF(SUMIFS($C$244:$C$363,$A$244:$A$363,$A$71,$B$244:$B$363,E$65)=0,"",SUMIFS($L$244:$L$363,$A$244:$A$363,$A$71,$B$244:$B$363,E$65))</f>
        <v/>
      </c>
      <c r="F73" s="44" t="str">
        <f aca="false">IF(SUMIFS($C$244:$C$363,$A$244:$A$363,$A$71,$B$244:$B$363,F$65)=0,"",SUMIFS($L$244:$L$363,$A$244:$A$363,$A$71,$B$244:$B$363,F$65))</f>
        <v/>
      </c>
      <c r="G73" s="44" t="str">
        <f aca="false">IF(SUMIFS($C$244:$C$363,$A$244:$A$363,$A$71,$B$244:$B$363,G$65)=0,"",SUMIFS($L$244:$L$363,$A$244:$A$363,$A$71,$B$244:$B$363,G$65))</f>
        <v/>
      </c>
      <c r="H73" s="44" t="str">
        <f aca="false">IF(SUMIFS($C$244:$C$363,$A$244:$A$363,$A$71,$B$244:$B$363,H$65)=0,"",SUMIFS($L$244:$L$363,$A$244:$A$363,$A$71,$B$244:$B$363,H$65))</f>
        <v/>
      </c>
      <c r="I73" s="44" t="str">
        <f aca="false">IF(SUMIFS($C$244:$C$363,$A$244:$A$363,$A$71,$B$244:$B$363,I$65)=0,"",SUMIFS($L$244:$L$363,$A$244:$A$363,$A$71,$B$244:$B$363,I$65))</f>
        <v/>
      </c>
      <c r="J73" s="44" t="str">
        <f aca="false">IF(SUMIFS($C$244:$C$363,$A$244:$A$363,$A$71,$B$244:$B$363,J$65)=0,"",SUMIFS($L$244:$L$363,$A$244:$A$363,$A$71,$B$244:$B$363,J$65))</f>
        <v/>
      </c>
      <c r="K73" s="44" t="str">
        <f aca="false">IF(SUMIFS($C$244:$C$363,$A$244:$A$363,$A$71,$B$244:$B$363,K$65)=0,"",SUMIFS($L$244:$L$363,$A$244:$A$363,$A$71,$B$244:$B$363,K$65))</f>
        <v/>
      </c>
      <c r="L73" s="44" t="n">
        <f aca="false">V73/O73-1</f>
        <v>0</v>
      </c>
      <c r="M73" s="44" t="str">
        <f aca="false">IF($B71=0,"",(V73/O73)^(1/$B71)-1)</f>
        <v/>
      </c>
      <c r="N73" s="41"/>
      <c r="O73" s="45" t="n">
        <v>100</v>
      </c>
      <c r="P73" s="43" t="n">
        <f aca="false">IF(E73="",O73,O73*(1+E73))</f>
        <v>100</v>
      </c>
      <c r="Q73" s="43" t="n">
        <f aca="false">IF(F73="",P73,P73*(1+F73))</f>
        <v>100</v>
      </c>
      <c r="R73" s="43" t="n">
        <f aca="false">IF(G73="",Q73,Q73*(1+G73))</f>
        <v>100</v>
      </c>
      <c r="S73" s="43" t="n">
        <f aca="false">IF(H73="",R73,R73*(1+H73))</f>
        <v>100</v>
      </c>
      <c r="T73" s="43" t="n">
        <f aca="false">IF(I73="",S73,S73*(1+I73))</f>
        <v>100</v>
      </c>
      <c r="U73" s="43" t="n">
        <f aca="false">IF(J73="",T73,T73*(1+J73))</f>
        <v>100</v>
      </c>
      <c r="V73" s="43" t="n">
        <f aca="false">IF(K73="",U73,U73*(1+K73))</f>
        <v>100</v>
      </c>
    </row>
    <row r="74" customFormat="false" ht="15" hidden="false" customHeight="false" outlineLevel="0" collapsed="false">
      <c r="A74" s="4" t="s">
        <v>20</v>
      </c>
      <c r="B74" s="8" t="n">
        <f aca="false">COUNT(E74:K74)</f>
        <v>0</v>
      </c>
      <c r="C74" s="38" t="n">
        <f aca="false">SUMIFS($E$244:$E$363,$A$244:$A$363,$A74,$B$244:$B$363,K$65)/1000</f>
        <v>0</v>
      </c>
      <c r="D74" s="39" t="s">
        <v>104</v>
      </c>
      <c r="E74" s="13" t="str">
        <f aca="false">IF(SUMIFS($C$244:$C$363,$A$244:$A$363,$A$74,$B$244:$B$363,E$65)=0,"",SUMIFS($N$244:$N$363,$A$244:$A$363,$A$74,$B$244:$B$363,E$65))</f>
        <v/>
      </c>
      <c r="F74" s="13" t="str">
        <f aca="false">IF(SUMIFS($C$244:$C$363,$A$244:$A$363,$A$74,$B$244:$B$363,F$65)=0,"",SUMIFS($N$244:$N$363,$A$244:$A$363,$A$74,$B$244:$B$363,F$65))</f>
        <v/>
      </c>
      <c r="G74" s="13" t="str">
        <f aca="false">IF(SUMIFS($C$244:$C$363,$A$244:$A$363,$A$74,$B$244:$B$363,G$65)=0,"",SUMIFS($N$244:$N$363,$A$244:$A$363,$A$74,$B$244:$B$363,G$65))</f>
        <v/>
      </c>
      <c r="H74" s="13" t="str">
        <f aca="false">IF(SUMIFS($C$244:$C$363,$A$244:$A$363,$A$74,$B$244:$B$363,H$65)=0,"",SUMIFS($N$244:$N$363,$A$244:$A$363,$A$74,$B$244:$B$363,H$65))</f>
        <v/>
      </c>
      <c r="I74" s="13" t="str">
        <f aca="false">IF(SUMIFS($C$244:$C$363,$A$244:$A$363,$A$74,$B$244:$B$363,I$65)=0,"",SUMIFS($N$244:$N$363,$A$244:$A$363,$A$74,$B$244:$B$363,I$65))</f>
        <v/>
      </c>
      <c r="J74" s="13" t="str">
        <f aca="false">IF(SUMIFS($C$244:$C$363,$A$244:$A$363,$A$74,$B$244:$B$363,J$65)=0,"",SUMIFS($N$244:$N$363,$A$244:$A$363,$A$74,$B$244:$B$363,J$65))</f>
        <v/>
      </c>
      <c r="K74" s="13" t="str">
        <f aca="false">IF(SUMIFS($C$244:$C$363,$A$244:$A$363,$A$74,$B$244:$B$363,K$65)=0,"",SUMIFS($N$244:$N$363,$A$244:$A$363,$A$74,$B$244:$B$363,K$65))</f>
        <v/>
      </c>
      <c r="L74" s="13" t="n">
        <f aca="false">V74/O74-1</f>
        <v>0</v>
      </c>
      <c r="M74" s="13" t="str">
        <f aca="false">IF($B74=0,"",(V74/O74)^(1/$B74)-1)</f>
        <v/>
      </c>
      <c r="O74" s="40" t="n">
        <v>100</v>
      </c>
      <c r="P74" s="38" t="n">
        <f aca="false">IF(E74="",O74,O74*(1+E74))</f>
        <v>100</v>
      </c>
      <c r="Q74" s="38" t="n">
        <f aca="false">IF(F74="",P74,P74*(1+F74))</f>
        <v>100</v>
      </c>
      <c r="R74" s="38" t="n">
        <f aca="false">IF(G74="",Q74,Q74*(1+G74))</f>
        <v>100</v>
      </c>
      <c r="S74" s="38" t="n">
        <f aca="false">IF(H74="",R74,R74*(1+H74))</f>
        <v>100</v>
      </c>
      <c r="T74" s="38" t="n">
        <f aca="false">IF(I74="",S74,S74*(1+I74))</f>
        <v>100</v>
      </c>
      <c r="U74" s="38" t="n">
        <f aca="false">IF(J74="",T74,T74*(1+J74))</f>
        <v>100</v>
      </c>
      <c r="V74" s="38" t="n">
        <f aca="false">IF(K74="",U74,U74*(1+K74))</f>
        <v>100</v>
      </c>
    </row>
    <row r="75" customFormat="false" ht="15" hidden="false" customHeight="false" outlineLevel="0" collapsed="false">
      <c r="D75" s="39" t="s">
        <v>105</v>
      </c>
      <c r="E75" s="13" t="str">
        <f aca="false">IF(SUMIFS($C$244:$C$363,$A$244:$A$363,$A$74,$B$244:$B$363,E$65)=0,"",SUMIFS($M$244:$M$363,$A$244:$A$363,$A$74,$B$244:$B$363,E$65))</f>
        <v/>
      </c>
      <c r="F75" s="13" t="str">
        <f aca="false">IF(SUMIFS($C$244:$C$363,$A$244:$A$363,$A$74,$B$244:$B$363,F$65)=0,"",SUMIFS($M$244:$M$363,$A$244:$A$363,$A$74,$B$244:$B$363,F$65))</f>
        <v/>
      </c>
      <c r="G75" s="13" t="str">
        <f aca="false">IF(SUMIFS($C$244:$C$363,$A$244:$A$363,$A$74,$B$244:$B$363,G$65)=0,"",SUMIFS($M$244:$M$363,$A$244:$A$363,$A$74,$B$244:$B$363,G$65))</f>
        <v/>
      </c>
      <c r="H75" s="13" t="str">
        <f aca="false">IF(SUMIFS($C$244:$C$363,$A$244:$A$363,$A$74,$B$244:$B$363,H$65)=0,"",SUMIFS($M$244:$M$363,$A$244:$A$363,$A$74,$B$244:$B$363,H$65))</f>
        <v/>
      </c>
      <c r="I75" s="13" t="str">
        <f aca="false">IF(SUMIFS($C$244:$C$363,$A$244:$A$363,$A$74,$B$244:$B$363,I$65)=0,"",SUMIFS($M$244:$M$363,$A$244:$A$363,$A$74,$B$244:$B$363,I$65))</f>
        <v/>
      </c>
      <c r="J75" s="13" t="str">
        <f aca="false">IF(SUMIFS($C$244:$C$363,$A$244:$A$363,$A$74,$B$244:$B$363,J$65)=0,"",SUMIFS($M$244:$M$363,$A$244:$A$363,$A$74,$B$244:$B$363,J$65))</f>
        <v/>
      </c>
      <c r="K75" s="13" t="str">
        <f aca="false">IF(SUMIFS($C$244:$C$363,$A$244:$A$363,$A$74,$B$244:$B$363,K$65)=0,"",SUMIFS($M$244:$M$363,$A$244:$A$363,$A$74,$B$244:$B$363,K$65))</f>
        <v/>
      </c>
      <c r="L75" s="13" t="n">
        <f aca="false">V75/O75-1</f>
        <v>0</v>
      </c>
      <c r="M75" s="13" t="str">
        <f aca="false">IF($B74=0,"",(V75/O75)^(1/$B74)-1)</f>
        <v/>
      </c>
      <c r="O75" s="40" t="n">
        <v>100</v>
      </c>
      <c r="P75" s="38" t="n">
        <f aca="false">IF(E75="",O75,O75*(1+E75))</f>
        <v>100</v>
      </c>
      <c r="Q75" s="38" t="n">
        <f aca="false">IF(F75="",P75,P75*(1+F75))</f>
        <v>100</v>
      </c>
      <c r="R75" s="38" t="n">
        <f aca="false">IF(G75="",Q75,Q75*(1+G75))</f>
        <v>100</v>
      </c>
      <c r="S75" s="38" t="n">
        <f aca="false">IF(H75="",R75,R75*(1+H75))</f>
        <v>100</v>
      </c>
      <c r="T75" s="38" t="n">
        <f aca="false">IF(I75="",S75,S75*(1+I75))</f>
        <v>100</v>
      </c>
      <c r="U75" s="38" t="n">
        <f aca="false">IF(J75="",T75,T75*(1+J75))</f>
        <v>100</v>
      </c>
      <c r="V75" s="38" t="n">
        <f aca="false">IF(K75="",U75,U75*(1+K75))</f>
        <v>100</v>
      </c>
    </row>
    <row r="76" customFormat="false" ht="15" hidden="false" customHeight="false" outlineLevel="0" collapsed="false">
      <c r="A76" s="41"/>
      <c r="B76" s="41"/>
      <c r="C76" s="41"/>
      <c r="D76" s="42" t="s">
        <v>106</v>
      </c>
      <c r="E76" s="44" t="str">
        <f aca="false">IF(SUMIFS($C$244:$C$363,$A$244:$A$363,$A$74,$B$244:$B$363,E$65)=0,"",SUMIFS($L$244:$L$363,$A$244:$A$363,$A$74,$B$244:$B$363,E$65))</f>
        <v/>
      </c>
      <c r="F76" s="44" t="str">
        <f aca="false">IF(SUMIFS($C$244:$C$363,$A$244:$A$363,$A$74,$B$244:$B$363,F$65)=0,"",SUMIFS($L$244:$L$363,$A$244:$A$363,$A$74,$B$244:$B$363,F$65))</f>
        <v/>
      </c>
      <c r="G76" s="44" t="str">
        <f aca="false">IF(SUMIFS($C$244:$C$363,$A$244:$A$363,$A$74,$B$244:$B$363,G$65)=0,"",SUMIFS($L$244:$L$363,$A$244:$A$363,$A$74,$B$244:$B$363,G$65))</f>
        <v/>
      </c>
      <c r="H76" s="44" t="str">
        <f aca="false">IF(SUMIFS($C$244:$C$363,$A$244:$A$363,$A$74,$B$244:$B$363,H$65)=0,"",SUMIFS($L$244:$L$363,$A$244:$A$363,$A$74,$B$244:$B$363,H$65))</f>
        <v/>
      </c>
      <c r="I76" s="44" t="str">
        <f aca="false">IF(SUMIFS($C$244:$C$363,$A$244:$A$363,$A$74,$B$244:$B$363,I$65)=0,"",SUMIFS($L$244:$L$363,$A$244:$A$363,$A$74,$B$244:$B$363,I$65))</f>
        <v/>
      </c>
      <c r="J76" s="44" t="str">
        <f aca="false">IF(SUMIFS($C$244:$C$363,$A$244:$A$363,$A$74,$B$244:$B$363,J$65)=0,"",SUMIFS($L$244:$L$363,$A$244:$A$363,$A$74,$B$244:$B$363,J$65))</f>
        <v/>
      </c>
      <c r="K76" s="44" t="str">
        <f aca="false">IF(SUMIFS($C$244:$C$363,$A$244:$A$363,$A$74,$B$244:$B$363,K$65)=0,"",SUMIFS($L$244:$L$363,$A$244:$A$363,$A$74,$B$244:$B$363,K$65))</f>
        <v/>
      </c>
      <c r="L76" s="44" t="n">
        <f aca="false">V76/O76-1</f>
        <v>0</v>
      </c>
      <c r="M76" s="44" t="str">
        <f aca="false">IF($B74=0,"",(V76/O76)^(1/$B74)-1)</f>
        <v/>
      </c>
      <c r="N76" s="41"/>
      <c r="O76" s="45" t="n">
        <v>100</v>
      </c>
      <c r="P76" s="43" t="n">
        <f aca="false">IF(E76="",O76,O76*(1+E76))</f>
        <v>100</v>
      </c>
      <c r="Q76" s="43" t="n">
        <f aca="false">IF(F76="",P76,P76*(1+F76))</f>
        <v>100</v>
      </c>
      <c r="R76" s="43" t="n">
        <f aca="false">IF(G76="",Q76,Q76*(1+G76))</f>
        <v>100</v>
      </c>
      <c r="S76" s="43" t="n">
        <f aca="false">IF(H76="",R76,R76*(1+H76))</f>
        <v>100</v>
      </c>
      <c r="T76" s="43" t="n">
        <f aca="false">IF(I76="",S76,S76*(1+I76))</f>
        <v>100</v>
      </c>
      <c r="U76" s="43" t="n">
        <f aca="false">IF(J76="",T76,T76*(1+J76))</f>
        <v>100</v>
      </c>
      <c r="V76" s="43" t="n">
        <f aca="false">IF(K76="",U76,U76*(1+K76))</f>
        <v>100</v>
      </c>
    </row>
    <row r="77" customFormat="false" ht="15" hidden="false" customHeight="false" outlineLevel="0" collapsed="false">
      <c r="A77" s="4" t="s">
        <v>21</v>
      </c>
      <c r="B77" s="8" t="n">
        <f aca="false">COUNT(E77:K77)</f>
        <v>0</v>
      </c>
      <c r="C77" s="38" t="n">
        <f aca="false">SUMIFS($E$244:$E$363,$A$244:$A$363,$A77,$B$244:$B$363,K$65)/1000</f>
        <v>0</v>
      </c>
      <c r="D77" s="39" t="s">
        <v>104</v>
      </c>
      <c r="E77" s="13" t="str">
        <f aca="false">IF(SUMIFS($C$244:$C$363,$A$244:$A$363,$A$77,$B$244:$B$363,E$65)=0,"",SUMIFS($N$244:$N$363,$A$244:$A$363,$A$77,$B$244:$B$363,E$65))</f>
        <v/>
      </c>
      <c r="F77" s="13" t="str">
        <f aca="false">IF(SUMIFS($C$244:$C$363,$A$244:$A$363,$A$77,$B$244:$B$363,F$65)=0,"",SUMIFS($N$244:$N$363,$A$244:$A$363,$A$77,$B$244:$B$363,F$65))</f>
        <v/>
      </c>
      <c r="G77" s="13" t="str">
        <f aca="false">IF(SUMIFS($C$244:$C$363,$A$244:$A$363,$A$77,$B$244:$B$363,G$65)=0,"",SUMIFS($N$244:$N$363,$A$244:$A$363,$A$77,$B$244:$B$363,G$65))</f>
        <v/>
      </c>
      <c r="H77" s="13" t="str">
        <f aca="false">IF(SUMIFS($C$244:$C$363,$A$244:$A$363,$A$77,$B$244:$B$363,H$65)=0,"",SUMIFS($N$244:$N$363,$A$244:$A$363,$A$77,$B$244:$B$363,H$65))</f>
        <v/>
      </c>
      <c r="I77" s="13" t="str">
        <f aca="false">IF(SUMIFS($C$244:$C$363,$A$244:$A$363,$A$77,$B$244:$B$363,I$65)=0,"",SUMIFS($N$244:$N$363,$A$244:$A$363,$A$77,$B$244:$B$363,I$65))</f>
        <v/>
      </c>
      <c r="J77" s="13" t="str">
        <f aca="false">IF(SUMIFS($C$244:$C$363,$A$244:$A$363,$A$77,$B$244:$B$363,J$65)=0,"",SUMIFS($N$244:$N$363,$A$244:$A$363,$A$77,$B$244:$B$363,J$65))</f>
        <v/>
      </c>
      <c r="K77" s="13" t="str">
        <f aca="false">IF(SUMIFS($C$244:$C$363,$A$244:$A$363,$A$77,$B$244:$B$363,K$65)=0,"",SUMIFS($N$244:$N$363,$A$244:$A$363,$A$77,$B$244:$B$363,K$65))</f>
        <v/>
      </c>
      <c r="L77" s="13" t="n">
        <f aca="false">V77/O77-1</f>
        <v>0</v>
      </c>
      <c r="M77" s="13" t="str">
        <f aca="false">IF($B77=0,"",(V77/O77)^(1/$B77)-1)</f>
        <v/>
      </c>
      <c r="O77" s="40" t="n">
        <v>100</v>
      </c>
      <c r="P77" s="38" t="n">
        <f aca="false">IF(E77="",O77,O77*(1+E77))</f>
        <v>100</v>
      </c>
      <c r="Q77" s="38" t="n">
        <f aca="false">IF(F77="",P77,P77*(1+F77))</f>
        <v>100</v>
      </c>
      <c r="R77" s="38" t="n">
        <f aca="false">IF(G77="",Q77,Q77*(1+G77))</f>
        <v>100</v>
      </c>
      <c r="S77" s="38" t="n">
        <f aca="false">IF(H77="",R77,R77*(1+H77))</f>
        <v>100</v>
      </c>
      <c r="T77" s="38" t="n">
        <f aca="false">IF(I77="",S77,S77*(1+I77))</f>
        <v>100</v>
      </c>
      <c r="U77" s="38" t="n">
        <f aca="false">IF(J77="",T77,T77*(1+J77))</f>
        <v>100</v>
      </c>
      <c r="V77" s="38" t="n">
        <f aca="false">IF(K77="",U77,U77*(1+K77))</f>
        <v>100</v>
      </c>
    </row>
    <row r="78" customFormat="false" ht="15" hidden="false" customHeight="false" outlineLevel="0" collapsed="false">
      <c r="D78" s="39" t="s">
        <v>105</v>
      </c>
      <c r="E78" s="13" t="str">
        <f aca="false">IF(SUMIFS($C$244:$C$363,$A$244:$A$363,$A$77,$B$244:$B$363,E$65)=0,"",SUMIFS($M$244:$M$363,$A$244:$A$363,$A$77,$B$244:$B$363,E$65))</f>
        <v/>
      </c>
      <c r="F78" s="13" t="str">
        <f aca="false">IF(SUMIFS($C$244:$C$363,$A$244:$A$363,$A$77,$B$244:$B$363,F$65)=0,"",SUMIFS($M$244:$M$363,$A$244:$A$363,$A$77,$B$244:$B$363,F$65))</f>
        <v/>
      </c>
      <c r="G78" s="13" t="str">
        <f aca="false">IF(SUMIFS($C$244:$C$363,$A$244:$A$363,$A$77,$B$244:$B$363,G$65)=0,"",SUMIFS($M$244:$M$363,$A$244:$A$363,$A$77,$B$244:$B$363,G$65))</f>
        <v/>
      </c>
      <c r="H78" s="13" t="str">
        <f aca="false">IF(SUMIFS($C$244:$C$363,$A$244:$A$363,$A$77,$B$244:$B$363,H$65)=0,"",SUMIFS($M$244:$M$363,$A$244:$A$363,$A$77,$B$244:$B$363,H$65))</f>
        <v/>
      </c>
      <c r="I78" s="13" t="str">
        <f aca="false">IF(SUMIFS($C$244:$C$363,$A$244:$A$363,$A$77,$B$244:$B$363,I$65)=0,"",SUMIFS($M$244:$M$363,$A$244:$A$363,$A$77,$B$244:$B$363,I$65))</f>
        <v/>
      </c>
      <c r="J78" s="13" t="str">
        <f aca="false">IF(SUMIFS($C$244:$C$363,$A$244:$A$363,$A$77,$B$244:$B$363,J$65)=0,"",SUMIFS($M$244:$M$363,$A$244:$A$363,$A$77,$B$244:$B$363,J$65))</f>
        <v/>
      </c>
      <c r="K78" s="13" t="str">
        <f aca="false">IF(SUMIFS($C$244:$C$363,$A$244:$A$363,$A$77,$B$244:$B$363,K$65)=0,"",SUMIFS($M$244:$M$363,$A$244:$A$363,$A$77,$B$244:$B$363,K$65))</f>
        <v/>
      </c>
      <c r="L78" s="13" t="n">
        <f aca="false">V78/O78-1</f>
        <v>0</v>
      </c>
      <c r="M78" s="13" t="str">
        <f aca="false">IF($B77=0,"",(V78/O78)^(1/$B77)-1)</f>
        <v/>
      </c>
      <c r="O78" s="40" t="n">
        <v>100</v>
      </c>
      <c r="P78" s="38" t="n">
        <f aca="false">IF(E78="",O78,O78*(1+E78))</f>
        <v>100</v>
      </c>
      <c r="Q78" s="38" t="n">
        <f aca="false">IF(F78="",P78,P78*(1+F78))</f>
        <v>100</v>
      </c>
      <c r="R78" s="38" t="n">
        <f aca="false">IF(G78="",Q78,Q78*(1+G78))</f>
        <v>100</v>
      </c>
      <c r="S78" s="38" t="n">
        <f aca="false">IF(H78="",R78,R78*(1+H78))</f>
        <v>100</v>
      </c>
      <c r="T78" s="38" t="n">
        <f aca="false">IF(I78="",S78,S78*(1+I78))</f>
        <v>100</v>
      </c>
      <c r="U78" s="38" t="n">
        <f aca="false">IF(J78="",T78,T78*(1+J78))</f>
        <v>100</v>
      </c>
      <c r="V78" s="38" t="n">
        <f aca="false">IF(K78="",U78,U78*(1+K78))</f>
        <v>100</v>
      </c>
    </row>
    <row r="79" customFormat="false" ht="15" hidden="false" customHeight="false" outlineLevel="0" collapsed="false">
      <c r="A79" s="41"/>
      <c r="B79" s="41"/>
      <c r="C79" s="41"/>
      <c r="D79" s="42" t="s">
        <v>106</v>
      </c>
      <c r="E79" s="44" t="str">
        <f aca="false">IF(SUMIFS($C$244:$C$363,$A$244:$A$363,$A$77,$B$244:$B$363,E$65)=0,"",SUMIFS($L$244:$L$363,$A$244:$A$363,$A$77,$B$244:$B$363,E$65))</f>
        <v/>
      </c>
      <c r="F79" s="44" t="str">
        <f aca="false">IF(SUMIFS($C$244:$C$363,$A$244:$A$363,$A$77,$B$244:$B$363,F$65)=0,"",SUMIFS($L$244:$L$363,$A$244:$A$363,$A$77,$B$244:$B$363,F$65))</f>
        <v/>
      </c>
      <c r="G79" s="44" t="str">
        <f aca="false">IF(SUMIFS($C$244:$C$363,$A$244:$A$363,$A$77,$B$244:$B$363,G$65)=0,"",SUMIFS($L$244:$L$363,$A$244:$A$363,$A$77,$B$244:$B$363,G$65))</f>
        <v/>
      </c>
      <c r="H79" s="44" t="str">
        <f aca="false">IF(SUMIFS($C$244:$C$363,$A$244:$A$363,$A$77,$B$244:$B$363,H$65)=0,"",SUMIFS($L$244:$L$363,$A$244:$A$363,$A$77,$B$244:$B$363,H$65))</f>
        <v/>
      </c>
      <c r="I79" s="44" t="str">
        <f aca="false">IF(SUMIFS($C$244:$C$363,$A$244:$A$363,$A$77,$B$244:$B$363,I$65)=0,"",SUMIFS($L$244:$L$363,$A$244:$A$363,$A$77,$B$244:$B$363,I$65))</f>
        <v/>
      </c>
      <c r="J79" s="44" t="str">
        <f aca="false">IF(SUMIFS($C$244:$C$363,$A$244:$A$363,$A$77,$B$244:$B$363,J$65)=0,"",SUMIFS($L$244:$L$363,$A$244:$A$363,$A$77,$B$244:$B$363,J$65))</f>
        <v/>
      </c>
      <c r="K79" s="44" t="str">
        <f aca="false">IF(SUMIFS($C$244:$C$363,$A$244:$A$363,$A$77,$B$244:$B$363,K$65)=0,"",SUMIFS($L$244:$L$363,$A$244:$A$363,$A$77,$B$244:$B$363,K$65))</f>
        <v/>
      </c>
      <c r="L79" s="44" t="n">
        <f aca="false">V79/O79-1</f>
        <v>0</v>
      </c>
      <c r="M79" s="44" t="str">
        <f aca="false">IF($B77=0,"",(V79/O79)^(1/$B77)-1)</f>
        <v/>
      </c>
      <c r="N79" s="41"/>
      <c r="O79" s="45" t="n">
        <v>100</v>
      </c>
      <c r="P79" s="43" t="n">
        <f aca="false">IF(E79="",O79,O79*(1+E79))</f>
        <v>100</v>
      </c>
      <c r="Q79" s="43" t="n">
        <f aca="false">IF(F79="",P79,P79*(1+F79))</f>
        <v>100</v>
      </c>
      <c r="R79" s="43" t="n">
        <f aca="false">IF(G79="",Q79,Q79*(1+G79))</f>
        <v>100</v>
      </c>
      <c r="S79" s="43" t="n">
        <f aca="false">IF(H79="",R79,R79*(1+H79))</f>
        <v>100</v>
      </c>
      <c r="T79" s="43" t="n">
        <f aca="false">IF(I79="",S79,S79*(1+I79))</f>
        <v>100</v>
      </c>
      <c r="U79" s="43" t="n">
        <f aca="false">IF(J79="",T79,T79*(1+J79))</f>
        <v>100</v>
      </c>
      <c r="V79" s="43" t="n">
        <f aca="false">IF(K79="",U79,U79*(1+K79))</f>
        <v>100</v>
      </c>
    </row>
    <row r="80" customFormat="false" ht="15" hidden="false" customHeight="false" outlineLevel="0" collapsed="false">
      <c r="A80" s="4" t="s">
        <v>22</v>
      </c>
      <c r="B80" s="8" t="n">
        <f aca="false">COUNT(E80:K80)</f>
        <v>0</v>
      </c>
      <c r="C80" s="38" t="n">
        <f aca="false">SUMIFS($E$244:$E$363,$A$244:$A$363,$A80,$B$244:$B$363,K$65)/1000</f>
        <v>0</v>
      </c>
      <c r="D80" s="39" t="s">
        <v>104</v>
      </c>
      <c r="E80" s="13" t="str">
        <f aca="false">IF(SUMIFS($C$244:$C$363,$A$244:$A$363,$A$80,$B$244:$B$363,E$65)=0,"",SUMIFS($N$244:$N$363,$A$244:$A$363,$A$80,$B$244:$B$363,E$65))</f>
        <v/>
      </c>
      <c r="F80" s="13" t="str">
        <f aca="false">IF(SUMIFS($C$244:$C$363,$A$244:$A$363,$A$80,$B$244:$B$363,F$65)=0,"",SUMIFS($N$244:$N$363,$A$244:$A$363,$A$80,$B$244:$B$363,F$65))</f>
        <v/>
      </c>
      <c r="G80" s="13" t="str">
        <f aca="false">IF(SUMIFS($C$244:$C$363,$A$244:$A$363,$A$80,$B$244:$B$363,G$65)=0,"",SUMIFS($N$244:$N$363,$A$244:$A$363,$A$80,$B$244:$B$363,G$65))</f>
        <v/>
      </c>
      <c r="H80" s="13" t="str">
        <f aca="false">IF(SUMIFS($C$244:$C$363,$A$244:$A$363,$A$80,$B$244:$B$363,H$65)=0,"",SUMIFS($N$244:$N$363,$A$244:$A$363,$A$80,$B$244:$B$363,H$65))</f>
        <v/>
      </c>
      <c r="I80" s="13" t="str">
        <f aca="false">IF(SUMIFS($C$244:$C$363,$A$244:$A$363,$A$80,$B$244:$B$363,I$65)=0,"",SUMIFS($N$244:$N$363,$A$244:$A$363,$A$80,$B$244:$B$363,I$65))</f>
        <v/>
      </c>
      <c r="J80" s="13" t="str">
        <f aca="false">IF(SUMIFS($C$244:$C$363,$A$244:$A$363,$A$80,$B$244:$B$363,J$65)=0,"",SUMIFS($N$244:$N$363,$A$244:$A$363,$A$80,$B$244:$B$363,J$65))</f>
        <v/>
      </c>
      <c r="K80" s="13" t="str">
        <f aca="false">IF(SUMIFS($C$244:$C$363,$A$244:$A$363,$A$80,$B$244:$B$363,K$65)=0,"",SUMIFS($N$244:$N$363,$A$244:$A$363,$A$80,$B$244:$B$363,K$65))</f>
        <v/>
      </c>
      <c r="L80" s="13" t="n">
        <f aca="false">V80/O80-1</f>
        <v>0</v>
      </c>
      <c r="M80" s="13" t="str">
        <f aca="false">IF($B80=0,"",(V80/O80)^(1/$B80)-1)</f>
        <v/>
      </c>
      <c r="O80" s="40" t="n">
        <v>100</v>
      </c>
      <c r="P80" s="38" t="n">
        <f aca="false">IF(E80="",O80,O80*(1+E80))</f>
        <v>100</v>
      </c>
      <c r="Q80" s="38" t="n">
        <f aca="false">IF(F80="",P80,P80*(1+F80))</f>
        <v>100</v>
      </c>
      <c r="R80" s="38" t="n">
        <f aca="false">IF(G80="",Q80,Q80*(1+G80))</f>
        <v>100</v>
      </c>
      <c r="S80" s="38" t="n">
        <f aca="false">IF(H80="",R80,R80*(1+H80))</f>
        <v>100</v>
      </c>
      <c r="T80" s="38" t="n">
        <f aca="false">IF(I80="",S80,S80*(1+I80))</f>
        <v>100</v>
      </c>
      <c r="U80" s="38" t="n">
        <f aca="false">IF(J80="",T80,T80*(1+J80))</f>
        <v>100</v>
      </c>
      <c r="V80" s="38" t="n">
        <f aca="false">IF(K80="",U80,U80*(1+K80))</f>
        <v>100</v>
      </c>
    </row>
    <row r="81" customFormat="false" ht="15" hidden="false" customHeight="false" outlineLevel="0" collapsed="false">
      <c r="D81" s="39" t="s">
        <v>105</v>
      </c>
      <c r="E81" s="13" t="str">
        <f aca="false">IF(SUMIFS($C$244:$C$363,$A$244:$A$363,$A$80,$B$244:$B$363,E$65)=0,"",SUMIFS($M$244:$M$363,$A$244:$A$363,$A$80,$B$244:$B$363,E$65))</f>
        <v/>
      </c>
      <c r="F81" s="13" t="str">
        <f aca="false">IF(SUMIFS($C$244:$C$363,$A$244:$A$363,$A$80,$B$244:$B$363,F$65)=0,"",SUMIFS($M$244:$M$363,$A$244:$A$363,$A$80,$B$244:$B$363,F$65))</f>
        <v/>
      </c>
      <c r="G81" s="13" t="str">
        <f aca="false">IF(SUMIFS($C$244:$C$363,$A$244:$A$363,$A$80,$B$244:$B$363,G$65)=0,"",SUMIFS($M$244:$M$363,$A$244:$A$363,$A$80,$B$244:$B$363,G$65))</f>
        <v/>
      </c>
      <c r="H81" s="13" t="str">
        <f aca="false">IF(SUMIFS($C$244:$C$363,$A$244:$A$363,$A$80,$B$244:$B$363,H$65)=0,"",SUMIFS($M$244:$M$363,$A$244:$A$363,$A$80,$B$244:$B$363,H$65))</f>
        <v/>
      </c>
      <c r="I81" s="13" t="str">
        <f aca="false">IF(SUMIFS($C$244:$C$363,$A$244:$A$363,$A$80,$B$244:$B$363,I$65)=0,"",SUMIFS($M$244:$M$363,$A$244:$A$363,$A$80,$B$244:$B$363,I$65))</f>
        <v/>
      </c>
      <c r="J81" s="13" t="str">
        <f aca="false">IF(SUMIFS($C$244:$C$363,$A$244:$A$363,$A$80,$B$244:$B$363,J$65)=0,"",SUMIFS($M$244:$M$363,$A$244:$A$363,$A$80,$B$244:$B$363,J$65))</f>
        <v/>
      </c>
      <c r="K81" s="13" t="str">
        <f aca="false">IF(SUMIFS($C$244:$C$363,$A$244:$A$363,$A$80,$B$244:$B$363,K$65)=0,"",SUMIFS($M$244:$M$363,$A$244:$A$363,$A$80,$B$244:$B$363,K$65))</f>
        <v/>
      </c>
      <c r="L81" s="13" t="n">
        <f aca="false">V81/O81-1</f>
        <v>0</v>
      </c>
      <c r="M81" s="13" t="str">
        <f aca="false">IF($B80=0,"",(V81/O81)^(1/$B80)-1)</f>
        <v/>
      </c>
      <c r="O81" s="40" t="n">
        <v>100</v>
      </c>
      <c r="P81" s="38" t="n">
        <f aca="false">IF(E81="",O81,O81*(1+E81))</f>
        <v>100</v>
      </c>
      <c r="Q81" s="38" t="n">
        <f aca="false">IF(F81="",P81,P81*(1+F81))</f>
        <v>100</v>
      </c>
      <c r="R81" s="38" t="n">
        <f aca="false">IF(G81="",Q81,Q81*(1+G81))</f>
        <v>100</v>
      </c>
      <c r="S81" s="38" t="n">
        <f aca="false">IF(H81="",R81,R81*(1+H81))</f>
        <v>100</v>
      </c>
      <c r="T81" s="38" t="n">
        <f aca="false">IF(I81="",S81,S81*(1+I81))</f>
        <v>100</v>
      </c>
      <c r="U81" s="38" t="n">
        <f aca="false">IF(J81="",T81,T81*(1+J81))</f>
        <v>100</v>
      </c>
      <c r="V81" s="38" t="n">
        <f aca="false">IF(K81="",U81,U81*(1+K81))</f>
        <v>100</v>
      </c>
    </row>
    <row r="82" customFormat="false" ht="15" hidden="false" customHeight="false" outlineLevel="0" collapsed="false">
      <c r="A82" s="41"/>
      <c r="B82" s="41"/>
      <c r="C82" s="41"/>
      <c r="D82" s="42" t="s">
        <v>106</v>
      </c>
      <c r="E82" s="44" t="str">
        <f aca="false">IF(SUMIFS($C$244:$C$363,$A$244:$A$363,$A$80,$B$244:$B$363,E$65)=0,"",SUMIFS($L$244:$L$363,$A$244:$A$363,$A$80,$B$244:$B$363,E$65))</f>
        <v/>
      </c>
      <c r="F82" s="44" t="str">
        <f aca="false">IF(SUMIFS($C$244:$C$363,$A$244:$A$363,$A$80,$B$244:$B$363,F$65)=0,"",SUMIFS($L$244:$L$363,$A$244:$A$363,$A$80,$B$244:$B$363,F$65))</f>
        <v/>
      </c>
      <c r="G82" s="44" t="str">
        <f aca="false">IF(SUMIFS($C$244:$C$363,$A$244:$A$363,$A$80,$B$244:$B$363,G$65)=0,"",SUMIFS($L$244:$L$363,$A$244:$A$363,$A$80,$B$244:$B$363,G$65))</f>
        <v/>
      </c>
      <c r="H82" s="44" t="str">
        <f aca="false">IF(SUMIFS($C$244:$C$363,$A$244:$A$363,$A$80,$B$244:$B$363,H$65)=0,"",SUMIFS($L$244:$L$363,$A$244:$A$363,$A$80,$B$244:$B$363,H$65))</f>
        <v/>
      </c>
      <c r="I82" s="44" t="str">
        <f aca="false">IF(SUMIFS($C$244:$C$363,$A$244:$A$363,$A$80,$B$244:$B$363,I$65)=0,"",SUMIFS($L$244:$L$363,$A$244:$A$363,$A$80,$B$244:$B$363,I$65))</f>
        <v/>
      </c>
      <c r="J82" s="44" t="str">
        <f aca="false">IF(SUMIFS($C$244:$C$363,$A$244:$A$363,$A$80,$B$244:$B$363,J$65)=0,"",SUMIFS($L$244:$L$363,$A$244:$A$363,$A$80,$B$244:$B$363,J$65))</f>
        <v/>
      </c>
      <c r="K82" s="44" t="str">
        <f aca="false">IF(SUMIFS($C$244:$C$363,$A$244:$A$363,$A$80,$B$244:$B$363,K$65)=0,"",SUMIFS($L$244:$L$363,$A$244:$A$363,$A$80,$B$244:$B$363,K$65))</f>
        <v/>
      </c>
      <c r="L82" s="44" t="n">
        <f aca="false">V82/O82-1</f>
        <v>0</v>
      </c>
      <c r="M82" s="44" t="str">
        <f aca="false">IF($B80=0,"",(V82/O82)^(1/$B80)-1)</f>
        <v/>
      </c>
      <c r="N82" s="41"/>
      <c r="O82" s="45" t="n">
        <v>100</v>
      </c>
      <c r="P82" s="43" t="n">
        <f aca="false">IF(E82="",O82,O82*(1+E82))</f>
        <v>100</v>
      </c>
      <c r="Q82" s="43" t="n">
        <f aca="false">IF(F82="",P82,P82*(1+F82))</f>
        <v>100</v>
      </c>
      <c r="R82" s="43" t="n">
        <f aca="false">IF(G82="",Q82,Q82*(1+G82))</f>
        <v>100</v>
      </c>
      <c r="S82" s="43" t="n">
        <f aca="false">IF(H82="",R82,R82*(1+H82))</f>
        <v>100</v>
      </c>
      <c r="T82" s="43" t="n">
        <f aca="false">IF(I82="",S82,S82*(1+I82))</f>
        <v>100</v>
      </c>
      <c r="U82" s="43" t="n">
        <f aca="false">IF(J82="",T82,T82*(1+J82))</f>
        <v>100</v>
      </c>
      <c r="V82" s="43" t="n">
        <f aca="false">IF(K82="",U82,U82*(1+K82))</f>
        <v>100</v>
      </c>
    </row>
    <row r="83" customFormat="false" ht="15" hidden="false" customHeight="false" outlineLevel="0" collapsed="false">
      <c r="A83" s="4" t="s">
        <v>23</v>
      </c>
      <c r="B83" s="8" t="n">
        <f aca="false">COUNT(E83:K83)</f>
        <v>0</v>
      </c>
      <c r="C83" s="38" t="n">
        <f aca="false">SUMIFS($E$244:$E$363,$A$244:$A$363,$A83,$B$244:$B$363,K$65)/1000</f>
        <v>0</v>
      </c>
      <c r="D83" s="39" t="s">
        <v>104</v>
      </c>
      <c r="E83" s="13" t="str">
        <f aca="false">IF(SUMIFS($C$244:$C$363,$A$244:$A$363,$A$83,$B$244:$B$363,E$65)=0,"",SUMIFS($N$244:$N$363,$A$244:$A$363,$A$83,$B$244:$B$363,E$65))</f>
        <v/>
      </c>
      <c r="F83" s="13" t="str">
        <f aca="false">IF(SUMIFS($C$244:$C$363,$A$244:$A$363,$A$83,$B$244:$B$363,F$65)=0,"",SUMIFS($N$244:$N$363,$A$244:$A$363,$A$83,$B$244:$B$363,F$65))</f>
        <v/>
      </c>
      <c r="G83" s="13" t="str">
        <f aca="false">IF(SUMIFS($C$244:$C$363,$A$244:$A$363,$A$83,$B$244:$B$363,G$65)=0,"",SUMIFS($N$244:$N$363,$A$244:$A$363,$A$83,$B$244:$B$363,G$65))</f>
        <v/>
      </c>
      <c r="H83" s="13" t="str">
        <f aca="false">IF(SUMIFS($C$244:$C$363,$A$244:$A$363,$A$83,$B$244:$B$363,H$65)=0,"",SUMIFS($N$244:$N$363,$A$244:$A$363,$A$83,$B$244:$B$363,H$65))</f>
        <v/>
      </c>
      <c r="I83" s="13" t="str">
        <f aca="false">IF(SUMIFS($C$244:$C$363,$A$244:$A$363,$A$83,$B$244:$B$363,I$65)=0,"",SUMIFS($N$244:$N$363,$A$244:$A$363,$A$83,$B$244:$B$363,I$65))</f>
        <v/>
      </c>
      <c r="J83" s="13" t="str">
        <f aca="false">IF(SUMIFS($C$244:$C$363,$A$244:$A$363,$A$83,$B$244:$B$363,J$65)=0,"",SUMIFS($N$244:$N$363,$A$244:$A$363,$A$83,$B$244:$B$363,J$65))</f>
        <v/>
      </c>
      <c r="K83" s="13" t="str">
        <f aca="false">IF(SUMIFS($C$244:$C$363,$A$244:$A$363,$A$83,$B$244:$B$363,K$65)=0,"",SUMIFS($N$244:$N$363,$A$244:$A$363,$A$83,$B$244:$B$363,K$65))</f>
        <v/>
      </c>
      <c r="L83" s="13" t="n">
        <f aca="false">V83/O83-1</f>
        <v>0</v>
      </c>
      <c r="M83" s="13" t="str">
        <f aca="false">IF($B83=0,"",(V83/O83)^(1/$B83)-1)</f>
        <v/>
      </c>
      <c r="O83" s="40" t="n">
        <v>100</v>
      </c>
      <c r="P83" s="38" t="n">
        <f aca="false">IF(E83="",O83,O83*(1+E83))</f>
        <v>100</v>
      </c>
      <c r="Q83" s="38" t="n">
        <f aca="false">IF(F83="",P83,P83*(1+F83))</f>
        <v>100</v>
      </c>
      <c r="R83" s="38" t="n">
        <f aca="false">IF(G83="",Q83,Q83*(1+G83))</f>
        <v>100</v>
      </c>
      <c r="S83" s="38" t="n">
        <f aca="false">IF(H83="",R83,R83*(1+H83))</f>
        <v>100</v>
      </c>
      <c r="T83" s="38" t="n">
        <f aca="false">IF(I83="",S83,S83*(1+I83))</f>
        <v>100</v>
      </c>
      <c r="U83" s="38" t="n">
        <f aca="false">IF(J83="",T83,T83*(1+J83))</f>
        <v>100</v>
      </c>
      <c r="V83" s="38" t="n">
        <f aca="false">IF(K83="",U83,U83*(1+K83))</f>
        <v>100</v>
      </c>
    </row>
    <row r="84" customFormat="false" ht="15" hidden="false" customHeight="false" outlineLevel="0" collapsed="false">
      <c r="D84" s="39" t="s">
        <v>105</v>
      </c>
      <c r="E84" s="13" t="str">
        <f aca="false">IF(SUMIFS($C$244:$C$363,$A$244:$A$363,$A$83,$B$244:$B$363,E$65)=0,"",SUMIFS($M$244:$M$363,$A$244:$A$363,$A$83,$B$244:$B$363,E$65))</f>
        <v/>
      </c>
      <c r="F84" s="13" t="str">
        <f aca="false">IF(SUMIFS($C$244:$C$363,$A$244:$A$363,$A$83,$B$244:$B$363,F$65)=0,"",SUMIFS($M$244:$M$363,$A$244:$A$363,$A$83,$B$244:$B$363,F$65))</f>
        <v/>
      </c>
      <c r="G84" s="13" t="str">
        <f aca="false">IF(SUMIFS($C$244:$C$363,$A$244:$A$363,$A$83,$B$244:$B$363,G$65)=0,"",SUMIFS($M$244:$M$363,$A$244:$A$363,$A$83,$B$244:$B$363,G$65))</f>
        <v/>
      </c>
      <c r="H84" s="13" t="str">
        <f aca="false">IF(SUMIFS($C$244:$C$363,$A$244:$A$363,$A$83,$B$244:$B$363,H$65)=0,"",SUMIFS($M$244:$M$363,$A$244:$A$363,$A$83,$B$244:$B$363,H$65))</f>
        <v/>
      </c>
      <c r="I84" s="13" t="str">
        <f aca="false">IF(SUMIFS($C$244:$C$363,$A$244:$A$363,$A$83,$B$244:$B$363,I$65)=0,"",SUMIFS($M$244:$M$363,$A$244:$A$363,$A$83,$B$244:$B$363,I$65))</f>
        <v/>
      </c>
      <c r="J84" s="13" t="str">
        <f aca="false">IF(SUMIFS($C$244:$C$363,$A$244:$A$363,$A$83,$B$244:$B$363,J$65)=0,"",SUMIFS($M$244:$M$363,$A$244:$A$363,$A$83,$B$244:$B$363,J$65))</f>
        <v/>
      </c>
      <c r="K84" s="13" t="str">
        <f aca="false">IF(SUMIFS($C$244:$C$363,$A$244:$A$363,$A$83,$B$244:$B$363,K$65)=0,"",SUMIFS($M$244:$M$363,$A$244:$A$363,$A$83,$B$244:$B$363,K$65))</f>
        <v/>
      </c>
      <c r="L84" s="13" t="n">
        <f aca="false">V84/O84-1</f>
        <v>0</v>
      </c>
      <c r="M84" s="13" t="str">
        <f aca="false">IF($B83=0,"",(V84/O84)^(1/$B83)-1)</f>
        <v/>
      </c>
      <c r="O84" s="40" t="n">
        <v>100</v>
      </c>
      <c r="P84" s="38" t="n">
        <f aca="false">IF(E84="",O84,O84*(1+E84))</f>
        <v>100</v>
      </c>
      <c r="Q84" s="38" t="n">
        <f aca="false">IF(F84="",P84,P84*(1+F84))</f>
        <v>100</v>
      </c>
      <c r="R84" s="38" t="n">
        <f aca="false">IF(G84="",Q84,Q84*(1+G84))</f>
        <v>100</v>
      </c>
      <c r="S84" s="38" t="n">
        <f aca="false">IF(H84="",R84,R84*(1+H84))</f>
        <v>100</v>
      </c>
      <c r="T84" s="38" t="n">
        <f aca="false">IF(I84="",S84,S84*(1+I84))</f>
        <v>100</v>
      </c>
      <c r="U84" s="38" t="n">
        <f aca="false">IF(J84="",T84,T84*(1+J84))</f>
        <v>100</v>
      </c>
      <c r="V84" s="38" t="n">
        <f aca="false">IF(K84="",U84,U84*(1+K84))</f>
        <v>100</v>
      </c>
    </row>
    <row r="85" customFormat="false" ht="15" hidden="false" customHeight="false" outlineLevel="0" collapsed="false">
      <c r="A85" s="41"/>
      <c r="B85" s="41"/>
      <c r="C85" s="41"/>
      <c r="D85" s="42" t="s">
        <v>106</v>
      </c>
      <c r="E85" s="44" t="str">
        <f aca="false">IF(SUMIFS($C$244:$C$363,$A$244:$A$363,$A$83,$B$244:$B$363,E$65)=0,"",SUMIFS($L$244:$L$363,$A$244:$A$363,$A$83,$B$244:$B$363,E$65))</f>
        <v/>
      </c>
      <c r="F85" s="44" t="str">
        <f aca="false">IF(SUMIFS($C$244:$C$363,$A$244:$A$363,$A$83,$B$244:$B$363,F$65)=0,"",SUMIFS($L$244:$L$363,$A$244:$A$363,$A$83,$B$244:$B$363,F$65))</f>
        <v/>
      </c>
      <c r="G85" s="44" t="str">
        <f aca="false">IF(SUMIFS($C$244:$C$363,$A$244:$A$363,$A$83,$B$244:$B$363,G$65)=0,"",SUMIFS($L$244:$L$363,$A$244:$A$363,$A$83,$B$244:$B$363,G$65))</f>
        <v/>
      </c>
      <c r="H85" s="44" t="str">
        <f aca="false">IF(SUMIFS($C$244:$C$363,$A$244:$A$363,$A$83,$B$244:$B$363,H$65)=0,"",SUMIFS($L$244:$L$363,$A$244:$A$363,$A$83,$B$244:$B$363,H$65))</f>
        <v/>
      </c>
      <c r="I85" s="44" t="str">
        <f aca="false">IF(SUMIFS($C$244:$C$363,$A$244:$A$363,$A$83,$B$244:$B$363,I$65)=0,"",SUMIFS($L$244:$L$363,$A$244:$A$363,$A$83,$B$244:$B$363,I$65))</f>
        <v/>
      </c>
      <c r="J85" s="44" t="str">
        <f aca="false">IF(SUMIFS($C$244:$C$363,$A$244:$A$363,$A$83,$B$244:$B$363,J$65)=0,"",SUMIFS($L$244:$L$363,$A$244:$A$363,$A$83,$B$244:$B$363,J$65))</f>
        <v/>
      </c>
      <c r="K85" s="44" t="str">
        <f aca="false">IF(SUMIFS($C$244:$C$363,$A$244:$A$363,$A$83,$B$244:$B$363,K$65)=0,"",SUMIFS($L$244:$L$363,$A$244:$A$363,$A$83,$B$244:$B$363,K$65))</f>
        <v/>
      </c>
      <c r="L85" s="44" t="n">
        <f aca="false">V85/O85-1</f>
        <v>0</v>
      </c>
      <c r="M85" s="44" t="str">
        <f aca="false">IF($B83=0,"",(V85/O85)^(1/$B83)-1)</f>
        <v/>
      </c>
      <c r="N85" s="41"/>
      <c r="O85" s="45" t="n">
        <v>100</v>
      </c>
      <c r="P85" s="43" t="n">
        <f aca="false">IF(E85="",O85,O85*(1+E85))</f>
        <v>100</v>
      </c>
      <c r="Q85" s="43" t="n">
        <f aca="false">IF(F85="",P85,P85*(1+F85))</f>
        <v>100</v>
      </c>
      <c r="R85" s="43" t="n">
        <f aca="false">IF(G85="",Q85,Q85*(1+G85))</f>
        <v>100</v>
      </c>
      <c r="S85" s="43" t="n">
        <f aca="false">IF(H85="",R85,R85*(1+H85))</f>
        <v>100</v>
      </c>
      <c r="T85" s="43" t="n">
        <f aca="false">IF(I85="",S85,S85*(1+I85))</f>
        <v>100</v>
      </c>
      <c r="U85" s="43" t="n">
        <f aca="false">IF(J85="",T85,T85*(1+J85))</f>
        <v>100</v>
      </c>
      <c r="V85" s="43" t="n">
        <f aca="false">IF(K85="",U85,U85*(1+K85))</f>
        <v>100</v>
      </c>
    </row>
    <row r="86" customFormat="false" ht="15" hidden="false" customHeight="false" outlineLevel="0" collapsed="false">
      <c r="A86" s="4" t="s">
        <v>24</v>
      </c>
      <c r="B86" s="8" t="n">
        <f aca="false">COUNT(E86:K86)</f>
        <v>0</v>
      </c>
      <c r="C86" s="38" t="n">
        <f aca="false">SUMIFS($E$244:$E$363,$A$244:$A$363,$A86,$B$244:$B$363,K$65)/1000</f>
        <v>0</v>
      </c>
      <c r="D86" s="39" t="s">
        <v>104</v>
      </c>
      <c r="E86" s="13" t="str">
        <f aca="false">IF(SUMIFS($C$244:$C$363,$A$244:$A$363,$A$86,$B$244:$B$363,E$65)=0,"",SUMIFS($N$244:$N$363,$A$244:$A$363,$A$86,$B$244:$B$363,E$65))</f>
        <v/>
      </c>
      <c r="F86" s="13" t="str">
        <f aca="false">IF(SUMIFS($C$244:$C$363,$A$244:$A$363,$A$86,$B$244:$B$363,F$65)=0,"",SUMIFS($N$244:$N$363,$A$244:$A$363,$A$86,$B$244:$B$363,F$65))</f>
        <v/>
      </c>
      <c r="G86" s="13" t="str">
        <f aca="false">IF(SUMIFS($C$244:$C$363,$A$244:$A$363,$A$86,$B$244:$B$363,G$65)=0,"",SUMIFS($N$244:$N$363,$A$244:$A$363,$A$86,$B$244:$B$363,G$65))</f>
        <v/>
      </c>
      <c r="H86" s="13" t="str">
        <f aca="false">IF(SUMIFS($C$244:$C$363,$A$244:$A$363,$A$86,$B$244:$B$363,H$65)=0,"",SUMIFS($N$244:$N$363,$A$244:$A$363,$A$86,$B$244:$B$363,H$65))</f>
        <v/>
      </c>
      <c r="I86" s="13" t="str">
        <f aca="false">IF(SUMIFS($C$244:$C$363,$A$244:$A$363,$A$86,$B$244:$B$363,I$65)=0,"",SUMIFS($N$244:$N$363,$A$244:$A$363,$A$86,$B$244:$B$363,I$65))</f>
        <v/>
      </c>
      <c r="J86" s="13" t="str">
        <f aca="false">IF(SUMIFS($C$244:$C$363,$A$244:$A$363,$A$86,$B$244:$B$363,J$65)=0,"",SUMIFS($N$244:$N$363,$A$244:$A$363,$A$86,$B$244:$B$363,J$65))</f>
        <v/>
      </c>
      <c r="K86" s="13" t="str">
        <f aca="false">IF(SUMIFS($C$244:$C$363,$A$244:$A$363,$A$86,$B$244:$B$363,K$65)=0,"",SUMIFS($N$244:$N$363,$A$244:$A$363,$A$86,$B$244:$B$363,K$65))</f>
        <v/>
      </c>
      <c r="L86" s="13" t="n">
        <f aca="false">V86/O86-1</f>
        <v>0</v>
      </c>
      <c r="M86" s="13" t="str">
        <f aca="false">IF($B86=0,"",(V86/O86)^(1/$B86)-1)</f>
        <v/>
      </c>
      <c r="O86" s="40" t="n">
        <v>100</v>
      </c>
      <c r="P86" s="38" t="n">
        <f aca="false">IF(E86="",O86,O86*(1+E86))</f>
        <v>100</v>
      </c>
      <c r="Q86" s="38" t="n">
        <f aca="false">IF(F86="",P86,P86*(1+F86))</f>
        <v>100</v>
      </c>
      <c r="R86" s="38" t="n">
        <f aca="false">IF(G86="",Q86,Q86*(1+G86))</f>
        <v>100</v>
      </c>
      <c r="S86" s="38" t="n">
        <f aca="false">IF(H86="",R86,R86*(1+H86))</f>
        <v>100</v>
      </c>
      <c r="T86" s="38" t="n">
        <f aca="false">IF(I86="",S86,S86*(1+I86))</f>
        <v>100</v>
      </c>
      <c r="U86" s="38" t="n">
        <f aca="false">IF(J86="",T86,T86*(1+J86))</f>
        <v>100</v>
      </c>
      <c r="V86" s="38" t="n">
        <f aca="false">IF(K86="",U86,U86*(1+K86))</f>
        <v>100</v>
      </c>
    </row>
    <row r="87" customFormat="false" ht="15" hidden="false" customHeight="false" outlineLevel="0" collapsed="false">
      <c r="D87" s="39" t="s">
        <v>105</v>
      </c>
      <c r="E87" s="13" t="str">
        <f aca="false">IF(SUMIFS($C$244:$C$363,$A$244:$A$363,$A$86,$B$244:$B$363,E$65)=0,"",SUMIFS($M$244:$M$363,$A$244:$A$363,$A$86,$B$244:$B$363,E$65))</f>
        <v/>
      </c>
      <c r="F87" s="13" t="str">
        <f aca="false">IF(SUMIFS($C$244:$C$363,$A$244:$A$363,$A$86,$B$244:$B$363,F$65)=0,"",SUMIFS($M$244:$M$363,$A$244:$A$363,$A$86,$B$244:$B$363,F$65))</f>
        <v/>
      </c>
      <c r="G87" s="13" t="str">
        <f aca="false">IF(SUMIFS($C$244:$C$363,$A$244:$A$363,$A$86,$B$244:$B$363,G$65)=0,"",SUMIFS($M$244:$M$363,$A$244:$A$363,$A$86,$B$244:$B$363,G$65))</f>
        <v/>
      </c>
      <c r="H87" s="13" t="str">
        <f aca="false">IF(SUMIFS($C$244:$C$363,$A$244:$A$363,$A$86,$B$244:$B$363,H$65)=0,"",SUMIFS($M$244:$M$363,$A$244:$A$363,$A$86,$B$244:$B$363,H$65))</f>
        <v/>
      </c>
      <c r="I87" s="13" t="str">
        <f aca="false">IF(SUMIFS($C$244:$C$363,$A$244:$A$363,$A$86,$B$244:$B$363,I$65)=0,"",SUMIFS($M$244:$M$363,$A$244:$A$363,$A$86,$B$244:$B$363,I$65))</f>
        <v/>
      </c>
      <c r="J87" s="13" t="str">
        <f aca="false">IF(SUMIFS($C$244:$C$363,$A$244:$A$363,$A$86,$B$244:$B$363,J$65)=0,"",SUMIFS($M$244:$M$363,$A$244:$A$363,$A$86,$B$244:$B$363,J$65))</f>
        <v/>
      </c>
      <c r="K87" s="13" t="str">
        <f aca="false">IF(SUMIFS($C$244:$C$363,$A$244:$A$363,$A$86,$B$244:$B$363,K$65)=0,"",SUMIFS($M$244:$M$363,$A$244:$A$363,$A$86,$B$244:$B$363,K$65))</f>
        <v/>
      </c>
      <c r="L87" s="13" t="n">
        <f aca="false">V87/O87-1</f>
        <v>0</v>
      </c>
      <c r="M87" s="13" t="str">
        <f aca="false">IF($B86=0,"",(V87/O87)^(1/$B86)-1)</f>
        <v/>
      </c>
      <c r="O87" s="40" t="n">
        <v>100</v>
      </c>
      <c r="P87" s="38" t="n">
        <f aca="false">IF(E87="",O87,O87*(1+E87))</f>
        <v>100</v>
      </c>
      <c r="Q87" s="38" t="n">
        <f aca="false">IF(F87="",P87,P87*(1+F87))</f>
        <v>100</v>
      </c>
      <c r="R87" s="38" t="n">
        <f aca="false">IF(G87="",Q87,Q87*(1+G87))</f>
        <v>100</v>
      </c>
      <c r="S87" s="38" t="n">
        <f aca="false">IF(H87="",R87,R87*(1+H87))</f>
        <v>100</v>
      </c>
      <c r="T87" s="38" t="n">
        <f aca="false">IF(I87="",S87,S87*(1+I87))</f>
        <v>100</v>
      </c>
      <c r="U87" s="38" t="n">
        <f aca="false">IF(J87="",T87,T87*(1+J87))</f>
        <v>100</v>
      </c>
      <c r="V87" s="38" t="n">
        <f aca="false">IF(K87="",U87,U87*(1+K87))</f>
        <v>100</v>
      </c>
    </row>
    <row r="88" customFormat="false" ht="15" hidden="false" customHeight="false" outlineLevel="0" collapsed="false">
      <c r="A88" s="41"/>
      <c r="B88" s="41"/>
      <c r="C88" s="41"/>
      <c r="D88" s="42" t="s">
        <v>106</v>
      </c>
      <c r="E88" s="44" t="str">
        <f aca="false">IF(SUMIFS($C$244:$C$363,$A$244:$A$363,$A$86,$B$244:$B$363,E$65)=0,"",SUMIFS($L$244:$L$363,$A$244:$A$363,$A$86,$B$244:$B$363,E$65))</f>
        <v/>
      </c>
      <c r="F88" s="44" t="str">
        <f aca="false">IF(SUMIFS($C$244:$C$363,$A$244:$A$363,$A$86,$B$244:$B$363,F$65)=0,"",SUMIFS($L$244:$L$363,$A$244:$A$363,$A$86,$B$244:$B$363,F$65))</f>
        <v/>
      </c>
      <c r="G88" s="44" t="str">
        <f aca="false">IF(SUMIFS($C$244:$C$363,$A$244:$A$363,$A$86,$B$244:$B$363,G$65)=0,"",SUMIFS($L$244:$L$363,$A$244:$A$363,$A$86,$B$244:$B$363,G$65))</f>
        <v/>
      </c>
      <c r="H88" s="44" t="str">
        <f aca="false">IF(SUMIFS($C$244:$C$363,$A$244:$A$363,$A$86,$B$244:$B$363,H$65)=0,"",SUMIFS($L$244:$L$363,$A$244:$A$363,$A$86,$B$244:$B$363,H$65))</f>
        <v/>
      </c>
      <c r="I88" s="44" t="str">
        <f aca="false">IF(SUMIFS($C$244:$C$363,$A$244:$A$363,$A$86,$B$244:$B$363,I$65)=0,"",SUMIFS($L$244:$L$363,$A$244:$A$363,$A$86,$B$244:$B$363,I$65))</f>
        <v/>
      </c>
      <c r="J88" s="44" t="str">
        <f aca="false">IF(SUMIFS($C$244:$C$363,$A$244:$A$363,$A$86,$B$244:$B$363,J$65)=0,"",SUMIFS($L$244:$L$363,$A$244:$A$363,$A$86,$B$244:$B$363,J$65))</f>
        <v/>
      </c>
      <c r="K88" s="44" t="str">
        <f aca="false">IF(SUMIFS($C$244:$C$363,$A$244:$A$363,$A$86,$B$244:$B$363,K$65)=0,"",SUMIFS($L$244:$L$363,$A$244:$A$363,$A$86,$B$244:$B$363,K$65))</f>
        <v/>
      </c>
      <c r="L88" s="44" t="n">
        <f aca="false">V88/O88-1</f>
        <v>0</v>
      </c>
      <c r="M88" s="44" t="str">
        <f aca="false">IF($B86=0,"",(V88/O88)^(1/$B86)-1)</f>
        <v/>
      </c>
      <c r="N88" s="41"/>
      <c r="O88" s="45" t="n">
        <v>100</v>
      </c>
      <c r="P88" s="43" t="n">
        <f aca="false">IF(E88="",O88,O88*(1+E88))</f>
        <v>100</v>
      </c>
      <c r="Q88" s="43" t="n">
        <f aca="false">IF(F88="",P88,P88*(1+F88))</f>
        <v>100</v>
      </c>
      <c r="R88" s="43" t="n">
        <f aca="false">IF(G88="",Q88,Q88*(1+G88))</f>
        <v>100</v>
      </c>
      <c r="S88" s="43" t="n">
        <f aca="false">IF(H88="",R88,R88*(1+H88))</f>
        <v>100</v>
      </c>
      <c r="T88" s="43" t="n">
        <f aca="false">IF(I88="",S88,S88*(1+I88))</f>
        <v>100</v>
      </c>
      <c r="U88" s="43" t="n">
        <f aca="false">IF(J88="",T88,T88*(1+J88))</f>
        <v>100</v>
      </c>
      <c r="V88" s="43" t="n">
        <f aca="false">IF(K88="",U88,U88*(1+K88))</f>
        <v>100</v>
      </c>
    </row>
    <row r="89" customFormat="false" ht="15" hidden="false" customHeight="false" outlineLevel="0" collapsed="false">
      <c r="A89" s="4" t="s">
        <v>25</v>
      </c>
      <c r="B89" s="8" t="n">
        <f aca="false">COUNT(E89:K89)</f>
        <v>0</v>
      </c>
      <c r="C89" s="38" t="n">
        <f aca="false">SUMIFS($E$244:$E$363,$A$244:$A$363,$A89,$B$244:$B$363,K$65)/1000</f>
        <v>0</v>
      </c>
      <c r="D89" s="39" t="s">
        <v>104</v>
      </c>
      <c r="E89" s="13" t="str">
        <f aca="false">IF(SUMIFS($C$244:$C$363,$A$244:$A$363,$A$89,$B$244:$B$363,E$65)=0,"",SUMIFS($N$244:$N$363,$A$244:$A$363,$A$89,$B$244:$B$363,E$65))</f>
        <v/>
      </c>
      <c r="F89" s="13" t="str">
        <f aca="false">IF(SUMIFS($C$244:$C$363,$A$244:$A$363,$A$89,$B$244:$B$363,F$65)=0,"",SUMIFS($N$244:$N$363,$A$244:$A$363,$A$89,$B$244:$B$363,F$65))</f>
        <v/>
      </c>
      <c r="G89" s="13" t="str">
        <f aca="false">IF(SUMIFS($C$244:$C$363,$A$244:$A$363,$A$89,$B$244:$B$363,G$65)=0,"",SUMIFS($N$244:$N$363,$A$244:$A$363,$A$89,$B$244:$B$363,G$65))</f>
        <v/>
      </c>
      <c r="H89" s="13" t="str">
        <f aca="false">IF(SUMIFS($C$244:$C$363,$A$244:$A$363,$A$89,$B$244:$B$363,H$65)=0,"",SUMIFS($N$244:$N$363,$A$244:$A$363,$A$89,$B$244:$B$363,H$65))</f>
        <v/>
      </c>
      <c r="I89" s="13" t="str">
        <f aca="false">IF(SUMIFS($C$244:$C$363,$A$244:$A$363,$A$89,$B$244:$B$363,I$65)=0,"",SUMIFS($N$244:$N$363,$A$244:$A$363,$A$89,$B$244:$B$363,I$65))</f>
        <v/>
      </c>
      <c r="J89" s="13" t="str">
        <f aca="false">IF(SUMIFS($C$244:$C$363,$A$244:$A$363,$A$89,$B$244:$B$363,J$65)=0,"",SUMIFS($N$244:$N$363,$A$244:$A$363,$A$89,$B$244:$B$363,J$65))</f>
        <v/>
      </c>
      <c r="K89" s="13" t="str">
        <f aca="false">IF(SUMIFS($C$244:$C$363,$A$244:$A$363,$A$89,$B$244:$B$363,K$65)=0,"",SUMIFS($N$244:$N$363,$A$244:$A$363,$A$89,$B$244:$B$363,K$65))</f>
        <v/>
      </c>
      <c r="L89" s="13" t="n">
        <f aca="false">V89/O89-1</f>
        <v>0</v>
      </c>
      <c r="M89" s="13" t="str">
        <f aca="false">IF($B89=0,"",(V89/O89)^(1/$B89)-1)</f>
        <v/>
      </c>
      <c r="O89" s="40" t="n">
        <v>100</v>
      </c>
      <c r="P89" s="38" t="n">
        <f aca="false">IF(E89="",O89,O89*(1+E89))</f>
        <v>100</v>
      </c>
      <c r="Q89" s="38" t="n">
        <f aca="false">IF(F89="",P89,P89*(1+F89))</f>
        <v>100</v>
      </c>
      <c r="R89" s="38" t="n">
        <f aca="false">IF(G89="",Q89,Q89*(1+G89))</f>
        <v>100</v>
      </c>
      <c r="S89" s="38" t="n">
        <f aca="false">IF(H89="",R89,R89*(1+H89))</f>
        <v>100</v>
      </c>
      <c r="T89" s="38" t="n">
        <f aca="false">IF(I89="",S89,S89*(1+I89))</f>
        <v>100</v>
      </c>
      <c r="U89" s="38" t="n">
        <f aca="false">IF(J89="",T89,T89*(1+J89))</f>
        <v>100</v>
      </c>
      <c r="V89" s="38" t="n">
        <f aca="false">IF(K89="",U89,U89*(1+K89))</f>
        <v>100</v>
      </c>
    </row>
    <row r="90" customFormat="false" ht="15" hidden="false" customHeight="false" outlineLevel="0" collapsed="false">
      <c r="D90" s="39" t="s">
        <v>105</v>
      </c>
      <c r="E90" s="13" t="str">
        <f aca="false">IF(SUMIFS($C$244:$C$363,$A$244:$A$363,$A$89,$B$244:$B$363,E$65)=0,"",SUMIFS($M$244:$M$363,$A$244:$A$363,$A$89,$B$244:$B$363,E$65))</f>
        <v/>
      </c>
      <c r="F90" s="13" t="str">
        <f aca="false">IF(SUMIFS($C$244:$C$363,$A$244:$A$363,$A$89,$B$244:$B$363,F$65)=0,"",SUMIFS($M$244:$M$363,$A$244:$A$363,$A$89,$B$244:$B$363,F$65))</f>
        <v/>
      </c>
      <c r="G90" s="13" t="str">
        <f aca="false">IF(SUMIFS($C$244:$C$363,$A$244:$A$363,$A$89,$B$244:$B$363,G$65)=0,"",SUMIFS($M$244:$M$363,$A$244:$A$363,$A$89,$B$244:$B$363,G$65))</f>
        <v/>
      </c>
      <c r="H90" s="13" t="str">
        <f aca="false">IF(SUMIFS($C$244:$C$363,$A$244:$A$363,$A$89,$B$244:$B$363,H$65)=0,"",SUMIFS($M$244:$M$363,$A$244:$A$363,$A$89,$B$244:$B$363,H$65))</f>
        <v/>
      </c>
      <c r="I90" s="13" t="str">
        <f aca="false">IF(SUMIFS($C$244:$C$363,$A$244:$A$363,$A$89,$B$244:$B$363,I$65)=0,"",SUMIFS($M$244:$M$363,$A$244:$A$363,$A$89,$B$244:$B$363,I$65))</f>
        <v/>
      </c>
      <c r="J90" s="13" t="str">
        <f aca="false">IF(SUMIFS($C$244:$C$363,$A$244:$A$363,$A$89,$B$244:$B$363,J$65)=0,"",SUMIFS($M$244:$M$363,$A$244:$A$363,$A$89,$B$244:$B$363,J$65))</f>
        <v/>
      </c>
      <c r="K90" s="13" t="str">
        <f aca="false">IF(SUMIFS($C$244:$C$363,$A$244:$A$363,$A$89,$B$244:$B$363,K$65)=0,"",SUMIFS($M$244:$M$363,$A$244:$A$363,$A$89,$B$244:$B$363,K$65))</f>
        <v/>
      </c>
      <c r="L90" s="13" t="n">
        <f aca="false">V90/O90-1</f>
        <v>0</v>
      </c>
      <c r="M90" s="13" t="str">
        <f aca="false">IF($B89=0,"",(V90/O90)^(1/$B89)-1)</f>
        <v/>
      </c>
      <c r="O90" s="40" t="n">
        <v>100</v>
      </c>
      <c r="P90" s="38" t="n">
        <f aca="false">IF(E90="",O90,O90*(1+E90))</f>
        <v>100</v>
      </c>
      <c r="Q90" s="38" t="n">
        <f aca="false">IF(F90="",P90,P90*(1+F90))</f>
        <v>100</v>
      </c>
      <c r="R90" s="38" t="n">
        <f aca="false">IF(G90="",Q90,Q90*(1+G90))</f>
        <v>100</v>
      </c>
      <c r="S90" s="38" t="n">
        <f aca="false">IF(H90="",R90,R90*(1+H90))</f>
        <v>100</v>
      </c>
      <c r="T90" s="38" t="n">
        <f aca="false">IF(I90="",S90,S90*(1+I90))</f>
        <v>100</v>
      </c>
      <c r="U90" s="38" t="n">
        <f aca="false">IF(J90="",T90,T90*(1+J90))</f>
        <v>100</v>
      </c>
      <c r="V90" s="38" t="n">
        <f aca="false">IF(K90="",U90,U90*(1+K90))</f>
        <v>100</v>
      </c>
    </row>
    <row r="91" customFormat="false" ht="15" hidden="false" customHeight="false" outlineLevel="0" collapsed="false">
      <c r="A91" s="41"/>
      <c r="B91" s="41"/>
      <c r="C91" s="41"/>
      <c r="D91" s="42" t="s">
        <v>106</v>
      </c>
      <c r="E91" s="44" t="str">
        <f aca="false">IF(SUMIFS($C$244:$C$363,$A$244:$A$363,$A$89,$B$244:$B$363,E$65)=0,"",SUMIFS($L$244:$L$363,$A$244:$A$363,$A$89,$B$244:$B$363,E$65))</f>
        <v/>
      </c>
      <c r="F91" s="44" t="str">
        <f aca="false">IF(SUMIFS($C$244:$C$363,$A$244:$A$363,$A$89,$B$244:$B$363,F$65)=0,"",SUMIFS($L$244:$L$363,$A$244:$A$363,$A$89,$B$244:$B$363,F$65))</f>
        <v/>
      </c>
      <c r="G91" s="44" t="str">
        <f aca="false">IF(SUMIFS($C$244:$C$363,$A$244:$A$363,$A$89,$B$244:$B$363,G$65)=0,"",SUMIFS($L$244:$L$363,$A$244:$A$363,$A$89,$B$244:$B$363,G$65))</f>
        <v/>
      </c>
      <c r="H91" s="44" t="str">
        <f aca="false">IF(SUMIFS($C$244:$C$363,$A$244:$A$363,$A$89,$B$244:$B$363,H$65)=0,"",SUMIFS($L$244:$L$363,$A$244:$A$363,$A$89,$B$244:$B$363,H$65))</f>
        <v/>
      </c>
      <c r="I91" s="44" t="str">
        <f aca="false">IF(SUMIFS($C$244:$C$363,$A$244:$A$363,$A$89,$B$244:$B$363,I$65)=0,"",SUMIFS($L$244:$L$363,$A$244:$A$363,$A$89,$B$244:$B$363,I$65))</f>
        <v/>
      </c>
      <c r="J91" s="44" t="str">
        <f aca="false">IF(SUMIFS($C$244:$C$363,$A$244:$A$363,$A$89,$B$244:$B$363,J$65)=0,"",SUMIFS($L$244:$L$363,$A$244:$A$363,$A$89,$B$244:$B$363,J$65))</f>
        <v/>
      </c>
      <c r="K91" s="44" t="str">
        <f aca="false">IF(SUMIFS($C$244:$C$363,$A$244:$A$363,$A$89,$B$244:$B$363,K$65)=0,"",SUMIFS($L$244:$L$363,$A$244:$A$363,$A$89,$B$244:$B$363,K$65))</f>
        <v/>
      </c>
      <c r="L91" s="44" t="n">
        <f aca="false">V91/O91-1</f>
        <v>0</v>
      </c>
      <c r="M91" s="44" t="str">
        <f aca="false">IF($B89=0,"",(V91/O91)^(1/$B89)-1)</f>
        <v/>
      </c>
      <c r="N91" s="41"/>
      <c r="O91" s="45" t="n">
        <v>100</v>
      </c>
      <c r="P91" s="43" t="n">
        <f aca="false">IF(E91="",O91,O91*(1+E91))</f>
        <v>100</v>
      </c>
      <c r="Q91" s="43" t="n">
        <f aca="false">IF(F91="",P91,P91*(1+F91))</f>
        <v>100</v>
      </c>
      <c r="R91" s="43" t="n">
        <f aca="false">IF(G91="",Q91,Q91*(1+G91))</f>
        <v>100</v>
      </c>
      <c r="S91" s="43" t="n">
        <f aca="false">IF(H91="",R91,R91*(1+H91))</f>
        <v>100</v>
      </c>
      <c r="T91" s="43" t="n">
        <f aca="false">IF(I91="",S91,S91*(1+I91))</f>
        <v>100</v>
      </c>
      <c r="U91" s="43" t="n">
        <f aca="false">IF(J91="",T91,T91*(1+J91))</f>
        <v>100</v>
      </c>
      <c r="V91" s="43" t="n">
        <f aca="false">IF(K91="",U91,U91*(1+K91))</f>
        <v>100</v>
      </c>
    </row>
    <row r="92" customFormat="false" ht="15" hidden="false" customHeight="false" outlineLevel="0" collapsed="false">
      <c r="A92" s="4" t="s">
        <v>26</v>
      </c>
      <c r="B92" s="8" t="n">
        <f aca="false">COUNT(E92:K92)</f>
        <v>0</v>
      </c>
      <c r="C92" s="38" t="n">
        <f aca="false">SUMIFS($E$244:$E$363,$A$244:$A$363,$A92,$B$244:$B$363,K$65)/1000</f>
        <v>0</v>
      </c>
      <c r="D92" s="39" t="s">
        <v>104</v>
      </c>
      <c r="E92" s="13" t="str">
        <f aca="false">IF(SUMIFS($C$244:$C$363,$A$244:$A$363,$A$92,$B$244:$B$363,E$65)=0,"",SUMIFS($N$244:$N$363,$A$244:$A$363,$A$92,$B$244:$B$363,E$65))</f>
        <v/>
      </c>
      <c r="F92" s="13" t="str">
        <f aca="false">IF(SUMIFS($C$244:$C$363,$A$244:$A$363,$A$92,$B$244:$B$363,F$65)=0,"",SUMIFS($N$244:$N$363,$A$244:$A$363,$A$92,$B$244:$B$363,F$65))</f>
        <v/>
      </c>
      <c r="G92" s="13" t="str">
        <f aca="false">IF(SUMIFS($C$244:$C$363,$A$244:$A$363,$A$92,$B$244:$B$363,G$65)=0,"",SUMIFS($N$244:$N$363,$A$244:$A$363,$A$92,$B$244:$B$363,G$65))</f>
        <v/>
      </c>
      <c r="H92" s="13" t="str">
        <f aca="false">IF(SUMIFS($C$244:$C$363,$A$244:$A$363,$A$92,$B$244:$B$363,H$65)=0,"",SUMIFS($N$244:$N$363,$A$244:$A$363,$A$92,$B$244:$B$363,H$65))</f>
        <v/>
      </c>
      <c r="I92" s="13" t="str">
        <f aca="false">IF(SUMIFS($C$244:$C$363,$A$244:$A$363,$A$92,$B$244:$B$363,I$65)=0,"",SUMIFS($N$244:$N$363,$A$244:$A$363,$A$92,$B$244:$B$363,I$65))</f>
        <v/>
      </c>
      <c r="J92" s="13" t="str">
        <f aca="false">IF(SUMIFS($C$244:$C$363,$A$244:$A$363,$A$92,$B$244:$B$363,J$65)=0,"",SUMIFS($N$244:$N$363,$A$244:$A$363,$A$92,$B$244:$B$363,J$65))</f>
        <v/>
      </c>
      <c r="K92" s="13" t="str">
        <f aca="false">IF(SUMIFS($C$244:$C$363,$A$244:$A$363,$A$92,$B$244:$B$363,K$65)=0,"",SUMIFS($N$244:$N$363,$A$244:$A$363,$A$92,$B$244:$B$363,K$65))</f>
        <v/>
      </c>
      <c r="L92" s="13" t="n">
        <f aca="false">V92/O92-1</f>
        <v>0</v>
      </c>
      <c r="M92" s="13" t="str">
        <f aca="false">IF($B92=0,"",(V92/O92)^(1/$B92)-1)</f>
        <v/>
      </c>
      <c r="O92" s="40" t="n">
        <v>100</v>
      </c>
      <c r="P92" s="38" t="n">
        <f aca="false">IF(E92="",O92,O92*(1+E92))</f>
        <v>100</v>
      </c>
      <c r="Q92" s="38" t="n">
        <f aca="false">IF(F92="",P92,P92*(1+F92))</f>
        <v>100</v>
      </c>
      <c r="R92" s="38" t="n">
        <f aca="false">IF(G92="",Q92,Q92*(1+G92))</f>
        <v>100</v>
      </c>
      <c r="S92" s="38" t="n">
        <f aca="false">IF(H92="",R92,R92*(1+H92))</f>
        <v>100</v>
      </c>
      <c r="T92" s="38" t="n">
        <f aca="false">IF(I92="",S92,S92*(1+I92))</f>
        <v>100</v>
      </c>
      <c r="U92" s="38" t="n">
        <f aca="false">IF(J92="",T92,T92*(1+J92))</f>
        <v>100</v>
      </c>
      <c r="V92" s="38" t="n">
        <f aca="false">IF(K92="",U92,U92*(1+K92))</f>
        <v>100</v>
      </c>
    </row>
    <row r="93" customFormat="false" ht="15" hidden="false" customHeight="false" outlineLevel="0" collapsed="false">
      <c r="D93" s="39" t="s">
        <v>105</v>
      </c>
      <c r="E93" s="13" t="str">
        <f aca="false">IF(SUMIFS($C$244:$C$363,$A$244:$A$363,$A$92,$B$244:$B$363,E$65)=0,"",SUMIFS($M$244:$M$363,$A$244:$A$363,$A$92,$B$244:$B$363,E$65))</f>
        <v/>
      </c>
      <c r="F93" s="13" t="str">
        <f aca="false">IF(SUMIFS($C$244:$C$363,$A$244:$A$363,$A$92,$B$244:$B$363,F$65)=0,"",SUMIFS($M$244:$M$363,$A$244:$A$363,$A$92,$B$244:$B$363,F$65))</f>
        <v/>
      </c>
      <c r="G93" s="13" t="str">
        <f aca="false">IF(SUMIFS($C$244:$C$363,$A$244:$A$363,$A$92,$B$244:$B$363,G$65)=0,"",SUMIFS($M$244:$M$363,$A$244:$A$363,$A$92,$B$244:$B$363,G$65))</f>
        <v/>
      </c>
      <c r="H93" s="13" t="str">
        <f aca="false">IF(SUMIFS($C$244:$C$363,$A$244:$A$363,$A$92,$B$244:$B$363,H$65)=0,"",SUMIFS($M$244:$M$363,$A$244:$A$363,$A$92,$B$244:$B$363,H$65))</f>
        <v/>
      </c>
      <c r="I93" s="13" t="str">
        <f aca="false">IF(SUMIFS($C$244:$C$363,$A$244:$A$363,$A$92,$B$244:$B$363,I$65)=0,"",SUMIFS($M$244:$M$363,$A$244:$A$363,$A$92,$B$244:$B$363,I$65))</f>
        <v/>
      </c>
      <c r="J93" s="13" t="str">
        <f aca="false">IF(SUMIFS($C$244:$C$363,$A$244:$A$363,$A$92,$B$244:$B$363,J$65)=0,"",SUMIFS($M$244:$M$363,$A$244:$A$363,$A$92,$B$244:$B$363,J$65))</f>
        <v/>
      </c>
      <c r="K93" s="13" t="str">
        <f aca="false">IF(SUMIFS($C$244:$C$363,$A$244:$A$363,$A$92,$B$244:$B$363,K$65)=0,"",SUMIFS($M$244:$M$363,$A$244:$A$363,$A$92,$B$244:$B$363,K$65))</f>
        <v/>
      </c>
      <c r="L93" s="13" t="n">
        <f aca="false">V93/O93-1</f>
        <v>0</v>
      </c>
      <c r="M93" s="13" t="str">
        <f aca="false">IF($B92=0,"",(V93/O93)^(1/$B92)-1)</f>
        <v/>
      </c>
      <c r="O93" s="40" t="n">
        <v>100</v>
      </c>
      <c r="P93" s="38" t="n">
        <f aca="false">IF(E93="",O93,O93*(1+E93))</f>
        <v>100</v>
      </c>
      <c r="Q93" s="38" t="n">
        <f aca="false">IF(F93="",P93,P93*(1+F93))</f>
        <v>100</v>
      </c>
      <c r="R93" s="38" t="n">
        <f aca="false">IF(G93="",Q93,Q93*(1+G93))</f>
        <v>100</v>
      </c>
      <c r="S93" s="38" t="n">
        <f aca="false">IF(H93="",R93,R93*(1+H93))</f>
        <v>100</v>
      </c>
      <c r="T93" s="38" t="n">
        <f aca="false">IF(I93="",S93,S93*(1+I93))</f>
        <v>100</v>
      </c>
      <c r="U93" s="38" t="n">
        <f aca="false">IF(J93="",T93,T93*(1+J93))</f>
        <v>100</v>
      </c>
      <c r="V93" s="38" t="n">
        <f aca="false">IF(K93="",U93,U93*(1+K93))</f>
        <v>100</v>
      </c>
    </row>
    <row r="94" customFormat="false" ht="15" hidden="false" customHeight="false" outlineLevel="0" collapsed="false">
      <c r="A94" s="41"/>
      <c r="B94" s="41"/>
      <c r="C94" s="41"/>
      <c r="D94" s="42" t="s">
        <v>106</v>
      </c>
      <c r="E94" s="44" t="str">
        <f aca="false">IF(SUMIFS($C$244:$C$363,$A$244:$A$363,$A$92,$B$244:$B$363,E$65)=0,"",SUMIFS($L$244:$L$363,$A$244:$A$363,$A$92,$B$244:$B$363,E$65))</f>
        <v/>
      </c>
      <c r="F94" s="44" t="str">
        <f aca="false">IF(SUMIFS($C$244:$C$363,$A$244:$A$363,$A$92,$B$244:$B$363,F$65)=0,"",SUMIFS($L$244:$L$363,$A$244:$A$363,$A$92,$B$244:$B$363,F$65))</f>
        <v/>
      </c>
      <c r="G94" s="44" t="str">
        <f aca="false">IF(SUMIFS($C$244:$C$363,$A$244:$A$363,$A$92,$B$244:$B$363,G$65)=0,"",SUMIFS($L$244:$L$363,$A$244:$A$363,$A$92,$B$244:$B$363,G$65))</f>
        <v/>
      </c>
      <c r="H94" s="44" t="str">
        <f aca="false">IF(SUMIFS($C$244:$C$363,$A$244:$A$363,$A$92,$B$244:$B$363,H$65)=0,"",SUMIFS($L$244:$L$363,$A$244:$A$363,$A$92,$B$244:$B$363,H$65))</f>
        <v/>
      </c>
      <c r="I94" s="44" t="str">
        <f aca="false">IF(SUMIFS($C$244:$C$363,$A$244:$A$363,$A$92,$B$244:$B$363,I$65)=0,"",SUMIFS($L$244:$L$363,$A$244:$A$363,$A$92,$B$244:$B$363,I$65))</f>
        <v/>
      </c>
      <c r="J94" s="44" t="str">
        <f aca="false">IF(SUMIFS($C$244:$C$363,$A$244:$A$363,$A$92,$B$244:$B$363,J$65)=0,"",SUMIFS($L$244:$L$363,$A$244:$A$363,$A$92,$B$244:$B$363,J$65))</f>
        <v/>
      </c>
      <c r="K94" s="44" t="str">
        <f aca="false">IF(SUMIFS($C$244:$C$363,$A$244:$A$363,$A$92,$B$244:$B$363,K$65)=0,"",SUMIFS($L$244:$L$363,$A$244:$A$363,$A$92,$B$244:$B$363,K$65))</f>
        <v/>
      </c>
      <c r="L94" s="44" t="n">
        <f aca="false">V94/O94-1</f>
        <v>0</v>
      </c>
      <c r="M94" s="44" t="str">
        <f aca="false">IF($B92=0,"",(V94/O94)^(1/$B92)-1)</f>
        <v/>
      </c>
      <c r="N94" s="41"/>
      <c r="O94" s="45" t="n">
        <v>100</v>
      </c>
      <c r="P94" s="43" t="n">
        <f aca="false">IF(E94="",O94,O94*(1+E94))</f>
        <v>100</v>
      </c>
      <c r="Q94" s="43" t="n">
        <f aca="false">IF(F94="",P94,P94*(1+F94))</f>
        <v>100</v>
      </c>
      <c r="R94" s="43" t="n">
        <f aca="false">IF(G94="",Q94,Q94*(1+G94))</f>
        <v>100</v>
      </c>
      <c r="S94" s="43" t="n">
        <f aca="false">IF(H94="",R94,R94*(1+H94))</f>
        <v>100</v>
      </c>
      <c r="T94" s="43" t="n">
        <f aca="false">IF(I94="",S94,S94*(1+I94))</f>
        <v>100</v>
      </c>
      <c r="U94" s="43" t="n">
        <f aca="false">IF(J94="",T94,T94*(1+J94))</f>
        <v>100</v>
      </c>
      <c r="V94" s="43" t="n">
        <f aca="false">IF(K94="",U94,U94*(1+K94))</f>
        <v>100</v>
      </c>
    </row>
    <row r="95" customFormat="false" ht="15" hidden="false" customHeight="false" outlineLevel="0" collapsed="false">
      <c r="A95" s="4" t="s">
        <v>27</v>
      </c>
      <c r="B95" s="8" t="n">
        <f aca="false">COUNT(E95:K95)</f>
        <v>0</v>
      </c>
      <c r="C95" s="38" t="n">
        <f aca="false">SUMIFS($E$244:$E$363,$A$244:$A$363,$A95,$B$244:$B$363,K$65)/1000</f>
        <v>0</v>
      </c>
      <c r="D95" s="39" t="s">
        <v>104</v>
      </c>
      <c r="E95" s="13" t="str">
        <f aca="false">IF(SUMIFS($C$244:$C$363,$A$244:$A$363,$A$95,$B$244:$B$363,E$65)=0,"",SUMIFS($N$244:$N$363,$A$244:$A$363,$A$95,$B$244:$B$363,E$65))</f>
        <v/>
      </c>
      <c r="F95" s="13" t="str">
        <f aca="false">IF(SUMIFS($C$244:$C$363,$A$244:$A$363,$A$95,$B$244:$B$363,F$65)=0,"",SUMIFS($N$244:$N$363,$A$244:$A$363,$A$95,$B$244:$B$363,F$65))</f>
        <v/>
      </c>
      <c r="G95" s="13" t="str">
        <f aca="false">IF(SUMIFS($C$244:$C$363,$A$244:$A$363,$A$95,$B$244:$B$363,G$65)=0,"",SUMIFS($N$244:$N$363,$A$244:$A$363,$A$95,$B$244:$B$363,G$65))</f>
        <v/>
      </c>
      <c r="H95" s="13" t="str">
        <f aca="false">IF(SUMIFS($C$244:$C$363,$A$244:$A$363,$A$95,$B$244:$B$363,H$65)=0,"",SUMIFS($N$244:$N$363,$A$244:$A$363,$A$95,$B$244:$B$363,H$65))</f>
        <v/>
      </c>
      <c r="I95" s="13" t="str">
        <f aca="false">IF(SUMIFS($C$244:$C$363,$A$244:$A$363,$A$95,$B$244:$B$363,I$65)=0,"",SUMIFS($N$244:$N$363,$A$244:$A$363,$A$95,$B$244:$B$363,I$65))</f>
        <v/>
      </c>
      <c r="J95" s="13" t="str">
        <f aca="false">IF(SUMIFS($C$244:$C$363,$A$244:$A$363,$A$95,$B$244:$B$363,J$65)=0,"",SUMIFS($N$244:$N$363,$A$244:$A$363,$A$95,$B$244:$B$363,J$65))</f>
        <v/>
      </c>
      <c r="K95" s="13" t="str">
        <f aca="false">IF(SUMIFS($C$244:$C$363,$A$244:$A$363,$A$95,$B$244:$B$363,K$65)=0,"",SUMIFS($N$244:$N$363,$A$244:$A$363,$A$95,$B$244:$B$363,K$65))</f>
        <v/>
      </c>
      <c r="L95" s="13" t="n">
        <f aca="false">V95/O95-1</f>
        <v>0</v>
      </c>
      <c r="M95" s="13" t="str">
        <f aca="false">IF($B95=0,"",(V95/O95)^(1/$B95)-1)</f>
        <v/>
      </c>
      <c r="O95" s="40" t="n">
        <v>100</v>
      </c>
      <c r="P95" s="38" t="n">
        <f aca="false">IF(E95="",O95,O95*(1+E95))</f>
        <v>100</v>
      </c>
      <c r="Q95" s="38" t="n">
        <f aca="false">IF(F95="",P95,P95*(1+F95))</f>
        <v>100</v>
      </c>
      <c r="R95" s="38" t="n">
        <f aca="false">IF(G95="",Q95,Q95*(1+G95))</f>
        <v>100</v>
      </c>
      <c r="S95" s="38" t="n">
        <f aca="false">IF(H95="",R95,R95*(1+H95))</f>
        <v>100</v>
      </c>
      <c r="T95" s="38" t="n">
        <f aca="false">IF(I95="",S95,S95*(1+I95))</f>
        <v>100</v>
      </c>
      <c r="U95" s="38" t="n">
        <f aca="false">IF(J95="",T95,T95*(1+J95))</f>
        <v>100</v>
      </c>
      <c r="V95" s="38" t="n">
        <f aca="false">IF(K95="",U95,U95*(1+K95))</f>
        <v>100</v>
      </c>
    </row>
    <row r="96" customFormat="false" ht="15" hidden="false" customHeight="false" outlineLevel="0" collapsed="false">
      <c r="D96" s="39" t="s">
        <v>105</v>
      </c>
      <c r="E96" s="13" t="str">
        <f aca="false">IF(SUMIFS($C$244:$C$363,$A$244:$A$363,$A$95,$B$244:$B$363,E$65)=0,"",SUMIFS($M$244:$M$363,$A$244:$A$363,$A$95,$B$244:$B$363,E$65))</f>
        <v/>
      </c>
      <c r="F96" s="13" t="str">
        <f aca="false">IF(SUMIFS($C$244:$C$363,$A$244:$A$363,$A$95,$B$244:$B$363,F$65)=0,"",SUMIFS($M$244:$M$363,$A$244:$A$363,$A$95,$B$244:$B$363,F$65))</f>
        <v/>
      </c>
      <c r="G96" s="13" t="str">
        <f aca="false">IF(SUMIFS($C$244:$C$363,$A$244:$A$363,$A$95,$B$244:$B$363,G$65)=0,"",SUMIFS($M$244:$M$363,$A$244:$A$363,$A$95,$B$244:$B$363,G$65))</f>
        <v/>
      </c>
      <c r="H96" s="13" t="str">
        <f aca="false">IF(SUMIFS($C$244:$C$363,$A$244:$A$363,$A$95,$B$244:$B$363,H$65)=0,"",SUMIFS($M$244:$M$363,$A$244:$A$363,$A$95,$B$244:$B$363,H$65))</f>
        <v/>
      </c>
      <c r="I96" s="13" t="str">
        <f aca="false">IF(SUMIFS($C$244:$C$363,$A$244:$A$363,$A$95,$B$244:$B$363,I$65)=0,"",SUMIFS($M$244:$M$363,$A$244:$A$363,$A$95,$B$244:$B$363,I$65))</f>
        <v/>
      </c>
      <c r="J96" s="13" t="str">
        <f aca="false">IF(SUMIFS($C$244:$C$363,$A$244:$A$363,$A$95,$B$244:$B$363,J$65)=0,"",SUMIFS($M$244:$M$363,$A$244:$A$363,$A$95,$B$244:$B$363,J$65))</f>
        <v/>
      </c>
      <c r="K96" s="13" t="str">
        <f aca="false">IF(SUMIFS($C$244:$C$363,$A$244:$A$363,$A$95,$B$244:$B$363,K$65)=0,"",SUMIFS($M$244:$M$363,$A$244:$A$363,$A$95,$B$244:$B$363,K$65))</f>
        <v/>
      </c>
      <c r="L96" s="13" t="n">
        <f aca="false">V96/O96-1</f>
        <v>0</v>
      </c>
      <c r="M96" s="13" t="str">
        <f aca="false">IF($B95=0,"",(V96/O96)^(1/$B95)-1)</f>
        <v/>
      </c>
      <c r="O96" s="40" t="n">
        <v>100</v>
      </c>
      <c r="P96" s="38" t="n">
        <f aca="false">IF(E96="",O96,O96*(1+E96))</f>
        <v>100</v>
      </c>
      <c r="Q96" s="38" t="n">
        <f aca="false">IF(F96="",P96,P96*(1+F96))</f>
        <v>100</v>
      </c>
      <c r="R96" s="38" t="n">
        <f aca="false">IF(G96="",Q96,Q96*(1+G96))</f>
        <v>100</v>
      </c>
      <c r="S96" s="38" t="n">
        <f aca="false">IF(H96="",R96,R96*(1+H96))</f>
        <v>100</v>
      </c>
      <c r="T96" s="38" t="n">
        <f aca="false">IF(I96="",S96,S96*(1+I96))</f>
        <v>100</v>
      </c>
      <c r="U96" s="38" t="n">
        <f aca="false">IF(J96="",T96,T96*(1+J96))</f>
        <v>100</v>
      </c>
      <c r="V96" s="38" t="n">
        <f aca="false">IF(K96="",U96,U96*(1+K96))</f>
        <v>100</v>
      </c>
    </row>
    <row r="97" customFormat="false" ht="15" hidden="false" customHeight="false" outlineLevel="0" collapsed="false">
      <c r="A97" s="41"/>
      <c r="B97" s="41"/>
      <c r="C97" s="41"/>
      <c r="D97" s="42" t="s">
        <v>106</v>
      </c>
      <c r="E97" s="44" t="str">
        <f aca="false">IF(SUMIFS($C$244:$C$363,$A$244:$A$363,$A$95,$B$244:$B$363,E$65)=0,"",SUMIFS($L$244:$L$363,$A$244:$A$363,$A$95,$B$244:$B$363,E$65))</f>
        <v/>
      </c>
      <c r="F97" s="44" t="str">
        <f aca="false">IF(SUMIFS($C$244:$C$363,$A$244:$A$363,$A$95,$B$244:$B$363,F$65)=0,"",SUMIFS($L$244:$L$363,$A$244:$A$363,$A$95,$B$244:$B$363,F$65))</f>
        <v/>
      </c>
      <c r="G97" s="44" t="str">
        <f aca="false">IF(SUMIFS($C$244:$C$363,$A$244:$A$363,$A$95,$B$244:$B$363,G$65)=0,"",SUMIFS($L$244:$L$363,$A$244:$A$363,$A$95,$B$244:$B$363,G$65))</f>
        <v/>
      </c>
      <c r="H97" s="44" t="str">
        <f aca="false">IF(SUMIFS($C$244:$C$363,$A$244:$A$363,$A$95,$B$244:$B$363,H$65)=0,"",SUMIFS($L$244:$L$363,$A$244:$A$363,$A$95,$B$244:$B$363,H$65))</f>
        <v/>
      </c>
      <c r="I97" s="44" t="str">
        <f aca="false">IF(SUMIFS($C$244:$C$363,$A$244:$A$363,$A$95,$B$244:$B$363,I$65)=0,"",SUMIFS($L$244:$L$363,$A$244:$A$363,$A$95,$B$244:$B$363,I$65))</f>
        <v/>
      </c>
      <c r="J97" s="44" t="str">
        <f aca="false">IF(SUMIFS($C$244:$C$363,$A$244:$A$363,$A$95,$B$244:$B$363,J$65)=0,"",SUMIFS($L$244:$L$363,$A$244:$A$363,$A$95,$B$244:$B$363,J$65))</f>
        <v/>
      </c>
      <c r="K97" s="44" t="str">
        <f aca="false">IF(SUMIFS($C$244:$C$363,$A$244:$A$363,$A$95,$B$244:$B$363,K$65)=0,"",SUMIFS($L$244:$L$363,$A$244:$A$363,$A$95,$B$244:$B$363,K$65))</f>
        <v/>
      </c>
      <c r="L97" s="44" t="n">
        <f aca="false">V97/O97-1</f>
        <v>0</v>
      </c>
      <c r="M97" s="44" t="str">
        <f aca="false">IF($B95=0,"",(V97/O97)^(1/$B95)-1)</f>
        <v/>
      </c>
      <c r="N97" s="41"/>
      <c r="O97" s="45" t="n">
        <v>100</v>
      </c>
      <c r="P97" s="43" t="n">
        <f aca="false">IF(E97="",O97,O97*(1+E97))</f>
        <v>100</v>
      </c>
      <c r="Q97" s="43" t="n">
        <f aca="false">IF(F97="",P97,P97*(1+F97))</f>
        <v>100</v>
      </c>
      <c r="R97" s="43" t="n">
        <f aca="false">IF(G97="",Q97,Q97*(1+G97))</f>
        <v>100</v>
      </c>
      <c r="S97" s="43" t="n">
        <f aca="false">IF(H97="",R97,R97*(1+H97))</f>
        <v>100</v>
      </c>
      <c r="T97" s="43" t="n">
        <f aca="false">IF(I97="",S97,S97*(1+I97))</f>
        <v>100</v>
      </c>
      <c r="U97" s="43" t="n">
        <f aca="false">IF(J97="",T97,T97*(1+J97))</f>
        <v>100</v>
      </c>
      <c r="V97" s="43" t="n">
        <f aca="false">IF(K97="",U97,U97*(1+K97))</f>
        <v>100</v>
      </c>
    </row>
    <row r="98" customFormat="false" ht="15" hidden="false" customHeight="false" outlineLevel="0" collapsed="false">
      <c r="A98" s="4" t="s">
        <v>28</v>
      </c>
      <c r="B98" s="8" t="n">
        <f aca="false">COUNT(E98:K98)</f>
        <v>0</v>
      </c>
      <c r="C98" s="38" t="n">
        <f aca="false">SUMIFS($E$244:$E$363,$A$244:$A$363,$A98,$B$244:$B$363,K$65)/1000</f>
        <v>0</v>
      </c>
      <c r="D98" s="39" t="s">
        <v>104</v>
      </c>
      <c r="E98" s="13" t="str">
        <f aca="false">IF(SUMIFS($C$244:$C$363,$A$244:$A$363,$A$98,$B$244:$B$363,E$65)=0,"",SUMIFS($N$244:$N$363,$A$244:$A$363,$A$98,$B$244:$B$363,E$65))</f>
        <v/>
      </c>
      <c r="F98" s="13" t="str">
        <f aca="false">IF(SUMIFS($C$244:$C$363,$A$244:$A$363,$A$98,$B$244:$B$363,F$65)=0,"",SUMIFS($N$244:$N$363,$A$244:$A$363,$A$98,$B$244:$B$363,F$65))</f>
        <v/>
      </c>
      <c r="G98" s="13" t="str">
        <f aca="false">IF(SUMIFS($C$244:$C$363,$A$244:$A$363,$A$98,$B$244:$B$363,G$65)=0,"",SUMIFS($N$244:$N$363,$A$244:$A$363,$A$98,$B$244:$B$363,G$65))</f>
        <v/>
      </c>
      <c r="H98" s="13" t="str">
        <f aca="false">IF(SUMIFS($C$244:$C$363,$A$244:$A$363,$A$98,$B$244:$B$363,H$65)=0,"",SUMIFS($N$244:$N$363,$A$244:$A$363,$A$98,$B$244:$B$363,H$65))</f>
        <v/>
      </c>
      <c r="I98" s="13" t="str">
        <f aca="false">IF(SUMIFS($C$244:$C$363,$A$244:$A$363,$A$98,$B$244:$B$363,I$65)=0,"",SUMIFS($N$244:$N$363,$A$244:$A$363,$A$98,$B$244:$B$363,I$65))</f>
        <v/>
      </c>
      <c r="J98" s="13" t="str">
        <f aca="false">IF(SUMIFS($C$244:$C$363,$A$244:$A$363,$A$98,$B$244:$B$363,J$65)=0,"",SUMIFS($N$244:$N$363,$A$244:$A$363,$A$98,$B$244:$B$363,J$65))</f>
        <v/>
      </c>
      <c r="K98" s="13" t="str">
        <f aca="false">IF(SUMIFS($C$244:$C$363,$A$244:$A$363,$A$98,$B$244:$B$363,K$65)=0,"",SUMIFS($N$244:$N$363,$A$244:$A$363,$A$98,$B$244:$B$363,K$65))</f>
        <v/>
      </c>
      <c r="L98" s="13" t="n">
        <f aca="false">V98/O98-1</f>
        <v>0</v>
      </c>
      <c r="M98" s="13" t="str">
        <f aca="false">IF($B98=0,"",(V98/O98)^(1/$B98)-1)</f>
        <v/>
      </c>
      <c r="O98" s="40" t="n">
        <v>100</v>
      </c>
      <c r="P98" s="38" t="n">
        <f aca="false">IF(E98="",O98,O98*(1+E98))</f>
        <v>100</v>
      </c>
      <c r="Q98" s="38" t="n">
        <f aca="false">IF(F98="",P98,P98*(1+F98))</f>
        <v>100</v>
      </c>
      <c r="R98" s="38" t="n">
        <f aca="false">IF(G98="",Q98,Q98*(1+G98))</f>
        <v>100</v>
      </c>
      <c r="S98" s="38" t="n">
        <f aca="false">IF(H98="",R98,R98*(1+H98))</f>
        <v>100</v>
      </c>
      <c r="T98" s="38" t="n">
        <f aca="false">IF(I98="",S98,S98*(1+I98))</f>
        <v>100</v>
      </c>
      <c r="U98" s="38" t="n">
        <f aca="false">IF(J98="",T98,T98*(1+J98))</f>
        <v>100</v>
      </c>
      <c r="V98" s="38" t="n">
        <f aca="false">IF(K98="",U98,U98*(1+K98))</f>
        <v>100</v>
      </c>
    </row>
    <row r="99" customFormat="false" ht="15" hidden="false" customHeight="false" outlineLevel="0" collapsed="false">
      <c r="D99" s="39" t="s">
        <v>105</v>
      </c>
      <c r="E99" s="13" t="str">
        <f aca="false">IF(SUMIFS($C$244:$C$363,$A$244:$A$363,$A$98,$B$244:$B$363,E$65)=0,"",SUMIFS($M$244:$M$363,$A$244:$A$363,$A$98,$B$244:$B$363,E$65))</f>
        <v/>
      </c>
      <c r="F99" s="13" t="str">
        <f aca="false">IF(SUMIFS($C$244:$C$363,$A$244:$A$363,$A$98,$B$244:$B$363,F$65)=0,"",SUMIFS($M$244:$M$363,$A$244:$A$363,$A$98,$B$244:$B$363,F$65))</f>
        <v/>
      </c>
      <c r="G99" s="13" t="str">
        <f aca="false">IF(SUMIFS($C$244:$C$363,$A$244:$A$363,$A$98,$B$244:$B$363,G$65)=0,"",SUMIFS($M$244:$M$363,$A$244:$A$363,$A$98,$B$244:$B$363,G$65))</f>
        <v/>
      </c>
      <c r="H99" s="13" t="str">
        <f aca="false">IF(SUMIFS($C$244:$C$363,$A$244:$A$363,$A$98,$B$244:$B$363,H$65)=0,"",SUMIFS($M$244:$M$363,$A$244:$A$363,$A$98,$B$244:$B$363,H$65))</f>
        <v/>
      </c>
      <c r="I99" s="13" t="str">
        <f aca="false">IF(SUMIFS($C$244:$C$363,$A$244:$A$363,$A$98,$B$244:$B$363,I$65)=0,"",SUMIFS($M$244:$M$363,$A$244:$A$363,$A$98,$B$244:$B$363,I$65))</f>
        <v/>
      </c>
      <c r="J99" s="13" t="str">
        <f aca="false">IF(SUMIFS($C$244:$C$363,$A$244:$A$363,$A$98,$B$244:$B$363,J$65)=0,"",SUMIFS($M$244:$M$363,$A$244:$A$363,$A$98,$B$244:$B$363,J$65))</f>
        <v/>
      </c>
      <c r="K99" s="13" t="str">
        <f aca="false">IF(SUMIFS($C$244:$C$363,$A$244:$A$363,$A$98,$B$244:$B$363,K$65)=0,"",SUMIFS($M$244:$M$363,$A$244:$A$363,$A$98,$B$244:$B$363,K$65))</f>
        <v/>
      </c>
      <c r="L99" s="13" t="n">
        <f aca="false">V99/O99-1</f>
        <v>0</v>
      </c>
      <c r="M99" s="13" t="str">
        <f aca="false">IF($B98=0,"",(V99/O99)^(1/$B98)-1)</f>
        <v/>
      </c>
      <c r="O99" s="40" t="n">
        <v>100</v>
      </c>
      <c r="P99" s="38" t="n">
        <f aca="false">IF(E99="",O99,O99*(1+E99))</f>
        <v>100</v>
      </c>
      <c r="Q99" s="38" t="n">
        <f aca="false">IF(F99="",P99,P99*(1+F99))</f>
        <v>100</v>
      </c>
      <c r="R99" s="38" t="n">
        <f aca="false">IF(G99="",Q99,Q99*(1+G99))</f>
        <v>100</v>
      </c>
      <c r="S99" s="38" t="n">
        <f aca="false">IF(H99="",R99,R99*(1+H99))</f>
        <v>100</v>
      </c>
      <c r="T99" s="38" t="n">
        <f aca="false">IF(I99="",S99,S99*(1+I99))</f>
        <v>100</v>
      </c>
      <c r="U99" s="38" t="n">
        <f aca="false">IF(J99="",T99,T99*(1+J99))</f>
        <v>100</v>
      </c>
      <c r="V99" s="38" t="n">
        <f aca="false">IF(K99="",U99,U99*(1+K99))</f>
        <v>100</v>
      </c>
    </row>
    <row r="100" customFormat="false" ht="15" hidden="false" customHeight="false" outlineLevel="0" collapsed="false">
      <c r="A100" s="41"/>
      <c r="B100" s="41"/>
      <c r="C100" s="41"/>
      <c r="D100" s="42" t="s">
        <v>106</v>
      </c>
      <c r="E100" s="44" t="str">
        <f aca="false">IF(SUMIFS($C$244:$C$363,$A$244:$A$363,$A$98,$B$244:$B$363,E$65)=0,"",SUMIFS($L$244:$L$363,$A$244:$A$363,$A$98,$B$244:$B$363,E$65))</f>
        <v/>
      </c>
      <c r="F100" s="44" t="str">
        <f aca="false">IF(SUMIFS($C$244:$C$363,$A$244:$A$363,$A$98,$B$244:$B$363,F$65)=0,"",SUMIFS($L$244:$L$363,$A$244:$A$363,$A$98,$B$244:$B$363,F$65))</f>
        <v/>
      </c>
      <c r="G100" s="44" t="str">
        <f aca="false">IF(SUMIFS($C$244:$C$363,$A$244:$A$363,$A$98,$B$244:$B$363,G$65)=0,"",SUMIFS($L$244:$L$363,$A$244:$A$363,$A$98,$B$244:$B$363,G$65))</f>
        <v/>
      </c>
      <c r="H100" s="44" t="str">
        <f aca="false">IF(SUMIFS($C$244:$C$363,$A$244:$A$363,$A$98,$B$244:$B$363,H$65)=0,"",SUMIFS($L$244:$L$363,$A$244:$A$363,$A$98,$B$244:$B$363,H$65))</f>
        <v/>
      </c>
      <c r="I100" s="44" t="str">
        <f aca="false">IF(SUMIFS($C$244:$C$363,$A$244:$A$363,$A$98,$B$244:$B$363,I$65)=0,"",SUMIFS($L$244:$L$363,$A$244:$A$363,$A$98,$B$244:$B$363,I$65))</f>
        <v/>
      </c>
      <c r="J100" s="44" t="str">
        <f aca="false">IF(SUMIFS($C$244:$C$363,$A$244:$A$363,$A$98,$B$244:$B$363,J$65)=0,"",SUMIFS($L$244:$L$363,$A$244:$A$363,$A$98,$B$244:$B$363,J$65))</f>
        <v/>
      </c>
      <c r="K100" s="44" t="str">
        <f aca="false">IF(SUMIFS($C$244:$C$363,$A$244:$A$363,$A$98,$B$244:$B$363,K$65)=0,"",SUMIFS($L$244:$L$363,$A$244:$A$363,$A$98,$B$244:$B$363,K$65))</f>
        <v/>
      </c>
      <c r="L100" s="44" t="n">
        <f aca="false">V100/O100-1</f>
        <v>0</v>
      </c>
      <c r="M100" s="44" t="str">
        <f aca="false">IF($B98=0,"",(V100/O100)^(1/$B98)-1)</f>
        <v/>
      </c>
      <c r="N100" s="41"/>
      <c r="O100" s="45" t="n">
        <v>100</v>
      </c>
      <c r="P100" s="43" t="n">
        <f aca="false">IF(E100="",O100,O100*(1+E100))</f>
        <v>100</v>
      </c>
      <c r="Q100" s="43" t="n">
        <f aca="false">IF(F100="",P100,P100*(1+F100))</f>
        <v>100</v>
      </c>
      <c r="R100" s="43" t="n">
        <f aca="false">IF(G100="",Q100,Q100*(1+G100))</f>
        <v>100</v>
      </c>
      <c r="S100" s="43" t="n">
        <f aca="false">IF(H100="",R100,R100*(1+H100))</f>
        <v>100</v>
      </c>
      <c r="T100" s="43" t="n">
        <f aca="false">IF(I100="",S100,S100*(1+I100))</f>
        <v>100</v>
      </c>
      <c r="U100" s="43" t="n">
        <f aca="false">IF(J100="",T100,T100*(1+J100))</f>
        <v>100</v>
      </c>
      <c r="V100" s="43" t="n">
        <f aca="false">IF(K100="",U100,U100*(1+K100))</f>
        <v>100</v>
      </c>
    </row>
    <row r="101" customFormat="false" ht="15" hidden="false" customHeight="false" outlineLevel="0" collapsed="false">
      <c r="A101" s="4" t="s">
        <v>29</v>
      </c>
      <c r="B101" s="8" t="n">
        <f aca="false">COUNT(E101:K101)</f>
        <v>0</v>
      </c>
      <c r="C101" s="38" t="n">
        <f aca="false">SUMIFS($E$244:$E$363,$A$244:$A$363,$A101,$B$244:$B$363,K$65)/1000</f>
        <v>0</v>
      </c>
      <c r="D101" s="39" t="s">
        <v>104</v>
      </c>
      <c r="E101" s="13" t="str">
        <f aca="false">IF(SUMIFS($C$244:$C$363,$A$244:$A$363,$A$101,$B$244:$B$363,E$65)=0,"",SUMIFS($N$244:$N$363,$A$244:$A$363,$A$101,$B$244:$B$363,E$65))</f>
        <v/>
      </c>
      <c r="F101" s="13" t="str">
        <f aca="false">IF(SUMIFS($C$244:$C$363,$A$244:$A$363,$A$101,$B$244:$B$363,F$65)=0,"",SUMIFS($N$244:$N$363,$A$244:$A$363,$A$101,$B$244:$B$363,F$65))</f>
        <v/>
      </c>
      <c r="G101" s="13" t="str">
        <f aca="false">IF(SUMIFS($C$244:$C$363,$A$244:$A$363,$A$101,$B$244:$B$363,G$65)=0,"",SUMIFS($N$244:$N$363,$A$244:$A$363,$A$101,$B$244:$B$363,G$65))</f>
        <v/>
      </c>
      <c r="H101" s="13" t="str">
        <f aca="false">IF(SUMIFS($C$244:$C$363,$A$244:$A$363,$A$101,$B$244:$B$363,H$65)=0,"",SUMIFS($N$244:$N$363,$A$244:$A$363,$A$101,$B$244:$B$363,H$65))</f>
        <v/>
      </c>
      <c r="I101" s="13" t="str">
        <f aca="false">IF(SUMIFS($C$244:$C$363,$A$244:$A$363,$A$101,$B$244:$B$363,I$65)=0,"",SUMIFS($N$244:$N$363,$A$244:$A$363,$A$101,$B$244:$B$363,I$65))</f>
        <v/>
      </c>
      <c r="J101" s="13" t="str">
        <f aca="false">IF(SUMIFS($C$244:$C$363,$A$244:$A$363,$A$101,$B$244:$B$363,J$65)=0,"",SUMIFS($N$244:$N$363,$A$244:$A$363,$A$101,$B$244:$B$363,J$65))</f>
        <v/>
      </c>
      <c r="K101" s="13" t="str">
        <f aca="false">IF(SUMIFS($C$244:$C$363,$A$244:$A$363,$A$101,$B$244:$B$363,K$65)=0,"",SUMIFS($N$244:$N$363,$A$244:$A$363,$A$101,$B$244:$B$363,K$65))</f>
        <v/>
      </c>
      <c r="L101" s="13" t="n">
        <f aca="false">V101/O101-1</f>
        <v>0</v>
      </c>
      <c r="M101" s="13" t="str">
        <f aca="false">IF($B101=0,"",(V101/O101)^(1/$B101)-1)</f>
        <v/>
      </c>
      <c r="O101" s="40" t="n">
        <v>100</v>
      </c>
      <c r="P101" s="38" t="n">
        <f aca="false">IF(E101="",O101,O101*(1+E101))</f>
        <v>100</v>
      </c>
      <c r="Q101" s="38" t="n">
        <f aca="false">IF(F101="",P101,P101*(1+F101))</f>
        <v>100</v>
      </c>
      <c r="R101" s="38" t="n">
        <f aca="false">IF(G101="",Q101,Q101*(1+G101))</f>
        <v>100</v>
      </c>
      <c r="S101" s="38" t="n">
        <f aca="false">IF(H101="",R101,R101*(1+H101))</f>
        <v>100</v>
      </c>
      <c r="T101" s="38" t="n">
        <f aca="false">IF(I101="",S101,S101*(1+I101))</f>
        <v>100</v>
      </c>
      <c r="U101" s="38" t="n">
        <f aca="false">IF(J101="",T101,T101*(1+J101))</f>
        <v>100</v>
      </c>
      <c r="V101" s="38" t="n">
        <f aca="false">IF(K101="",U101,U101*(1+K101))</f>
        <v>100</v>
      </c>
    </row>
    <row r="102" customFormat="false" ht="15" hidden="false" customHeight="false" outlineLevel="0" collapsed="false">
      <c r="D102" s="39" t="s">
        <v>105</v>
      </c>
      <c r="E102" s="13" t="str">
        <f aca="false">IF(SUMIFS($C$244:$C$363,$A$244:$A$363,$A$101,$B$244:$B$363,E$65)=0,"",SUMIFS($M$244:$M$363,$A$244:$A$363,$A$101,$B$244:$B$363,E$65))</f>
        <v/>
      </c>
      <c r="F102" s="13" t="str">
        <f aca="false">IF(SUMIFS($C$244:$C$363,$A$244:$A$363,$A$101,$B$244:$B$363,F$65)=0,"",SUMIFS($M$244:$M$363,$A$244:$A$363,$A$101,$B$244:$B$363,F$65))</f>
        <v/>
      </c>
      <c r="G102" s="13" t="str">
        <f aca="false">IF(SUMIFS($C$244:$C$363,$A$244:$A$363,$A$101,$B$244:$B$363,G$65)=0,"",SUMIFS($M$244:$M$363,$A$244:$A$363,$A$101,$B$244:$B$363,G$65))</f>
        <v/>
      </c>
      <c r="H102" s="13" t="str">
        <f aca="false">IF(SUMIFS($C$244:$C$363,$A$244:$A$363,$A$101,$B$244:$B$363,H$65)=0,"",SUMIFS($M$244:$M$363,$A$244:$A$363,$A$101,$B$244:$B$363,H$65))</f>
        <v/>
      </c>
      <c r="I102" s="13" t="str">
        <f aca="false">IF(SUMIFS($C$244:$C$363,$A$244:$A$363,$A$101,$B$244:$B$363,I$65)=0,"",SUMIFS($M$244:$M$363,$A$244:$A$363,$A$101,$B$244:$B$363,I$65))</f>
        <v/>
      </c>
      <c r="J102" s="13" t="str">
        <f aca="false">IF(SUMIFS($C$244:$C$363,$A$244:$A$363,$A$101,$B$244:$B$363,J$65)=0,"",SUMIFS($M$244:$M$363,$A$244:$A$363,$A$101,$B$244:$B$363,J$65))</f>
        <v/>
      </c>
      <c r="K102" s="13" t="str">
        <f aca="false">IF(SUMIFS($C$244:$C$363,$A$244:$A$363,$A$101,$B$244:$B$363,K$65)=0,"",SUMIFS($M$244:$M$363,$A$244:$A$363,$A$101,$B$244:$B$363,K$65))</f>
        <v/>
      </c>
      <c r="L102" s="13" t="n">
        <f aca="false">V102/O102-1</f>
        <v>0</v>
      </c>
      <c r="M102" s="13" t="str">
        <f aca="false">IF($B101=0,"",(V102/O102)^(1/$B101)-1)</f>
        <v/>
      </c>
      <c r="O102" s="40" t="n">
        <v>100</v>
      </c>
      <c r="P102" s="38" t="n">
        <f aca="false">IF(E102="",O102,O102*(1+E102))</f>
        <v>100</v>
      </c>
      <c r="Q102" s="38" t="n">
        <f aca="false">IF(F102="",P102,P102*(1+F102))</f>
        <v>100</v>
      </c>
      <c r="R102" s="38" t="n">
        <f aca="false">IF(G102="",Q102,Q102*(1+G102))</f>
        <v>100</v>
      </c>
      <c r="S102" s="38" t="n">
        <f aca="false">IF(H102="",R102,R102*(1+H102))</f>
        <v>100</v>
      </c>
      <c r="T102" s="38" t="n">
        <f aca="false">IF(I102="",S102,S102*(1+I102))</f>
        <v>100</v>
      </c>
      <c r="U102" s="38" t="n">
        <f aca="false">IF(J102="",T102,T102*(1+J102))</f>
        <v>100</v>
      </c>
      <c r="V102" s="38" t="n">
        <f aca="false">IF(K102="",U102,U102*(1+K102))</f>
        <v>100</v>
      </c>
    </row>
    <row r="103" customFormat="false" ht="15" hidden="false" customHeight="false" outlineLevel="0" collapsed="false">
      <c r="A103" s="41"/>
      <c r="B103" s="41"/>
      <c r="C103" s="41"/>
      <c r="D103" s="42" t="s">
        <v>106</v>
      </c>
      <c r="E103" s="44" t="str">
        <f aca="false">IF(SUMIFS($C$244:$C$363,$A$244:$A$363,$A$101,$B$244:$B$363,E$65)=0,"",SUMIFS($L$244:$L$363,$A$244:$A$363,$A$101,$B$244:$B$363,E$65))</f>
        <v/>
      </c>
      <c r="F103" s="44" t="str">
        <f aca="false">IF(SUMIFS($C$244:$C$363,$A$244:$A$363,$A$101,$B$244:$B$363,F$65)=0,"",SUMIFS($L$244:$L$363,$A$244:$A$363,$A$101,$B$244:$B$363,F$65))</f>
        <v/>
      </c>
      <c r="G103" s="44" t="str">
        <f aca="false">IF(SUMIFS($C$244:$C$363,$A$244:$A$363,$A$101,$B$244:$B$363,G$65)=0,"",SUMIFS($L$244:$L$363,$A$244:$A$363,$A$101,$B$244:$B$363,G$65))</f>
        <v/>
      </c>
      <c r="H103" s="44" t="str">
        <f aca="false">IF(SUMIFS($C$244:$C$363,$A$244:$A$363,$A$101,$B$244:$B$363,H$65)=0,"",SUMIFS($L$244:$L$363,$A$244:$A$363,$A$101,$B$244:$B$363,H$65))</f>
        <v/>
      </c>
      <c r="I103" s="44" t="str">
        <f aca="false">IF(SUMIFS($C$244:$C$363,$A$244:$A$363,$A$101,$B$244:$B$363,I$65)=0,"",SUMIFS($L$244:$L$363,$A$244:$A$363,$A$101,$B$244:$B$363,I$65))</f>
        <v/>
      </c>
      <c r="J103" s="44" t="str">
        <f aca="false">IF(SUMIFS($C$244:$C$363,$A$244:$A$363,$A$101,$B$244:$B$363,J$65)=0,"",SUMIFS($L$244:$L$363,$A$244:$A$363,$A$101,$B$244:$B$363,J$65))</f>
        <v/>
      </c>
      <c r="K103" s="44" t="str">
        <f aca="false">IF(SUMIFS($C$244:$C$363,$A$244:$A$363,$A$101,$B$244:$B$363,K$65)=0,"",SUMIFS($L$244:$L$363,$A$244:$A$363,$A$101,$B$244:$B$363,K$65))</f>
        <v/>
      </c>
      <c r="L103" s="44" t="n">
        <f aca="false">V103/O103-1</f>
        <v>0</v>
      </c>
      <c r="M103" s="44" t="str">
        <f aca="false">IF($B101=0,"",(V103/O103)^(1/$B101)-1)</f>
        <v/>
      </c>
      <c r="N103" s="41"/>
      <c r="O103" s="45" t="n">
        <v>100</v>
      </c>
      <c r="P103" s="43" t="n">
        <f aca="false">IF(E103="",O103,O103*(1+E103))</f>
        <v>100</v>
      </c>
      <c r="Q103" s="43" t="n">
        <f aca="false">IF(F103="",P103,P103*(1+F103))</f>
        <v>100</v>
      </c>
      <c r="R103" s="43" t="n">
        <f aca="false">IF(G103="",Q103,Q103*(1+G103))</f>
        <v>100</v>
      </c>
      <c r="S103" s="43" t="n">
        <f aca="false">IF(H103="",R103,R103*(1+H103))</f>
        <v>100</v>
      </c>
      <c r="T103" s="43" t="n">
        <f aca="false">IF(I103="",S103,S103*(1+I103))</f>
        <v>100</v>
      </c>
      <c r="U103" s="43" t="n">
        <f aca="false">IF(J103="",T103,T103*(1+J103))</f>
        <v>100</v>
      </c>
      <c r="V103" s="43" t="n">
        <f aca="false">IF(K103="",U103,U103*(1+K103))</f>
        <v>100</v>
      </c>
    </row>
    <row r="104" customFormat="false" ht="15" hidden="false" customHeight="false" outlineLevel="0" collapsed="false">
      <c r="A104" s="4" t="s">
        <v>30</v>
      </c>
      <c r="B104" s="8" t="n">
        <f aca="false">COUNT(E104:K104)</f>
        <v>0</v>
      </c>
      <c r="C104" s="38" t="n">
        <f aca="false">SUMIFS($E$244:$E$363,$A$244:$A$363,$A104,$B$244:$B$363,K$65)/1000</f>
        <v>0</v>
      </c>
      <c r="D104" s="39" t="s">
        <v>104</v>
      </c>
      <c r="E104" s="13" t="str">
        <f aca="false">IF(SUMIFS($C$244:$C$363,$A$244:$A$363,$A$104,$B$244:$B$363,E$65)=0,"",SUMIFS($N$244:$N$363,$A$244:$A$363,$A$104,$B$244:$B$363,E$65))</f>
        <v/>
      </c>
      <c r="F104" s="13" t="str">
        <f aca="false">IF(SUMIFS($C$244:$C$363,$A$244:$A$363,$A$104,$B$244:$B$363,F$65)=0,"",SUMIFS($N$244:$N$363,$A$244:$A$363,$A$104,$B$244:$B$363,F$65))</f>
        <v/>
      </c>
      <c r="G104" s="13" t="str">
        <f aca="false">IF(SUMIFS($C$244:$C$363,$A$244:$A$363,$A$104,$B$244:$B$363,G$65)=0,"",SUMIFS($N$244:$N$363,$A$244:$A$363,$A$104,$B$244:$B$363,G$65))</f>
        <v/>
      </c>
      <c r="H104" s="13" t="str">
        <f aca="false">IF(SUMIFS($C$244:$C$363,$A$244:$A$363,$A$104,$B$244:$B$363,H$65)=0,"",SUMIFS($N$244:$N$363,$A$244:$A$363,$A$104,$B$244:$B$363,H$65))</f>
        <v/>
      </c>
      <c r="I104" s="13" t="str">
        <f aca="false">IF(SUMIFS($C$244:$C$363,$A$244:$A$363,$A$104,$B$244:$B$363,I$65)=0,"",SUMIFS($N$244:$N$363,$A$244:$A$363,$A$104,$B$244:$B$363,I$65))</f>
        <v/>
      </c>
      <c r="J104" s="13" t="str">
        <f aca="false">IF(SUMIFS($C$244:$C$363,$A$244:$A$363,$A$104,$B$244:$B$363,J$65)=0,"",SUMIFS($N$244:$N$363,$A$244:$A$363,$A$104,$B$244:$B$363,J$65))</f>
        <v/>
      </c>
      <c r="K104" s="13" t="str">
        <f aca="false">IF(SUMIFS($C$244:$C$363,$A$244:$A$363,$A$104,$B$244:$B$363,K$65)=0,"",SUMIFS($N$244:$N$363,$A$244:$A$363,$A$104,$B$244:$B$363,K$65))</f>
        <v/>
      </c>
      <c r="L104" s="13" t="n">
        <f aca="false">V104/O104-1</f>
        <v>0</v>
      </c>
      <c r="M104" s="13" t="str">
        <f aca="false">IF($B104=0,"",(V104/O104)^(1/$B104)-1)</f>
        <v/>
      </c>
      <c r="O104" s="40" t="n">
        <v>100</v>
      </c>
      <c r="P104" s="38" t="n">
        <f aca="false">IF(E104="",O104,O104*(1+E104))</f>
        <v>100</v>
      </c>
      <c r="Q104" s="38" t="n">
        <f aca="false">IF(F104="",P104,P104*(1+F104))</f>
        <v>100</v>
      </c>
      <c r="R104" s="38" t="n">
        <f aca="false">IF(G104="",Q104,Q104*(1+G104))</f>
        <v>100</v>
      </c>
      <c r="S104" s="38" t="n">
        <f aca="false">IF(H104="",R104,R104*(1+H104))</f>
        <v>100</v>
      </c>
      <c r="T104" s="38" t="n">
        <f aca="false">IF(I104="",S104,S104*(1+I104))</f>
        <v>100</v>
      </c>
      <c r="U104" s="38" t="n">
        <f aca="false">IF(J104="",T104,T104*(1+J104))</f>
        <v>100</v>
      </c>
      <c r="V104" s="38" t="n">
        <f aca="false">IF(K104="",U104,U104*(1+K104))</f>
        <v>100</v>
      </c>
    </row>
    <row r="105" customFormat="false" ht="15" hidden="false" customHeight="false" outlineLevel="0" collapsed="false">
      <c r="D105" s="39" t="s">
        <v>105</v>
      </c>
      <c r="E105" s="13" t="str">
        <f aca="false">IF(SUMIFS($C$244:$C$363,$A$244:$A$363,$A$104,$B$244:$B$363,E$65)=0,"",SUMIFS($M$244:$M$363,$A$244:$A$363,$A$104,$B$244:$B$363,E$65))</f>
        <v/>
      </c>
      <c r="F105" s="13" t="str">
        <f aca="false">IF(SUMIFS($C$244:$C$363,$A$244:$A$363,$A$104,$B$244:$B$363,F$65)=0,"",SUMIFS($M$244:$M$363,$A$244:$A$363,$A$104,$B$244:$B$363,F$65))</f>
        <v/>
      </c>
      <c r="G105" s="13" t="str">
        <f aca="false">IF(SUMIFS($C$244:$C$363,$A$244:$A$363,$A$104,$B$244:$B$363,G$65)=0,"",SUMIFS($M$244:$M$363,$A$244:$A$363,$A$104,$B$244:$B$363,G$65))</f>
        <v/>
      </c>
      <c r="H105" s="13" t="str">
        <f aca="false">IF(SUMIFS($C$244:$C$363,$A$244:$A$363,$A$104,$B$244:$B$363,H$65)=0,"",SUMIFS($M$244:$M$363,$A$244:$A$363,$A$104,$B$244:$B$363,H$65))</f>
        <v/>
      </c>
      <c r="I105" s="13" t="str">
        <f aca="false">IF(SUMIFS($C$244:$C$363,$A$244:$A$363,$A$104,$B$244:$B$363,I$65)=0,"",SUMIFS($M$244:$M$363,$A$244:$A$363,$A$104,$B$244:$B$363,I$65))</f>
        <v/>
      </c>
      <c r="J105" s="13" t="str">
        <f aca="false">IF(SUMIFS($C$244:$C$363,$A$244:$A$363,$A$104,$B$244:$B$363,J$65)=0,"",SUMIFS($M$244:$M$363,$A$244:$A$363,$A$104,$B$244:$B$363,J$65))</f>
        <v/>
      </c>
      <c r="K105" s="13" t="str">
        <f aca="false">IF(SUMIFS($C$244:$C$363,$A$244:$A$363,$A$104,$B$244:$B$363,K$65)=0,"",SUMIFS($M$244:$M$363,$A$244:$A$363,$A$104,$B$244:$B$363,K$65))</f>
        <v/>
      </c>
      <c r="L105" s="13" t="n">
        <f aca="false">V105/O105-1</f>
        <v>0</v>
      </c>
      <c r="M105" s="13" t="str">
        <f aca="false">IF($B104=0,"",(V105/O105)^(1/$B104)-1)</f>
        <v/>
      </c>
      <c r="O105" s="40" t="n">
        <v>100</v>
      </c>
      <c r="P105" s="38" t="n">
        <f aca="false">IF(E105="",O105,O105*(1+E105))</f>
        <v>100</v>
      </c>
      <c r="Q105" s="38" t="n">
        <f aca="false">IF(F105="",P105,P105*(1+F105))</f>
        <v>100</v>
      </c>
      <c r="R105" s="38" t="n">
        <f aca="false">IF(G105="",Q105,Q105*(1+G105))</f>
        <v>100</v>
      </c>
      <c r="S105" s="38" t="n">
        <f aca="false">IF(H105="",R105,R105*(1+H105))</f>
        <v>100</v>
      </c>
      <c r="T105" s="38" t="n">
        <f aca="false">IF(I105="",S105,S105*(1+I105))</f>
        <v>100</v>
      </c>
      <c r="U105" s="38" t="n">
        <f aca="false">IF(J105="",T105,T105*(1+J105))</f>
        <v>100</v>
      </c>
      <c r="V105" s="38" t="n">
        <f aca="false">IF(K105="",U105,U105*(1+K105))</f>
        <v>100</v>
      </c>
    </row>
    <row r="106" customFormat="false" ht="15" hidden="false" customHeight="false" outlineLevel="0" collapsed="false">
      <c r="A106" s="41"/>
      <c r="B106" s="41"/>
      <c r="C106" s="41"/>
      <c r="D106" s="42" t="s">
        <v>106</v>
      </c>
      <c r="E106" s="44" t="str">
        <f aca="false">IF(SUMIFS($C$244:$C$363,$A$244:$A$363,$A$104,$B$244:$B$363,E$65)=0,"",SUMIFS($L$244:$L$363,$A$244:$A$363,$A$104,$B$244:$B$363,E$65))</f>
        <v/>
      </c>
      <c r="F106" s="44" t="str">
        <f aca="false">IF(SUMIFS($C$244:$C$363,$A$244:$A$363,$A$104,$B$244:$B$363,F$65)=0,"",SUMIFS($L$244:$L$363,$A$244:$A$363,$A$104,$B$244:$B$363,F$65))</f>
        <v/>
      </c>
      <c r="G106" s="44" t="str">
        <f aca="false">IF(SUMIFS($C$244:$C$363,$A$244:$A$363,$A$104,$B$244:$B$363,G$65)=0,"",SUMIFS($L$244:$L$363,$A$244:$A$363,$A$104,$B$244:$B$363,G$65))</f>
        <v/>
      </c>
      <c r="H106" s="44" t="str">
        <f aca="false">IF(SUMIFS($C$244:$C$363,$A$244:$A$363,$A$104,$B$244:$B$363,H$65)=0,"",SUMIFS($L$244:$L$363,$A$244:$A$363,$A$104,$B$244:$B$363,H$65))</f>
        <v/>
      </c>
      <c r="I106" s="44" t="str">
        <f aca="false">IF(SUMIFS($C$244:$C$363,$A$244:$A$363,$A$104,$B$244:$B$363,I$65)=0,"",SUMIFS($L$244:$L$363,$A$244:$A$363,$A$104,$B$244:$B$363,I$65))</f>
        <v/>
      </c>
      <c r="J106" s="44" t="str">
        <f aca="false">IF(SUMIFS($C$244:$C$363,$A$244:$A$363,$A$104,$B$244:$B$363,J$65)=0,"",SUMIFS($L$244:$L$363,$A$244:$A$363,$A$104,$B$244:$B$363,J$65))</f>
        <v/>
      </c>
      <c r="K106" s="44" t="str">
        <f aca="false">IF(SUMIFS($C$244:$C$363,$A$244:$A$363,$A$104,$B$244:$B$363,K$65)=0,"",SUMIFS($L$244:$L$363,$A$244:$A$363,$A$104,$B$244:$B$363,K$65))</f>
        <v/>
      </c>
      <c r="L106" s="44" t="n">
        <f aca="false">V106/O106-1</f>
        <v>0</v>
      </c>
      <c r="M106" s="44" t="str">
        <f aca="false">IF($B104=0,"",(V106/O106)^(1/$B104)-1)</f>
        <v/>
      </c>
      <c r="N106" s="41"/>
      <c r="O106" s="45" t="n">
        <v>100</v>
      </c>
      <c r="P106" s="43" t="n">
        <f aca="false">IF(E106="",O106,O106*(1+E106))</f>
        <v>100</v>
      </c>
      <c r="Q106" s="43" t="n">
        <f aca="false">IF(F106="",P106,P106*(1+F106))</f>
        <v>100</v>
      </c>
      <c r="R106" s="43" t="n">
        <f aca="false">IF(G106="",Q106,Q106*(1+G106))</f>
        <v>100</v>
      </c>
      <c r="S106" s="43" t="n">
        <f aca="false">IF(H106="",R106,R106*(1+H106))</f>
        <v>100</v>
      </c>
      <c r="T106" s="43" t="n">
        <f aca="false">IF(I106="",S106,S106*(1+I106))</f>
        <v>100</v>
      </c>
      <c r="U106" s="43" t="n">
        <f aca="false">IF(J106="",T106,T106*(1+J106))</f>
        <v>100</v>
      </c>
      <c r="V106" s="43" t="n">
        <f aca="false">IF(K106="",U106,U106*(1+K106))</f>
        <v>100</v>
      </c>
    </row>
    <row r="107" customFormat="false" ht="15" hidden="false" customHeight="false" outlineLevel="0" collapsed="false">
      <c r="A107" s="4" t="s">
        <v>31</v>
      </c>
      <c r="B107" s="8" t="n">
        <f aca="false">COUNT(E107:K107)</f>
        <v>0</v>
      </c>
      <c r="C107" s="38" t="n">
        <f aca="false">SUMIFS($E$244:$E$363,$A$244:$A$363,$A107,$B$244:$B$363,K$65)/1000</f>
        <v>0</v>
      </c>
      <c r="D107" s="39" t="s">
        <v>104</v>
      </c>
      <c r="E107" s="13" t="str">
        <f aca="false">IF(SUMIFS($C$244:$C$363,$A$244:$A$363,$A$107,$B$244:$B$363,E$65)=0,"",SUMIFS($N$244:$N$363,$A$244:$A$363,$A$107,$B$244:$B$363,E$65))</f>
        <v/>
      </c>
      <c r="F107" s="13" t="str">
        <f aca="false">IF(SUMIFS($C$244:$C$363,$A$244:$A$363,$A$107,$B$244:$B$363,F$65)=0,"",SUMIFS($N$244:$N$363,$A$244:$A$363,$A$107,$B$244:$B$363,F$65))</f>
        <v/>
      </c>
      <c r="G107" s="13" t="str">
        <f aca="false">IF(SUMIFS($C$244:$C$363,$A$244:$A$363,$A$107,$B$244:$B$363,G$65)=0,"",SUMIFS($N$244:$N$363,$A$244:$A$363,$A$107,$B$244:$B$363,G$65))</f>
        <v/>
      </c>
      <c r="H107" s="13" t="str">
        <f aca="false">IF(SUMIFS($C$244:$C$363,$A$244:$A$363,$A$107,$B$244:$B$363,H$65)=0,"",SUMIFS($N$244:$N$363,$A$244:$A$363,$A$107,$B$244:$B$363,H$65))</f>
        <v/>
      </c>
      <c r="I107" s="13" t="str">
        <f aca="false">IF(SUMIFS($C$244:$C$363,$A$244:$A$363,$A$107,$B$244:$B$363,I$65)=0,"",SUMIFS($N$244:$N$363,$A$244:$A$363,$A$107,$B$244:$B$363,I$65))</f>
        <v/>
      </c>
      <c r="J107" s="13" t="str">
        <f aca="false">IF(SUMIFS($C$244:$C$363,$A$244:$A$363,$A$107,$B$244:$B$363,J$65)=0,"",SUMIFS($N$244:$N$363,$A$244:$A$363,$A$107,$B$244:$B$363,J$65))</f>
        <v/>
      </c>
      <c r="K107" s="13" t="str">
        <f aca="false">IF(SUMIFS($C$244:$C$363,$A$244:$A$363,$A$107,$B$244:$B$363,K$65)=0,"",SUMIFS($N$244:$N$363,$A$244:$A$363,$A$107,$B$244:$B$363,K$65))</f>
        <v/>
      </c>
      <c r="L107" s="13" t="n">
        <f aca="false">V107/O107-1</f>
        <v>0</v>
      </c>
      <c r="M107" s="13" t="str">
        <f aca="false">IF($B107=0,"",(V107/O107)^(1/$B107)-1)</f>
        <v/>
      </c>
      <c r="O107" s="40" t="n">
        <v>100</v>
      </c>
      <c r="P107" s="38" t="n">
        <f aca="false">IF(E107="",O107,O107*(1+E107))</f>
        <v>100</v>
      </c>
      <c r="Q107" s="38" t="n">
        <f aca="false">IF(F107="",P107,P107*(1+F107))</f>
        <v>100</v>
      </c>
      <c r="R107" s="38" t="n">
        <f aca="false">IF(G107="",Q107,Q107*(1+G107))</f>
        <v>100</v>
      </c>
      <c r="S107" s="38" t="n">
        <f aca="false">IF(H107="",R107,R107*(1+H107))</f>
        <v>100</v>
      </c>
      <c r="T107" s="38" t="n">
        <f aca="false">IF(I107="",S107,S107*(1+I107))</f>
        <v>100</v>
      </c>
      <c r="U107" s="38" t="n">
        <f aca="false">IF(J107="",T107,T107*(1+J107))</f>
        <v>100</v>
      </c>
      <c r="V107" s="38" t="n">
        <f aca="false">IF(K107="",U107,U107*(1+K107))</f>
        <v>100</v>
      </c>
    </row>
    <row r="108" customFormat="false" ht="15" hidden="false" customHeight="false" outlineLevel="0" collapsed="false">
      <c r="D108" s="39" t="s">
        <v>105</v>
      </c>
      <c r="E108" s="13" t="str">
        <f aca="false">IF(SUMIFS($C$244:$C$363,$A$244:$A$363,$A$107,$B$244:$B$363,E$65)=0,"",SUMIFS($M$244:$M$363,$A$244:$A$363,$A$107,$B$244:$B$363,E$65))</f>
        <v/>
      </c>
      <c r="F108" s="13" t="str">
        <f aca="false">IF(SUMIFS($C$244:$C$363,$A$244:$A$363,$A$107,$B$244:$B$363,F$65)=0,"",SUMIFS($M$244:$M$363,$A$244:$A$363,$A$107,$B$244:$B$363,F$65))</f>
        <v/>
      </c>
      <c r="G108" s="13" t="str">
        <f aca="false">IF(SUMIFS($C$244:$C$363,$A$244:$A$363,$A$107,$B$244:$B$363,G$65)=0,"",SUMIFS($M$244:$M$363,$A$244:$A$363,$A$107,$B$244:$B$363,G$65))</f>
        <v/>
      </c>
      <c r="H108" s="13" t="str">
        <f aca="false">IF(SUMIFS($C$244:$C$363,$A$244:$A$363,$A$107,$B$244:$B$363,H$65)=0,"",SUMIFS($M$244:$M$363,$A$244:$A$363,$A$107,$B$244:$B$363,H$65))</f>
        <v/>
      </c>
      <c r="I108" s="13" t="str">
        <f aca="false">IF(SUMIFS($C$244:$C$363,$A$244:$A$363,$A$107,$B$244:$B$363,I$65)=0,"",SUMIFS($M$244:$M$363,$A$244:$A$363,$A$107,$B$244:$B$363,I$65))</f>
        <v/>
      </c>
      <c r="J108" s="13" t="str">
        <f aca="false">IF(SUMIFS($C$244:$C$363,$A$244:$A$363,$A$107,$B$244:$B$363,J$65)=0,"",SUMIFS($M$244:$M$363,$A$244:$A$363,$A$107,$B$244:$B$363,J$65))</f>
        <v/>
      </c>
      <c r="K108" s="13" t="str">
        <f aca="false">IF(SUMIFS($C$244:$C$363,$A$244:$A$363,$A$107,$B$244:$B$363,K$65)=0,"",SUMIFS($M$244:$M$363,$A$244:$A$363,$A$107,$B$244:$B$363,K$65))</f>
        <v/>
      </c>
      <c r="L108" s="13" t="n">
        <f aca="false">V108/O108-1</f>
        <v>0</v>
      </c>
      <c r="M108" s="13" t="str">
        <f aca="false">IF($B107=0,"",(V108/O108)^(1/$B107)-1)</f>
        <v/>
      </c>
      <c r="O108" s="40" t="n">
        <v>100</v>
      </c>
      <c r="P108" s="38" t="n">
        <f aca="false">IF(E108="",O108,O108*(1+E108))</f>
        <v>100</v>
      </c>
      <c r="Q108" s="38" t="n">
        <f aca="false">IF(F108="",P108,P108*(1+F108))</f>
        <v>100</v>
      </c>
      <c r="R108" s="38" t="n">
        <f aca="false">IF(G108="",Q108,Q108*(1+G108))</f>
        <v>100</v>
      </c>
      <c r="S108" s="38" t="n">
        <f aca="false">IF(H108="",R108,R108*(1+H108))</f>
        <v>100</v>
      </c>
      <c r="T108" s="38" t="n">
        <f aca="false">IF(I108="",S108,S108*(1+I108))</f>
        <v>100</v>
      </c>
      <c r="U108" s="38" t="n">
        <f aca="false">IF(J108="",T108,T108*(1+J108))</f>
        <v>100</v>
      </c>
      <c r="V108" s="38" t="n">
        <f aca="false">IF(K108="",U108,U108*(1+K108))</f>
        <v>100</v>
      </c>
    </row>
    <row r="109" customFormat="false" ht="15" hidden="false" customHeight="false" outlineLevel="0" collapsed="false">
      <c r="A109" s="41"/>
      <c r="B109" s="41"/>
      <c r="C109" s="41"/>
      <c r="D109" s="42" t="s">
        <v>106</v>
      </c>
      <c r="E109" s="44" t="str">
        <f aca="false">IF(SUMIFS($C$244:$C$363,$A$244:$A$363,$A$107,$B$244:$B$363,E$65)=0,"",SUMIFS($L$244:$L$363,$A$244:$A$363,$A$107,$B$244:$B$363,E$65))</f>
        <v/>
      </c>
      <c r="F109" s="44" t="str">
        <f aca="false">IF(SUMIFS($C$244:$C$363,$A$244:$A$363,$A$107,$B$244:$B$363,F$65)=0,"",SUMIFS($L$244:$L$363,$A$244:$A$363,$A$107,$B$244:$B$363,F$65))</f>
        <v/>
      </c>
      <c r="G109" s="44" t="str">
        <f aca="false">IF(SUMIFS($C$244:$C$363,$A$244:$A$363,$A$107,$B$244:$B$363,G$65)=0,"",SUMIFS($L$244:$L$363,$A$244:$A$363,$A$107,$B$244:$B$363,G$65))</f>
        <v/>
      </c>
      <c r="H109" s="44" t="str">
        <f aca="false">IF(SUMIFS($C$244:$C$363,$A$244:$A$363,$A$107,$B$244:$B$363,H$65)=0,"",SUMIFS($L$244:$L$363,$A$244:$A$363,$A$107,$B$244:$B$363,H$65))</f>
        <v/>
      </c>
      <c r="I109" s="44" t="str">
        <f aca="false">IF(SUMIFS($C$244:$C$363,$A$244:$A$363,$A$107,$B$244:$B$363,I$65)=0,"",SUMIFS($L$244:$L$363,$A$244:$A$363,$A$107,$B$244:$B$363,I$65))</f>
        <v/>
      </c>
      <c r="J109" s="44" t="str">
        <f aca="false">IF(SUMIFS($C$244:$C$363,$A$244:$A$363,$A$107,$B$244:$B$363,J$65)=0,"",SUMIFS($L$244:$L$363,$A$244:$A$363,$A$107,$B$244:$B$363,J$65))</f>
        <v/>
      </c>
      <c r="K109" s="44" t="str">
        <f aca="false">IF(SUMIFS($C$244:$C$363,$A$244:$A$363,$A$107,$B$244:$B$363,K$65)=0,"",SUMIFS($L$244:$L$363,$A$244:$A$363,$A$107,$B$244:$B$363,K$65))</f>
        <v/>
      </c>
      <c r="L109" s="44" t="n">
        <f aca="false">V109/O109-1</f>
        <v>0</v>
      </c>
      <c r="M109" s="44" t="str">
        <f aca="false">IF($B107=0,"",(V109/O109)^(1/$B107)-1)</f>
        <v/>
      </c>
      <c r="N109" s="41"/>
      <c r="O109" s="45" t="n">
        <v>100</v>
      </c>
      <c r="P109" s="43" t="n">
        <f aca="false">IF(E109="",O109,O109*(1+E109))</f>
        <v>100</v>
      </c>
      <c r="Q109" s="43" t="n">
        <f aca="false">IF(F109="",P109,P109*(1+F109))</f>
        <v>100</v>
      </c>
      <c r="R109" s="43" t="n">
        <f aca="false">IF(G109="",Q109,Q109*(1+G109))</f>
        <v>100</v>
      </c>
      <c r="S109" s="43" t="n">
        <f aca="false">IF(H109="",R109,R109*(1+H109))</f>
        <v>100</v>
      </c>
      <c r="T109" s="43" t="n">
        <f aca="false">IF(I109="",S109,S109*(1+I109))</f>
        <v>100</v>
      </c>
      <c r="U109" s="43" t="n">
        <f aca="false">IF(J109="",T109,T109*(1+J109))</f>
        <v>100</v>
      </c>
      <c r="V109" s="43" t="n">
        <f aca="false">IF(K109="",U109,U109*(1+K109))</f>
        <v>100</v>
      </c>
    </row>
    <row r="110" customFormat="false" ht="15" hidden="false" customHeight="false" outlineLevel="0" collapsed="false">
      <c r="A110" s="4" t="s">
        <v>32</v>
      </c>
      <c r="B110" s="8" t="n">
        <f aca="false">COUNT(E110:K110)</f>
        <v>0</v>
      </c>
      <c r="C110" s="38" t="n">
        <f aca="false">SUMIFS($E$244:$E$363,$A$244:$A$363,$A110,$B$244:$B$363,K$65)/1000</f>
        <v>0</v>
      </c>
      <c r="D110" s="39" t="s">
        <v>104</v>
      </c>
      <c r="E110" s="13" t="str">
        <f aca="false">IF(SUMIFS($C$244:$C$363,$A$244:$A$363,$A$110,$B$244:$B$363,E$65)=0,"",SUMIFS($N$244:$N$363,$A$244:$A$363,$A$110,$B$244:$B$363,E$65))</f>
        <v/>
      </c>
      <c r="F110" s="13" t="str">
        <f aca="false">IF(SUMIFS($C$244:$C$363,$A$244:$A$363,$A$110,$B$244:$B$363,F$65)=0,"",SUMIFS($N$244:$N$363,$A$244:$A$363,$A$110,$B$244:$B$363,F$65))</f>
        <v/>
      </c>
      <c r="G110" s="13" t="str">
        <f aca="false">IF(SUMIFS($C$244:$C$363,$A$244:$A$363,$A$110,$B$244:$B$363,G$65)=0,"",SUMIFS($N$244:$N$363,$A$244:$A$363,$A$110,$B$244:$B$363,G$65))</f>
        <v/>
      </c>
      <c r="H110" s="13" t="str">
        <f aca="false">IF(SUMIFS($C$244:$C$363,$A$244:$A$363,$A$110,$B$244:$B$363,H$65)=0,"",SUMIFS($N$244:$N$363,$A$244:$A$363,$A$110,$B$244:$B$363,H$65))</f>
        <v/>
      </c>
      <c r="I110" s="13" t="str">
        <f aca="false">IF(SUMIFS($C$244:$C$363,$A$244:$A$363,$A$110,$B$244:$B$363,I$65)=0,"",SUMIFS($N$244:$N$363,$A$244:$A$363,$A$110,$B$244:$B$363,I$65))</f>
        <v/>
      </c>
      <c r="J110" s="13" t="str">
        <f aca="false">IF(SUMIFS($C$244:$C$363,$A$244:$A$363,$A$110,$B$244:$B$363,J$65)=0,"",SUMIFS($N$244:$N$363,$A$244:$A$363,$A$110,$B$244:$B$363,J$65))</f>
        <v/>
      </c>
      <c r="K110" s="13" t="str">
        <f aca="false">IF(SUMIFS($C$244:$C$363,$A$244:$A$363,$A$110,$B$244:$B$363,K$65)=0,"",SUMIFS($N$244:$N$363,$A$244:$A$363,$A$110,$B$244:$B$363,K$65))</f>
        <v/>
      </c>
      <c r="L110" s="13" t="n">
        <f aca="false">V110/O110-1</f>
        <v>0</v>
      </c>
      <c r="M110" s="13" t="str">
        <f aca="false">IF($B110=0,"",(V110/O110)^(1/$B110)-1)</f>
        <v/>
      </c>
      <c r="O110" s="40" t="n">
        <v>100</v>
      </c>
      <c r="P110" s="38" t="n">
        <f aca="false">IF(E110="",O110,O110*(1+E110))</f>
        <v>100</v>
      </c>
      <c r="Q110" s="38" t="n">
        <f aca="false">IF(F110="",P110,P110*(1+F110))</f>
        <v>100</v>
      </c>
      <c r="R110" s="38" t="n">
        <f aca="false">IF(G110="",Q110,Q110*(1+G110))</f>
        <v>100</v>
      </c>
      <c r="S110" s="38" t="n">
        <f aca="false">IF(H110="",R110,R110*(1+H110))</f>
        <v>100</v>
      </c>
      <c r="T110" s="38" t="n">
        <f aca="false">IF(I110="",S110,S110*(1+I110))</f>
        <v>100</v>
      </c>
      <c r="U110" s="38" t="n">
        <f aca="false">IF(J110="",T110,T110*(1+J110))</f>
        <v>100</v>
      </c>
      <c r="V110" s="38" t="n">
        <f aca="false">IF(K110="",U110,U110*(1+K110))</f>
        <v>100</v>
      </c>
    </row>
    <row r="111" customFormat="false" ht="15" hidden="false" customHeight="false" outlineLevel="0" collapsed="false">
      <c r="D111" s="39" t="s">
        <v>105</v>
      </c>
      <c r="E111" s="13" t="str">
        <f aca="false">IF(SUMIFS($C$244:$C$363,$A$244:$A$363,$A$110,$B$244:$B$363,E$65)=0,"",SUMIFS($M$244:$M$363,$A$244:$A$363,$A$110,$B$244:$B$363,E$65))</f>
        <v/>
      </c>
      <c r="F111" s="13" t="str">
        <f aca="false">IF(SUMIFS($C$244:$C$363,$A$244:$A$363,$A$110,$B$244:$B$363,F$65)=0,"",SUMIFS($M$244:$M$363,$A$244:$A$363,$A$110,$B$244:$B$363,F$65))</f>
        <v/>
      </c>
      <c r="G111" s="13" t="str">
        <f aca="false">IF(SUMIFS($C$244:$C$363,$A$244:$A$363,$A$110,$B$244:$B$363,G$65)=0,"",SUMIFS($M$244:$M$363,$A$244:$A$363,$A$110,$B$244:$B$363,G$65))</f>
        <v/>
      </c>
      <c r="H111" s="13" t="str">
        <f aca="false">IF(SUMIFS($C$244:$C$363,$A$244:$A$363,$A$110,$B$244:$B$363,H$65)=0,"",SUMIFS($M$244:$M$363,$A$244:$A$363,$A$110,$B$244:$B$363,H$65))</f>
        <v/>
      </c>
      <c r="I111" s="13" t="str">
        <f aca="false">IF(SUMIFS($C$244:$C$363,$A$244:$A$363,$A$110,$B$244:$B$363,I$65)=0,"",SUMIFS($M$244:$M$363,$A$244:$A$363,$A$110,$B$244:$B$363,I$65))</f>
        <v/>
      </c>
      <c r="J111" s="13" t="str">
        <f aca="false">IF(SUMIFS($C$244:$C$363,$A$244:$A$363,$A$110,$B$244:$B$363,J$65)=0,"",SUMIFS($M$244:$M$363,$A$244:$A$363,$A$110,$B$244:$B$363,J$65))</f>
        <v/>
      </c>
      <c r="K111" s="13" t="str">
        <f aca="false">IF(SUMIFS($C$244:$C$363,$A$244:$A$363,$A$110,$B$244:$B$363,K$65)=0,"",SUMIFS($M$244:$M$363,$A$244:$A$363,$A$110,$B$244:$B$363,K$65))</f>
        <v/>
      </c>
      <c r="L111" s="13" t="n">
        <f aca="false">V111/O111-1</f>
        <v>0</v>
      </c>
      <c r="M111" s="13" t="str">
        <f aca="false">IF($B110=0,"",(V111/O111)^(1/$B110)-1)</f>
        <v/>
      </c>
      <c r="O111" s="40" t="n">
        <v>100</v>
      </c>
      <c r="P111" s="38" t="n">
        <f aca="false">IF(E111="",O111,O111*(1+E111))</f>
        <v>100</v>
      </c>
      <c r="Q111" s="38" t="n">
        <f aca="false">IF(F111="",P111,P111*(1+F111))</f>
        <v>100</v>
      </c>
      <c r="R111" s="38" t="n">
        <f aca="false">IF(G111="",Q111,Q111*(1+G111))</f>
        <v>100</v>
      </c>
      <c r="S111" s="38" t="n">
        <f aca="false">IF(H111="",R111,R111*(1+H111))</f>
        <v>100</v>
      </c>
      <c r="T111" s="38" t="n">
        <f aca="false">IF(I111="",S111,S111*(1+I111))</f>
        <v>100</v>
      </c>
      <c r="U111" s="38" t="n">
        <f aca="false">IF(J111="",T111,T111*(1+J111))</f>
        <v>100</v>
      </c>
      <c r="V111" s="38" t="n">
        <f aca="false">IF(K111="",U111,U111*(1+K111))</f>
        <v>100</v>
      </c>
    </row>
    <row r="112" customFormat="false" ht="15" hidden="false" customHeight="false" outlineLevel="0" collapsed="false">
      <c r="A112" s="41"/>
      <c r="B112" s="41"/>
      <c r="C112" s="41"/>
      <c r="D112" s="42" t="s">
        <v>106</v>
      </c>
      <c r="E112" s="44" t="str">
        <f aca="false">IF(SUMIFS($C$244:$C$363,$A$244:$A$363,$A$110,$B$244:$B$363,E$65)=0,"",SUMIFS($L$244:$L$363,$A$244:$A$363,$A$110,$B$244:$B$363,E$65))</f>
        <v/>
      </c>
      <c r="F112" s="44" t="str">
        <f aca="false">IF(SUMIFS($C$244:$C$363,$A$244:$A$363,$A$110,$B$244:$B$363,F$65)=0,"",SUMIFS($L$244:$L$363,$A$244:$A$363,$A$110,$B$244:$B$363,F$65))</f>
        <v/>
      </c>
      <c r="G112" s="44" t="str">
        <f aca="false">IF(SUMIFS($C$244:$C$363,$A$244:$A$363,$A$110,$B$244:$B$363,G$65)=0,"",SUMIFS($L$244:$L$363,$A$244:$A$363,$A$110,$B$244:$B$363,G$65))</f>
        <v/>
      </c>
      <c r="H112" s="44" t="str">
        <f aca="false">IF(SUMIFS($C$244:$C$363,$A$244:$A$363,$A$110,$B$244:$B$363,H$65)=0,"",SUMIFS($L$244:$L$363,$A$244:$A$363,$A$110,$B$244:$B$363,H$65))</f>
        <v/>
      </c>
      <c r="I112" s="44" t="str">
        <f aca="false">IF(SUMIFS($C$244:$C$363,$A$244:$A$363,$A$110,$B$244:$B$363,I$65)=0,"",SUMIFS($L$244:$L$363,$A$244:$A$363,$A$110,$B$244:$B$363,I$65))</f>
        <v/>
      </c>
      <c r="J112" s="44" t="str">
        <f aca="false">IF(SUMIFS($C$244:$C$363,$A$244:$A$363,$A$110,$B$244:$B$363,J$65)=0,"",SUMIFS($L$244:$L$363,$A$244:$A$363,$A$110,$B$244:$B$363,J$65))</f>
        <v/>
      </c>
      <c r="K112" s="44" t="str">
        <f aca="false">IF(SUMIFS($C$244:$C$363,$A$244:$A$363,$A$110,$B$244:$B$363,K$65)=0,"",SUMIFS($L$244:$L$363,$A$244:$A$363,$A$110,$B$244:$B$363,K$65))</f>
        <v/>
      </c>
      <c r="L112" s="44" t="n">
        <f aca="false">V112/O112-1</f>
        <v>0</v>
      </c>
      <c r="M112" s="44" t="str">
        <f aca="false">IF($B110=0,"",(V112/O112)^(1/$B110)-1)</f>
        <v/>
      </c>
      <c r="N112" s="41"/>
      <c r="O112" s="45" t="n">
        <v>100</v>
      </c>
      <c r="P112" s="43" t="n">
        <f aca="false">IF(E112="",O112,O112*(1+E112))</f>
        <v>100</v>
      </c>
      <c r="Q112" s="43" t="n">
        <f aca="false">IF(F112="",P112,P112*(1+F112))</f>
        <v>100</v>
      </c>
      <c r="R112" s="43" t="n">
        <f aca="false">IF(G112="",Q112,Q112*(1+G112))</f>
        <v>100</v>
      </c>
      <c r="S112" s="43" t="n">
        <f aca="false">IF(H112="",R112,R112*(1+H112))</f>
        <v>100</v>
      </c>
      <c r="T112" s="43" t="n">
        <f aca="false">IF(I112="",S112,S112*(1+I112))</f>
        <v>100</v>
      </c>
      <c r="U112" s="43" t="n">
        <f aca="false">IF(J112="",T112,T112*(1+J112))</f>
        <v>100</v>
      </c>
      <c r="V112" s="43" t="n">
        <f aca="false">IF(K112="",U112,U112*(1+K112))</f>
        <v>100</v>
      </c>
    </row>
    <row r="113" customFormat="false" ht="15" hidden="false" customHeight="false" outlineLevel="0" collapsed="false">
      <c r="A113" s="4" t="s">
        <v>33</v>
      </c>
      <c r="B113" s="8" t="n">
        <f aca="false">COUNT(E113:K113)</f>
        <v>0</v>
      </c>
      <c r="C113" s="38" t="n">
        <f aca="false">SUMIFS($E$244:$E$363,$A$244:$A$363,$A113,$B$244:$B$363,K$65)/1000</f>
        <v>0</v>
      </c>
      <c r="D113" s="39" t="s">
        <v>104</v>
      </c>
      <c r="E113" s="13" t="str">
        <f aca="false">IF(SUMIFS($C$244:$C$363,$A$244:$A$363,$A$113,$B$244:$B$363,E$65)=0,"",SUMIFS($N$244:$N$363,$A$244:$A$363,$A$113,$B$244:$B$363,E$65))</f>
        <v/>
      </c>
      <c r="F113" s="13" t="str">
        <f aca="false">IF(SUMIFS($C$244:$C$363,$A$244:$A$363,$A$113,$B$244:$B$363,F$65)=0,"",SUMIFS($N$244:$N$363,$A$244:$A$363,$A$113,$B$244:$B$363,F$65))</f>
        <v/>
      </c>
      <c r="G113" s="13" t="str">
        <f aca="false">IF(SUMIFS($C$244:$C$363,$A$244:$A$363,$A$113,$B$244:$B$363,G$65)=0,"",SUMIFS($N$244:$N$363,$A$244:$A$363,$A$113,$B$244:$B$363,G$65))</f>
        <v/>
      </c>
      <c r="H113" s="13" t="str">
        <f aca="false">IF(SUMIFS($C$244:$C$363,$A$244:$A$363,$A$113,$B$244:$B$363,H$65)=0,"",SUMIFS($N$244:$N$363,$A$244:$A$363,$A$113,$B$244:$B$363,H$65))</f>
        <v/>
      </c>
      <c r="I113" s="13" t="str">
        <f aca="false">IF(SUMIFS($C$244:$C$363,$A$244:$A$363,$A$113,$B$244:$B$363,I$65)=0,"",SUMIFS($N$244:$N$363,$A$244:$A$363,$A$113,$B$244:$B$363,I$65))</f>
        <v/>
      </c>
      <c r="J113" s="13" t="str">
        <f aca="false">IF(SUMIFS($C$244:$C$363,$A$244:$A$363,$A$113,$B$244:$B$363,J$65)=0,"",SUMIFS($N$244:$N$363,$A$244:$A$363,$A$113,$B$244:$B$363,J$65))</f>
        <v/>
      </c>
      <c r="K113" s="13" t="str">
        <f aca="false">IF(SUMIFS($C$244:$C$363,$A$244:$A$363,$A$113,$B$244:$B$363,K$65)=0,"",SUMIFS($N$244:$N$363,$A$244:$A$363,$A$113,$B$244:$B$363,K$65))</f>
        <v/>
      </c>
      <c r="L113" s="13" t="n">
        <f aca="false">V113/O113-1</f>
        <v>0</v>
      </c>
      <c r="M113" s="13" t="str">
        <f aca="false">IF($B113=0,"",(V113/O113)^(1/$B113)-1)</f>
        <v/>
      </c>
      <c r="O113" s="40" t="n">
        <v>100</v>
      </c>
      <c r="P113" s="38" t="n">
        <f aca="false">IF(E113="",O113,O113*(1+E113))</f>
        <v>100</v>
      </c>
      <c r="Q113" s="38" t="n">
        <f aca="false">IF(F113="",P113,P113*(1+F113))</f>
        <v>100</v>
      </c>
      <c r="R113" s="38" t="n">
        <f aca="false">IF(G113="",Q113,Q113*(1+G113))</f>
        <v>100</v>
      </c>
      <c r="S113" s="38" t="n">
        <f aca="false">IF(H113="",R113,R113*(1+H113))</f>
        <v>100</v>
      </c>
      <c r="T113" s="38" t="n">
        <f aca="false">IF(I113="",S113,S113*(1+I113))</f>
        <v>100</v>
      </c>
      <c r="U113" s="38" t="n">
        <f aca="false">IF(J113="",T113,T113*(1+J113))</f>
        <v>100</v>
      </c>
      <c r="V113" s="38" t="n">
        <f aca="false">IF(K113="",U113,U113*(1+K113))</f>
        <v>100</v>
      </c>
    </row>
    <row r="114" customFormat="false" ht="15" hidden="false" customHeight="false" outlineLevel="0" collapsed="false">
      <c r="D114" s="39" t="s">
        <v>105</v>
      </c>
      <c r="E114" s="13" t="str">
        <f aca="false">IF(SUMIFS($C$244:$C$363,$A$244:$A$363,$A$113,$B$244:$B$363,E$65)=0,"",SUMIFS($M$244:$M$363,$A$244:$A$363,$A$113,$B$244:$B$363,E$65))</f>
        <v/>
      </c>
      <c r="F114" s="13" t="str">
        <f aca="false">IF(SUMIFS($C$244:$C$363,$A$244:$A$363,$A$113,$B$244:$B$363,F$65)=0,"",SUMIFS($M$244:$M$363,$A$244:$A$363,$A$113,$B$244:$B$363,F$65))</f>
        <v/>
      </c>
      <c r="G114" s="13" t="str">
        <f aca="false">IF(SUMIFS($C$244:$C$363,$A$244:$A$363,$A$113,$B$244:$B$363,G$65)=0,"",SUMIFS($M$244:$M$363,$A$244:$A$363,$A$113,$B$244:$B$363,G$65))</f>
        <v/>
      </c>
      <c r="H114" s="13" t="str">
        <f aca="false">IF(SUMIFS($C$244:$C$363,$A$244:$A$363,$A$113,$B$244:$B$363,H$65)=0,"",SUMIFS($M$244:$M$363,$A$244:$A$363,$A$113,$B$244:$B$363,H$65))</f>
        <v/>
      </c>
      <c r="I114" s="13" t="str">
        <f aca="false">IF(SUMIFS($C$244:$C$363,$A$244:$A$363,$A$113,$B$244:$B$363,I$65)=0,"",SUMIFS($M$244:$M$363,$A$244:$A$363,$A$113,$B$244:$B$363,I$65))</f>
        <v/>
      </c>
      <c r="J114" s="13" t="str">
        <f aca="false">IF(SUMIFS($C$244:$C$363,$A$244:$A$363,$A$113,$B$244:$B$363,J$65)=0,"",SUMIFS($M$244:$M$363,$A$244:$A$363,$A$113,$B$244:$B$363,J$65))</f>
        <v/>
      </c>
      <c r="K114" s="13" t="str">
        <f aca="false">IF(SUMIFS($C$244:$C$363,$A$244:$A$363,$A$113,$B$244:$B$363,K$65)=0,"",SUMIFS($M$244:$M$363,$A$244:$A$363,$A$113,$B$244:$B$363,K$65))</f>
        <v/>
      </c>
      <c r="L114" s="13" t="n">
        <f aca="false">V114/O114-1</f>
        <v>0</v>
      </c>
      <c r="M114" s="13" t="str">
        <f aca="false">IF($B113=0,"",(V114/O114)^(1/$B113)-1)</f>
        <v/>
      </c>
      <c r="O114" s="40" t="n">
        <v>100</v>
      </c>
      <c r="P114" s="38" t="n">
        <f aca="false">IF(E114="",O114,O114*(1+E114))</f>
        <v>100</v>
      </c>
      <c r="Q114" s="38" t="n">
        <f aca="false">IF(F114="",P114,P114*(1+F114))</f>
        <v>100</v>
      </c>
      <c r="R114" s="38" t="n">
        <f aca="false">IF(G114="",Q114,Q114*(1+G114))</f>
        <v>100</v>
      </c>
      <c r="S114" s="38" t="n">
        <f aca="false">IF(H114="",R114,R114*(1+H114))</f>
        <v>100</v>
      </c>
      <c r="T114" s="38" t="n">
        <f aca="false">IF(I114="",S114,S114*(1+I114))</f>
        <v>100</v>
      </c>
      <c r="U114" s="38" t="n">
        <f aca="false">IF(J114="",T114,T114*(1+J114))</f>
        <v>100</v>
      </c>
      <c r="V114" s="38" t="n">
        <f aca="false">IF(K114="",U114,U114*(1+K114))</f>
        <v>100</v>
      </c>
    </row>
    <row r="115" customFormat="false" ht="15" hidden="false" customHeight="false" outlineLevel="0" collapsed="false">
      <c r="A115" s="41"/>
      <c r="B115" s="41"/>
      <c r="C115" s="41"/>
      <c r="D115" s="42" t="s">
        <v>106</v>
      </c>
      <c r="E115" s="44" t="str">
        <f aca="false">IF(SUMIFS($C$244:$C$363,$A$244:$A$363,$A$113,$B$244:$B$363,E$65)=0,"",SUMIFS($L$244:$L$363,$A$244:$A$363,$A$113,$B$244:$B$363,E$65))</f>
        <v/>
      </c>
      <c r="F115" s="44" t="str">
        <f aca="false">IF(SUMIFS($C$244:$C$363,$A$244:$A$363,$A$113,$B$244:$B$363,F$65)=0,"",SUMIFS($L$244:$L$363,$A$244:$A$363,$A$113,$B$244:$B$363,F$65))</f>
        <v/>
      </c>
      <c r="G115" s="44" t="str">
        <f aca="false">IF(SUMIFS($C$244:$C$363,$A$244:$A$363,$A$113,$B$244:$B$363,G$65)=0,"",SUMIFS($L$244:$L$363,$A$244:$A$363,$A$113,$B$244:$B$363,G$65))</f>
        <v/>
      </c>
      <c r="H115" s="44" t="str">
        <f aca="false">IF(SUMIFS($C$244:$C$363,$A$244:$A$363,$A$113,$B$244:$B$363,H$65)=0,"",SUMIFS($L$244:$L$363,$A$244:$A$363,$A$113,$B$244:$B$363,H$65))</f>
        <v/>
      </c>
      <c r="I115" s="44" t="str">
        <f aca="false">IF(SUMIFS($C$244:$C$363,$A$244:$A$363,$A$113,$B$244:$B$363,I$65)=0,"",SUMIFS($L$244:$L$363,$A$244:$A$363,$A$113,$B$244:$B$363,I$65))</f>
        <v/>
      </c>
      <c r="J115" s="44" t="str">
        <f aca="false">IF(SUMIFS($C$244:$C$363,$A$244:$A$363,$A$113,$B$244:$B$363,J$65)=0,"",SUMIFS($L$244:$L$363,$A$244:$A$363,$A$113,$B$244:$B$363,J$65))</f>
        <v/>
      </c>
      <c r="K115" s="44" t="str">
        <f aca="false">IF(SUMIFS($C$244:$C$363,$A$244:$A$363,$A$113,$B$244:$B$363,K$65)=0,"",SUMIFS($L$244:$L$363,$A$244:$A$363,$A$113,$B$244:$B$363,K$65))</f>
        <v/>
      </c>
      <c r="L115" s="44" t="n">
        <f aca="false">V115/O115-1</f>
        <v>0</v>
      </c>
      <c r="M115" s="44" t="str">
        <f aca="false">IF($B113=0,"",(V115/O115)^(1/$B113)-1)</f>
        <v/>
      </c>
      <c r="N115" s="41"/>
      <c r="O115" s="45" t="n">
        <v>100</v>
      </c>
      <c r="P115" s="43" t="n">
        <f aca="false">IF(E115="",O115,O115*(1+E115))</f>
        <v>100</v>
      </c>
      <c r="Q115" s="43" t="n">
        <f aca="false">IF(F115="",P115,P115*(1+F115))</f>
        <v>100</v>
      </c>
      <c r="R115" s="43" t="n">
        <f aca="false">IF(G115="",Q115,Q115*(1+G115))</f>
        <v>100</v>
      </c>
      <c r="S115" s="43" t="n">
        <f aca="false">IF(H115="",R115,R115*(1+H115))</f>
        <v>100</v>
      </c>
      <c r="T115" s="43" t="n">
        <f aca="false">IF(I115="",S115,S115*(1+I115))</f>
        <v>100</v>
      </c>
      <c r="U115" s="43" t="n">
        <f aca="false">IF(J115="",T115,T115*(1+J115))</f>
        <v>100</v>
      </c>
      <c r="V115" s="43" t="n">
        <f aca="false">IF(K115="",U115,U115*(1+K115))</f>
        <v>100</v>
      </c>
    </row>
    <row r="118" customFormat="false" ht="15" hidden="false" customHeight="false" outlineLevel="0" collapsed="false">
      <c r="A118" s="36" t="s">
        <v>112</v>
      </c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</row>
    <row r="119" customFormat="false" ht="31.5" hidden="false" customHeight="true" outlineLevel="0" collapsed="false">
      <c r="A119" s="12" t="s">
        <v>12</v>
      </c>
      <c r="B119" s="12" t="s">
        <v>77</v>
      </c>
      <c r="C119" s="12" t="s">
        <v>113</v>
      </c>
      <c r="D119" s="12" t="s">
        <v>114</v>
      </c>
      <c r="E119" s="12" t="s">
        <v>115</v>
      </c>
      <c r="F119" s="12" t="s">
        <v>116</v>
      </c>
      <c r="G119" s="12" t="s">
        <v>117</v>
      </c>
      <c r="H119" s="12" t="s">
        <v>118</v>
      </c>
      <c r="I119" s="12" t="s">
        <v>119</v>
      </c>
      <c r="J119" s="12" t="s">
        <v>120</v>
      </c>
      <c r="K119" s="12" t="s">
        <v>121</v>
      </c>
      <c r="L119" s="12" t="s">
        <v>122</v>
      </c>
      <c r="M119" s="12" t="s">
        <v>123</v>
      </c>
      <c r="N119" s="12" t="s">
        <v>124</v>
      </c>
    </row>
    <row r="120" customFormat="false" ht="15" hidden="false" customHeight="false" outlineLevel="0" collapsed="false">
      <c r="A120" s="8" t="s">
        <v>19</v>
      </c>
      <c r="B120" s="46" t="n">
        <v>2008</v>
      </c>
      <c r="C120" s="10" t="n">
        <f aca="false">IF(D120&gt;0,1,0)</f>
        <v>0</v>
      </c>
      <c r="D120" s="9" t="n">
        <f aca="false">IF(SUMIFS(Sales!$D$3:$D$500,Sales!$C$3:$C$500,$A120,Sales!$B$3:$B$500,"&lt;="&amp;DATE($B120-1,12,31))&gt;0,0,SUMIFS('Asset Value'!$F$4:$F$500,'Asset Value'!$C$4:$C$500,$A120,'Asset Value'!$B$4:$B$500,$B120-1)/1000)</f>
        <v>0</v>
      </c>
      <c r="E120" s="9" t="n">
        <f aca="false">IF(SUMIFS(Sales!$D$3:$D$500,Sales!$C$3:$C$500,$A120,Sales!$B$3:$B$500,"&gt;="&amp;DATE($B120,1,1),Sales!$B$3:$B$500,"&lt;="&amp;DATE($B120,12,31))&gt;0,SUMIFS(Sales!$D$3:$D$500,Sales!$C$3:$C$500,$A120,Sales!$B$3:$B$500,"&gt;="&amp;DATE($B120,1,1),Sales!$B$3:$B$500,"&lt;="&amp;DATE($B120,12,31))/1000,SUMIFS('Asset Value'!$F$4:$F$500,'Asset Value'!$C$4:$C$500,$A120,'Asset Value'!$B$4:$B$500,$B120)/1000)</f>
        <v>143610</v>
      </c>
      <c r="F120" s="9" t="n">
        <f aca="false">SUMIFS(Rent!$E$3:$E$500,Rent!$D$3:$D$500,$A120,Rent!$C$3:$C$500,$B120)/1000</f>
        <v>5764.1164875</v>
      </c>
      <c r="G120" s="9" t="n">
        <f aca="false">SUMIFS(Costs!$D$3:$D$500,Costs!$C$3:$C$500,$A120,Costs!$B$3:$B$500,"&gt;="&amp;DATE($B120,1,1),Costs!$B$3:$B$500,"&lt;="&amp;DATE($B120,12,31))/1000</f>
        <v>0</v>
      </c>
      <c r="H120" s="9" t="n">
        <f aca="false">SUMIFS('Partial Sales'!$D$3:$D$500,'Partial Sales'!$C$3:$C$500,$A120,'Partial Sales'!$B$3:$B$500,"&gt;="&amp;DATE($B120,1,1),'Partial Sales'!$B$3:$B$500,"&lt;="&amp;DATE($B120,12,31))/1000</f>
        <v>0</v>
      </c>
      <c r="I120" s="9" t="n">
        <f aca="false">SUMIFS('Partial Purchases'!$D$3:$D$500,'Partial Purchases'!$C$3:$C$500,$A120,'Partial Purchases'!$B$3:$B$500,"&gt;="&amp;DATE($B120,1,1),'Partial Purchases'!$B$3:$B$500,"&lt;="&amp;DATE($B120,12,31))/1000</f>
        <v>0</v>
      </c>
      <c r="J120" s="9" t="n">
        <f aca="false">C120*(D120+0.5*(G120-H120+I120-F120))</f>
        <v>-0</v>
      </c>
      <c r="K120" s="9" t="n">
        <f aca="false">C120*(E120-D120+H120-G120-I120)</f>
        <v>0</v>
      </c>
      <c r="L120" s="13" t="str">
        <f aca="false">IF(J120=0,"",C120*F120/J120)</f>
        <v/>
      </c>
      <c r="M120" s="13" t="str">
        <f aca="false">IF(J120=0,"",K120/J120)</f>
        <v/>
      </c>
      <c r="N120" s="13" t="str">
        <f aca="false">IF(J120=0,"",L120+M120)</f>
        <v/>
      </c>
    </row>
    <row r="121" customFormat="false" ht="15" hidden="false" customHeight="false" outlineLevel="0" collapsed="false">
      <c r="A121" s="8" t="s">
        <v>19</v>
      </c>
      <c r="B121" s="46" t="n">
        <v>2009</v>
      </c>
      <c r="C121" s="10" t="n">
        <f aca="false">IF(D121&gt;0,1,0)</f>
        <v>1</v>
      </c>
      <c r="D121" s="9" t="n">
        <f aca="false">IF(SUMIFS(Sales!$D$3:$D$500,Sales!$C$3:$C$500,$A121,Sales!$B$3:$B$500,"&lt;="&amp;DATE($B121-1,12,31))&gt;0,0,SUMIFS('Asset Value'!$F$4:$F$500,'Asset Value'!$C$4:$C$500,$A121,'Asset Value'!$B$4:$B$500,$B121-1)/1000)</f>
        <v>143610</v>
      </c>
      <c r="E121" s="9" t="n">
        <f aca="false">IF(SUMIFS(Sales!$D$3:$D$500,Sales!$C$3:$C$500,$A121,Sales!$B$3:$B$500,"&gt;="&amp;DATE($B121,1,1),Sales!$B$3:$B$500,"&lt;="&amp;DATE($B121,12,31))&gt;0,SUMIFS(Sales!$D$3:$D$500,Sales!$C$3:$C$500,$A121,Sales!$B$3:$B$500,"&gt;="&amp;DATE($B121,1,1),Sales!$B$3:$B$500,"&lt;="&amp;DATE($B121,12,31))/1000,SUMIFS('Asset Value'!$F$4:$F$500,'Asset Value'!$C$4:$C$500,$A121,'Asset Value'!$B$4:$B$500,$B121)/1000)</f>
        <v>158220</v>
      </c>
      <c r="F121" s="9" t="n">
        <f aca="false">SUMIFS(Rent!$E$3:$E$500,Rent!$D$3:$D$500,$A121,Rent!$C$3:$C$500,$B121)/1000</f>
        <v>5432.845425</v>
      </c>
      <c r="G121" s="9" t="n">
        <f aca="false">SUMIFS(Costs!$D$3:$D$500,Costs!$C$3:$C$500,$A121,Costs!$B$3:$B$500,"&gt;="&amp;DATE($B121,1,1),Costs!$B$3:$B$500,"&lt;="&amp;DATE($B121,12,31))/1000</f>
        <v>0</v>
      </c>
      <c r="H121" s="9" t="n">
        <f aca="false">SUMIFS('Partial Sales'!$D$3:$D$500,'Partial Sales'!$C$3:$C$500,$A121,'Partial Sales'!$B$3:$B$500,"&gt;="&amp;DATE($B121,1,1),'Partial Sales'!$B$3:$B$500,"&lt;="&amp;DATE($B121,12,31))/1000</f>
        <v>0</v>
      </c>
      <c r="I121" s="9" t="n">
        <f aca="false">SUMIFS('Partial Purchases'!$D$3:$D$500,'Partial Purchases'!$C$3:$C$500,$A121,'Partial Purchases'!$B$3:$B$500,"&gt;="&amp;DATE($B121,1,1),'Partial Purchases'!$B$3:$B$500,"&lt;="&amp;DATE($B121,12,31))/1000</f>
        <v>0</v>
      </c>
      <c r="J121" s="9" t="n">
        <f aca="false">C121*(D121+0.5*(G121-H121+I121-F121))</f>
        <v>140893.5772875</v>
      </c>
      <c r="K121" s="9" t="n">
        <f aca="false">C121*(E121-D121+H121-G121-I121)</f>
        <v>14610</v>
      </c>
      <c r="L121" s="13" t="n">
        <f aca="false">IF(J121=0,"",C121*F121/J121)</f>
        <v>0.0385599225287184</v>
      </c>
      <c r="M121" s="13" t="n">
        <f aca="false">IF(J121=0,"",K121/J121)</f>
        <v>0.103695287473521</v>
      </c>
      <c r="N121" s="13" t="n">
        <f aca="false">IF(J121=0,"",L121+M121)</f>
        <v>0.142255210002239</v>
      </c>
    </row>
    <row r="122" customFormat="false" ht="15" hidden="false" customHeight="false" outlineLevel="0" collapsed="false">
      <c r="A122" s="8" t="s">
        <v>19</v>
      </c>
      <c r="B122" s="46" t="n">
        <v>2010</v>
      </c>
      <c r="C122" s="10" t="n">
        <f aca="false">IF(D122&gt;0,1,0)</f>
        <v>1</v>
      </c>
      <c r="D122" s="9" t="n">
        <f aca="false">IF(SUMIFS(Sales!$D$3:$D$500,Sales!$C$3:$C$500,$A122,Sales!$B$3:$B$500,"&lt;="&amp;DATE($B122-1,12,31))&gt;0,0,SUMIFS('Asset Value'!$F$4:$F$500,'Asset Value'!$C$4:$C$500,$A122,'Asset Value'!$B$4:$B$500,$B122-1)/1000)</f>
        <v>158220</v>
      </c>
      <c r="E122" s="9" t="n">
        <f aca="false">IF(SUMIFS(Sales!$D$3:$D$500,Sales!$C$3:$C$500,$A122,Sales!$B$3:$B$500,"&gt;="&amp;DATE($B122,1,1),Sales!$B$3:$B$500,"&lt;="&amp;DATE($B122,12,31))&gt;0,SUMIFS(Sales!$D$3:$D$500,Sales!$C$3:$C$500,$A122,Sales!$B$3:$B$500,"&gt;="&amp;DATE($B122,1,1),Sales!$B$3:$B$500,"&lt;="&amp;DATE($B122,12,31))/1000,SUMIFS('Asset Value'!$F$4:$F$500,'Asset Value'!$C$4:$C$500,$A122,'Asset Value'!$B$4:$B$500,$B122)/1000)</f>
        <v>164240</v>
      </c>
      <c r="F122" s="9" t="n">
        <f aca="false">SUMIFS(Rent!$E$3:$E$500,Rent!$D$3:$D$500,$A122,Rent!$C$3:$C$500,$B122)/1000</f>
        <v>5962.879125</v>
      </c>
      <c r="G122" s="9" t="n">
        <f aca="false">SUMIFS(Costs!$D$3:$D$500,Costs!$C$3:$C$500,$A122,Costs!$B$3:$B$500,"&gt;="&amp;DATE($B122,1,1),Costs!$B$3:$B$500,"&lt;="&amp;DATE($B122,12,31))/1000</f>
        <v>0</v>
      </c>
      <c r="H122" s="9" t="n">
        <f aca="false">SUMIFS('Partial Sales'!$D$3:$D$500,'Partial Sales'!$C$3:$C$500,$A122,'Partial Sales'!$B$3:$B$500,"&gt;="&amp;DATE($B122,1,1),'Partial Sales'!$B$3:$B$500,"&lt;="&amp;DATE($B122,12,31))/1000</f>
        <v>0</v>
      </c>
      <c r="I122" s="9" t="n">
        <f aca="false">SUMIFS('Partial Purchases'!$D$3:$D$500,'Partial Purchases'!$C$3:$C$500,$A122,'Partial Purchases'!$B$3:$B$500,"&gt;="&amp;DATE($B122,1,1),'Partial Purchases'!$B$3:$B$500,"&lt;="&amp;DATE($B122,12,31))/1000</f>
        <v>0</v>
      </c>
      <c r="J122" s="9" t="n">
        <f aca="false">C122*(D122+0.5*(G122-H122+I122-F122))</f>
        <v>155238.5604375</v>
      </c>
      <c r="K122" s="9" t="n">
        <f aca="false">C122*(E122-D122+H122-G122-I122)</f>
        <v>6020</v>
      </c>
      <c r="L122" s="13" t="n">
        <f aca="false">IF(J122=0,"",C122*F122/J122)</f>
        <v>0.0384110694417364</v>
      </c>
      <c r="M122" s="13" t="n">
        <f aca="false">IF(J122=0,"",K122/J122)</f>
        <v>0.0387790248958389</v>
      </c>
      <c r="N122" s="13" t="n">
        <f aca="false">IF(J122=0,"",L122+M122)</f>
        <v>0.0771900943375752</v>
      </c>
    </row>
    <row r="123" customFormat="false" ht="15" hidden="false" customHeight="false" outlineLevel="0" collapsed="false">
      <c r="A123" s="8" t="s">
        <v>19</v>
      </c>
      <c r="B123" s="46" t="n">
        <v>2011</v>
      </c>
      <c r="C123" s="10" t="n">
        <f aca="false">IF(D123&gt;0,1,0)</f>
        <v>1</v>
      </c>
      <c r="D123" s="9" t="n">
        <f aca="false">IF(SUMIFS(Sales!$D$3:$D$500,Sales!$C$3:$C$500,$A123,Sales!$B$3:$B$500,"&lt;="&amp;DATE($B123-1,12,31))&gt;0,0,SUMIFS('Asset Value'!$F$4:$F$500,'Asset Value'!$C$4:$C$500,$A123,'Asset Value'!$B$4:$B$500,$B123-1)/1000)</f>
        <v>164240</v>
      </c>
      <c r="E123" s="9" t="n">
        <f aca="false">IF(SUMIFS(Sales!$D$3:$D$500,Sales!$C$3:$C$500,$A123,Sales!$B$3:$B$500,"&gt;="&amp;DATE($B123,1,1),Sales!$B$3:$B$500,"&lt;="&amp;DATE($B123,12,31))&gt;0,SUMIFS(Sales!$D$3:$D$500,Sales!$C$3:$C$500,$A123,Sales!$B$3:$B$500,"&gt;="&amp;DATE($B123,1,1),Sales!$B$3:$B$500,"&lt;="&amp;DATE($B123,12,31))/1000,SUMIFS('Asset Value'!$F$4:$F$500,'Asset Value'!$C$4:$C$500,$A123,'Asset Value'!$B$4:$B$500,$B123)/1000)</f>
        <v>179570</v>
      </c>
      <c r="F123" s="9" t="n">
        <f aca="false">SUMIFS(Rent!$E$3:$E$500,Rent!$D$3:$D$500,$A123,Rent!$C$3:$C$500,$B123)/1000</f>
        <v>4000.30904</v>
      </c>
      <c r="G123" s="9" t="n">
        <f aca="false">SUMIFS(Costs!$D$3:$D$500,Costs!$C$3:$C$500,$A123,Costs!$B$3:$B$500,"&gt;="&amp;DATE($B123,1,1),Costs!$B$3:$B$500,"&lt;="&amp;DATE($B123,12,31))/1000</f>
        <v>0</v>
      </c>
      <c r="H123" s="9" t="n">
        <f aca="false">SUMIFS('Partial Sales'!$D$3:$D$500,'Partial Sales'!$C$3:$C$500,$A123,'Partial Sales'!$B$3:$B$500,"&gt;="&amp;DATE($B123,1,1),'Partial Sales'!$B$3:$B$500,"&lt;="&amp;DATE($B123,12,31))/1000</f>
        <v>0</v>
      </c>
      <c r="I123" s="9" t="n">
        <f aca="false">SUMIFS('Partial Purchases'!$D$3:$D$500,'Partial Purchases'!$C$3:$C$500,$A123,'Partial Purchases'!$B$3:$B$500,"&gt;="&amp;DATE($B123,1,1),'Partial Purchases'!$B$3:$B$500,"&lt;="&amp;DATE($B123,12,31))/1000</f>
        <v>0</v>
      </c>
      <c r="J123" s="9" t="n">
        <f aca="false">C123*(D123+0.5*(G123-H123+I123-F123))</f>
        <v>162239.84548</v>
      </c>
      <c r="K123" s="9" t="n">
        <f aca="false">C123*(E123-D123+H123-G123-I123)</f>
        <v>15330</v>
      </c>
      <c r="L123" s="13" t="n">
        <f aca="false">IF(J123=0,"",C123*F123/J123)</f>
        <v>0.0246567606629848</v>
      </c>
      <c r="M123" s="13" t="n">
        <f aca="false">IF(J123=0,"",K123/J123)</f>
        <v>0.094489734963966</v>
      </c>
      <c r="N123" s="13" t="n">
        <f aca="false">IF(J123=0,"",L123+M123)</f>
        <v>0.119146495626951</v>
      </c>
    </row>
    <row r="124" customFormat="false" ht="15" hidden="false" customHeight="false" outlineLevel="0" collapsed="false">
      <c r="A124" s="8" t="s">
        <v>19</v>
      </c>
      <c r="B124" s="46" t="n">
        <v>2012</v>
      </c>
      <c r="C124" s="10" t="n">
        <f aca="false">IF(D124&gt;0,1,0)</f>
        <v>1</v>
      </c>
      <c r="D124" s="9" t="n">
        <f aca="false">IF(SUMIFS(Sales!$D$3:$D$500,Sales!$C$3:$C$500,$A124,Sales!$B$3:$B$500,"&lt;="&amp;DATE($B124-1,12,31))&gt;0,0,SUMIFS('Asset Value'!$F$4:$F$500,'Asset Value'!$C$4:$C$500,$A124,'Asset Value'!$B$4:$B$500,$B124-1)/1000)</f>
        <v>179570</v>
      </c>
      <c r="E124" s="9" t="n">
        <f aca="false">IF(SUMIFS(Sales!$D$3:$D$500,Sales!$C$3:$C$500,$A124,Sales!$B$3:$B$500,"&gt;="&amp;DATE($B124,1,1),Sales!$B$3:$B$500,"&lt;="&amp;DATE($B124,12,31))&gt;0,SUMIFS(Sales!$D$3:$D$500,Sales!$C$3:$C$500,$A124,Sales!$B$3:$B$500,"&gt;="&amp;DATE($B124,1,1),Sales!$B$3:$B$500,"&lt;="&amp;DATE($B124,12,31))/1000,SUMIFS('Asset Value'!$F$4:$F$500,'Asset Value'!$C$4:$C$500,$A124,'Asset Value'!$B$4:$B$500,$B124)/1000)</f>
        <v>215630</v>
      </c>
      <c r="F124" s="9" t="n">
        <f aca="false">SUMIFS(Rent!$E$3:$E$500,Rent!$D$3:$D$500,$A124,Rent!$C$3:$C$500,$B124)/1000</f>
        <v>6522</v>
      </c>
      <c r="G124" s="9" t="n">
        <f aca="false">SUMIFS(Costs!$D$3:$D$500,Costs!$C$3:$C$500,$A124,Costs!$B$3:$B$500,"&gt;="&amp;DATE($B124,1,1),Costs!$B$3:$B$500,"&lt;="&amp;DATE($B124,12,31))/1000</f>
        <v>0</v>
      </c>
      <c r="H124" s="9" t="n">
        <f aca="false">SUMIFS('Partial Sales'!$D$3:$D$500,'Partial Sales'!$C$3:$C$500,$A124,'Partial Sales'!$B$3:$B$500,"&gt;="&amp;DATE($B124,1,1),'Partial Sales'!$B$3:$B$500,"&lt;="&amp;DATE($B124,12,31))/1000</f>
        <v>0</v>
      </c>
      <c r="I124" s="9" t="n">
        <f aca="false">SUMIFS('Partial Purchases'!$D$3:$D$500,'Partial Purchases'!$C$3:$C$500,$A124,'Partial Purchases'!$B$3:$B$500,"&gt;="&amp;DATE($B124,1,1),'Partial Purchases'!$B$3:$B$500,"&lt;="&amp;DATE($B124,12,31))/1000</f>
        <v>0</v>
      </c>
      <c r="J124" s="9" t="n">
        <f aca="false">C124*(D124+0.5*(G124-H124+I124-F124))</f>
        <v>176309</v>
      </c>
      <c r="K124" s="9" t="n">
        <f aca="false">C124*(E124-D124+H124-G124-I124)</f>
        <v>36060</v>
      </c>
      <c r="L124" s="13" t="n">
        <f aca="false">IF(J124=0,"",C124*F124/J124)</f>
        <v>0.0369918722243334</v>
      </c>
      <c r="M124" s="13" t="n">
        <f aca="false">IF(J124=0,"",K124/J124)</f>
        <v>0.204527278811632</v>
      </c>
      <c r="N124" s="13" t="n">
        <f aca="false">IF(J124=0,"",L124+M124)</f>
        <v>0.241519151035965</v>
      </c>
    </row>
    <row r="125" customFormat="false" ht="15" hidden="false" customHeight="false" outlineLevel="0" collapsed="false">
      <c r="A125" s="8" t="s">
        <v>19</v>
      </c>
      <c r="B125" s="46" t="n">
        <v>2013</v>
      </c>
      <c r="C125" s="10" t="n">
        <f aca="false">IF(D125&gt;0,1,0)</f>
        <v>1</v>
      </c>
      <c r="D125" s="9" t="n">
        <f aca="false">IF(SUMIFS(Sales!$D$3:$D$500,Sales!$C$3:$C$500,$A125,Sales!$B$3:$B$500,"&lt;="&amp;DATE($B125-1,12,31))&gt;0,0,SUMIFS('Asset Value'!$F$4:$F$500,'Asset Value'!$C$4:$C$500,$A125,'Asset Value'!$B$4:$B$500,$B125-1)/1000)</f>
        <v>215630</v>
      </c>
      <c r="E125" s="9" t="n">
        <f aca="false">IF(SUMIFS(Sales!$D$3:$D$500,Sales!$C$3:$C$500,$A125,Sales!$B$3:$B$500,"&gt;="&amp;DATE($B125,1,1),Sales!$B$3:$B$500,"&lt;="&amp;DATE($B125,12,31))&gt;0,SUMIFS(Sales!$D$3:$D$500,Sales!$C$3:$C$500,$A125,Sales!$B$3:$B$500,"&gt;="&amp;DATE($B125,1,1),Sales!$B$3:$B$500,"&lt;="&amp;DATE($B125,12,31))/1000,SUMIFS('Asset Value'!$F$4:$F$500,'Asset Value'!$C$4:$C$500,$A125,'Asset Value'!$B$4:$B$500,$B125)/1000)</f>
        <v>224342</v>
      </c>
      <c r="F125" s="9" t="n">
        <f aca="false">SUMIFS(Rent!$E$3:$E$500,Rent!$D$3:$D$500,$A125,Rent!$C$3:$C$500,$B125)/1000</f>
        <v>5902</v>
      </c>
      <c r="G125" s="9" t="n">
        <f aca="false">SUMIFS(Costs!$D$3:$D$500,Costs!$C$3:$C$500,$A125,Costs!$B$3:$B$500,"&gt;="&amp;DATE($B125,1,1),Costs!$B$3:$B$500,"&lt;="&amp;DATE($B125,12,31))/1000</f>
        <v>0</v>
      </c>
      <c r="H125" s="9" t="n">
        <f aca="false">SUMIFS('Partial Sales'!$D$3:$D$500,'Partial Sales'!$C$3:$C$500,$A125,'Partial Sales'!$B$3:$B$500,"&gt;="&amp;DATE($B125,1,1),'Partial Sales'!$B$3:$B$500,"&lt;="&amp;DATE($B125,12,31))/1000</f>
        <v>0</v>
      </c>
      <c r="I125" s="9" t="n">
        <f aca="false">SUMIFS('Partial Purchases'!$D$3:$D$500,'Partial Purchases'!$C$3:$C$500,$A125,'Partial Purchases'!$B$3:$B$500,"&gt;="&amp;DATE($B125,1,1),'Partial Purchases'!$B$3:$B$500,"&lt;="&amp;DATE($B125,12,31))/1000</f>
        <v>0</v>
      </c>
      <c r="J125" s="9" t="n">
        <f aca="false">C125*(D125+0.5*(G125-H125+I125-F125))</f>
        <v>212679</v>
      </c>
      <c r="K125" s="9" t="n">
        <f aca="false">C125*(E125-D125+H125-G125-I125)</f>
        <v>8712</v>
      </c>
      <c r="L125" s="13" t="n">
        <f aca="false">IF(J125=0,"",C125*F125/J125)</f>
        <v>0.0277507417281443</v>
      </c>
      <c r="M125" s="13" t="n">
        <f aca="false">IF(J125=0,"",K125/J125)</f>
        <v>0.0409631416359866</v>
      </c>
      <c r="N125" s="13" t="n">
        <f aca="false">IF(J125=0,"",L125+M125)</f>
        <v>0.0687138833641309</v>
      </c>
    </row>
    <row r="126" customFormat="false" ht="15" hidden="false" customHeight="false" outlineLevel="0" collapsed="false">
      <c r="A126" s="8" t="s">
        <v>19</v>
      </c>
      <c r="B126" s="46" t="n">
        <v>2014</v>
      </c>
      <c r="C126" s="10" t="n">
        <f aca="false">IF(D126&gt;0,1,0)</f>
        <v>1</v>
      </c>
      <c r="D126" s="9" t="n">
        <f aca="false">IF(SUMIFS(Sales!$D$3:$D$500,Sales!$C$3:$C$500,$A126,Sales!$B$3:$B$500,"&lt;="&amp;DATE($B126-1,12,31))&gt;0,0,SUMIFS('Asset Value'!$F$4:$F$500,'Asset Value'!$C$4:$C$500,$A126,'Asset Value'!$B$4:$B$500,$B126-1)/1000)</f>
        <v>224342</v>
      </c>
      <c r="E126" s="9" t="n">
        <f aca="false">IF(SUMIFS(Sales!$D$3:$D$500,Sales!$C$3:$C$500,$A126,Sales!$B$3:$B$500,"&gt;="&amp;DATE($B126,1,1),Sales!$B$3:$B$500,"&lt;="&amp;DATE($B126,12,31))&gt;0,SUMIFS(Sales!$D$3:$D$500,Sales!$C$3:$C$500,$A126,Sales!$B$3:$B$500,"&gt;="&amp;DATE($B126,1,1),Sales!$B$3:$B$500,"&lt;="&amp;DATE($B126,12,31))/1000,SUMIFS('Asset Value'!$F$4:$F$500,'Asset Value'!$C$4:$C$500,$A126,'Asset Value'!$B$4:$B$500,$B126)/1000)</f>
        <v>269921</v>
      </c>
      <c r="F126" s="9" t="n">
        <f aca="false">SUMIFS(Rent!$E$3:$E$500,Rent!$D$3:$D$500,$A126,Rent!$C$3:$C$500,$B126)/1000</f>
        <v>6567</v>
      </c>
      <c r="G126" s="9" t="n">
        <f aca="false">SUMIFS(Costs!$D$3:$D$500,Costs!$C$3:$C$500,$A126,Costs!$B$3:$B$500,"&gt;="&amp;DATE($B126,1,1),Costs!$B$3:$B$500,"&lt;="&amp;DATE($B126,12,31))/1000</f>
        <v>0</v>
      </c>
      <c r="H126" s="9" t="n">
        <f aca="false">SUMIFS('Partial Sales'!$D$3:$D$500,'Partial Sales'!$C$3:$C$500,$A126,'Partial Sales'!$B$3:$B$500,"&gt;="&amp;DATE($B126,1,1),'Partial Sales'!$B$3:$B$500,"&lt;="&amp;DATE($B126,12,31))/1000</f>
        <v>0</v>
      </c>
      <c r="I126" s="9" t="n">
        <f aca="false">SUMIFS('Partial Purchases'!$D$3:$D$500,'Partial Purchases'!$C$3:$C$500,$A126,'Partial Purchases'!$B$3:$B$500,"&gt;="&amp;DATE($B126,1,1),'Partial Purchases'!$B$3:$B$500,"&lt;="&amp;DATE($B126,12,31))/1000</f>
        <v>0</v>
      </c>
      <c r="J126" s="9" t="n">
        <f aca="false">C126*(D126+0.5*(G126-H126+I126-F126))</f>
        <v>221058.5</v>
      </c>
      <c r="K126" s="9" t="n">
        <f aca="false">C126*(E126-D126+H126-G126-I126)</f>
        <v>45579</v>
      </c>
      <c r="L126" s="13" t="n">
        <f aca="false">IF(J126=0,"",C126*F126/J126)</f>
        <v>0.0297070684909198</v>
      </c>
      <c r="M126" s="13" t="n">
        <f aca="false">IF(J126=0,"",K126/J126)</f>
        <v>0.206185240558495</v>
      </c>
      <c r="N126" s="13" t="n">
        <f aca="false">IF(J126=0,"",L126+M126)</f>
        <v>0.235892309049415</v>
      </c>
    </row>
    <row r="127" customFormat="false" ht="15" hidden="false" customHeight="false" outlineLevel="0" collapsed="false">
      <c r="A127" s="47" t="s">
        <v>19</v>
      </c>
      <c r="B127" s="48" t="n">
        <v>2015</v>
      </c>
      <c r="C127" s="49" t="n">
        <f aca="false">IF(D127&gt;0,1,0)</f>
        <v>1</v>
      </c>
      <c r="D127" s="50" t="n">
        <f aca="false">IF(SUMIFS(Sales!$D$3:$D$500,Sales!$C$3:$C$500,$A127,Sales!$B$3:$B$500,"&lt;="&amp;DATE($B127-1,12,31))&gt;0,0,SUMIFS('Asset Value'!$F$4:$F$500,'Asset Value'!$C$4:$C$500,$A127,'Asset Value'!$B$4:$B$500,$B127-1)/1000)</f>
        <v>269921</v>
      </c>
      <c r="E127" s="50" t="n">
        <f aca="false">IF(SUMIFS(Sales!$D$3:$D$500,Sales!$C$3:$C$500,$A127,Sales!$B$3:$B$500,"&gt;="&amp;DATE($B127,1,1),Sales!$B$3:$B$500,"&lt;="&amp;DATE($B127,12,31))&gt;0,SUMIFS(Sales!$D$3:$D$500,Sales!$C$3:$C$500,$A127,Sales!$B$3:$B$500,"&gt;="&amp;DATE($B127,1,1),Sales!$B$3:$B$500,"&lt;="&amp;DATE($B127,12,31))/1000,SUMIFS('Asset Value'!$F$4:$F$500,'Asset Value'!$C$4:$C$500,$A127,'Asset Value'!$B$4:$B$500,$B127)/1000)</f>
        <v>290900</v>
      </c>
      <c r="F127" s="50" t="n">
        <f aca="false">SUMIFS(Rent!$E$3:$E$500,Rent!$D$3:$D$500,$A127,Rent!$C$3:$C$500,$B127)/1000</f>
        <v>8312</v>
      </c>
      <c r="G127" s="50" t="n">
        <f aca="false">SUMIFS(Costs!$D$3:$D$500,Costs!$C$3:$C$500,$A127,Costs!$B$3:$B$500,"&gt;="&amp;DATE($B127,1,1),Costs!$B$3:$B$500,"&lt;="&amp;DATE($B127,12,31))/1000</f>
        <v>0</v>
      </c>
      <c r="H127" s="50" t="n">
        <f aca="false">SUMIFS('Partial Sales'!$D$3:$D$500,'Partial Sales'!$C$3:$C$500,$A127,'Partial Sales'!$B$3:$B$500,"&gt;="&amp;DATE($B127,1,1),'Partial Sales'!$B$3:$B$500,"&lt;="&amp;DATE($B127,12,31))/1000</f>
        <v>0</v>
      </c>
      <c r="I127" s="50" t="n">
        <f aca="false">SUMIFS('Partial Purchases'!$D$3:$D$500,'Partial Purchases'!$C$3:$C$500,$A127,'Partial Purchases'!$B$3:$B$500,"&gt;="&amp;DATE($B127,1,1),'Partial Purchases'!$B$3:$B$500,"&lt;="&amp;DATE($B127,12,31))/1000</f>
        <v>0</v>
      </c>
      <c r="J127" s="50" t="n">
        <f aca="false">C127*(D127+0.5*(G127-H127+I127-F127))</f>
        <v>265765</v>
      </c>
      <c r="K127" s="50" t="n">
        <f aca="false">C127*(E127-D127+H127-G127-I127)</f>
        <v>20979</v>
      </c>
      <c r="L127" s="44" t="n">
        <f aca="false">IF(J127=0,"",C127*F127/J127)</f>
        <v>0.0312757511335202</v>
      </c>
      <c r="M127" s="44" t="n">
        <f aca="false">IF(J127=0,"",K127/J127)</f>
        <v>0.0789381596523244</v>
      </c>
      <c r="N127" s="44" t="n">
        <f aca="false">IF(J127=0,"",L127+M127)</f>
        <v>0.110213910785845</v>
      </c>
    </row>
    <row r="128" customFormat="false" ht="15" hidden="false" customHeight="false" outlineLevel="0" collapsed="false">
      <c r="A128" s="8" t="s">
        <v>20</v>
      </c>
      <c r="B128" s="46" t="n">
        <v>2008</v>
      </c>
      <c r="C128" s="10" t="n">
        <f aca="false">IF(D128&gt;0,1,0)</f>
        <v>0</v>
      </c>
      <c r="D128" s="9" t="n">
        <f aca="false">IF(SUMIFS(Sales!$D$3:$D$500,Sales!$C$3:$C$500,$A128,Sales!$B$3:$B$500,"&lt;="&amp;DATE($B128-1,12,31))&gt;0,0,SUMIFS('Asset Value'!$F$4:$F$500,'Asset Value'!$C$4:$C$500,$A128,'Asset Value'!$B$4:$B$500,$B128-1)/1000)</f>
        <v>0</v>
      </c>
      <c r="E128" s="9" t="n">
        <f aca="false">IF(SUMIFS(Sales!$D$3:$D$500,Sales!$C$3:$C$500,$A128,Sales!$B$3:$B$500,"&gt;="&amp;DATE($B128,1,1),Sales!$B$3:$B$500,"&lt;="&amp;DATE($B128,12,31))&gt;0,SUMIFS(Sales!$D$3:$D$500,Sales!$C$3:$C$500,$A128,Sales!$B$3:$B$500,"&gt;="&amp;DATE($B128,1,1),Sales!$B$3:$B$500,"&lt;="&amp;DATE($B128,12,31))/1000,SUMIFS('Asset Value'!$F$4:$F$500,'Asset Value'!$C$4:$C$500,$A128,'Asset Value'!$B$4:$B$500,$B128)/1000)</f>
        <v>207710</v>
      </c>
      <c r="F128" s="9" t="n">
        <f aca="false">SUMIFS(Rent!$E$3:$E$500,Rent!$D$3:$D$500,$A128,Rent!$C$3:$C$500,$B128)/1000</f>
        <v>6078.89436</v>
      </c>
      <c r="G128" s="9" t="n">
        <f aca="false">SUMIFS(Costs!$D$3:$D$500,Costs!$C$3:$C$500,$A128,Costs!$B$3:$B$500,"&gt;="&amp;DATE($B128,1,1),Costs!$B$3:$B$500,"&lt;="&amp;DATE($B128,12,31))/1000</f>
        <v>0</v>
      </c>
      <c r="H128" s="9" t="n">
        <f aca="false">SUMIFS('Partial Sales'!$D$3:$D$500,'Partial Sales'!$C$3:$C$500,$A128,'Partial Sales'!$B$3:$B$500,"&gt;="&amp;DATE($B128,1,1),'Partial Sales'!$B$3:$B$500,"&lt;="&amp;DATE($B128,12,31))/1000</f>
        <v>0</v>
      </c>
      <c r="I128" s="9" t="n">
        <f aca="false">SUMIFS('Partial Purchases'!$D$3:$D$500,'Partial Purchases'!$C$3:$C$500,$A128,'Partial Purchases'!$B$3:$B$500,"&gt;="&amp;DATE($B128,1,1),'Partial Purchases'!$B$3:$B$500,"&lt;="&amp;DATE($B128,12,31))/1000</f>
        <v>0</v>
      </c>
      <c r="J128" s="9" t="n">
        <f aca="false">C128*(D128+0.5*(G128-H128+I128-F128))</f>
        <v>-0</v>
      </c>
      <c r="K128" s="9" t="n">
        <f aca="false">C128*(E128-D128+H128-G128-I128)</f>
        <v>0</v>
      </c>
      <c r="L128" s="13" t="str">
        <f aca="false">IF(J128=0,"",C128*F128/J128)</f>
        <v/>
      </c>
      <c r="M128" s="13" t="str">
        <f aca="false">IF(J128=0,"",K128/J128)</f>
        <v/>
      </c>
      <c r="N128" s="13" t="str">
        <f aca="false">IF(J128=0,"",L128+M128)</f>
        <v/>
      </c>
    </row>
    <row r="129" customFormat="false" ht="15" hidden="false" customHeight="false" outlineLevel="0" collapsed="false">
      <c r="A129" s="8" t="s">
        <v>20</v>
      </c>
      <c r="B129" s="46" t="n">
        <v>2009</v>
      </c>
      <c r="C129" s="10" t="n">
        <f aca="false">IF(D129&gt;0,1,0)</f>
        <v>1</v>
      </c>
      <c r="D129" s="9" t="n">
        <f aca="false">IF(SUMIFS(Sales!$D$3:$D$500,Sales!$C$3:$C$500,$A129,Sales!$B$3:$B$500,"&lt;="&amp;DATE($B129-1,12,31))&gt;0,0,SUMIFS('Asset Value'!$F$4:$F$500,'Asset Value'!$C$4:$C$500,$A129,'Asset Value'!$B$4:$B$500,$B129-1)/1000)</f>
        <v>207710</v>
      </c>
      <c r="E129" s="9" t="n">
        <f aca="false">IF(SUMIFS(Sales!$D$3:$D$500,Sales!$C$3:$C$500,$A129,Sales!$B$3:$B$500,"&gt;="&amp;DATE($B129,1,1),Sales!$B$3:$B$500,"&lt;="&amp;DATE($B129,12,31))&gt;0,SUMIFS(Sales!$D$3:$D$500,Sales!$C$3:$C$500,$A129,Sales!$B$3:$B$500,"&gt;="&amp;DATE($B129,1,1),Sales!$B$3:$B$500,"&lt;="&amp;DATE($B129,12,31))/1000,SUMIFS('Asset Value'!$F$4:$F$500,'Asset Value'!$C$4:$C$500,$A129,'Asset Value'!$B$4:$B$500,$B129)/1000)</f>
        <v>234810</v>
      </c>
      <c r="F129" s="9" t="n">
        <f aca="false">SUMIFS(Rent!$E$3:$E$500,Rent!$D$3:$D$500,$A129,Rent!$C$3:$C$500,$B129)/1000</f>
        <v>5934.15878</v>
      </c>
      <c r="G129" s="9" t="n">
        <f aca="false">SUMIFS(Costs!$D$3:$D$500,Costs!$C$3:$C$500,$A129,Costs!$B$3:$B$500,"&gt;="&amp;DATE($B129,1,1),Costs!$B$3:$B$500,"&lt;="&amp;DATE($B129,12,31))/1000</f>
        <v>0</v>
      </c>
      <c r="H129" s="9" t="n">
        <f aca="false">SUMIFS('Partial Sales'!$D$3:$D$500,'Partial Sales'!$C$3:$C$500,$A129,'Partial Sales'!$B$3:$B$500,"&gt;="&amp;DATE($B129,1,1),'Partial Sales'!$B$3:$B$500,"&lt;="&amp;DATE($B129,12,31))/1000</f>
        <v>0</v>
      </c>
      <c r="I129" s="9" t="n">
        <f aca="false">SUMIFS('Partial Purchases'!$D$3:$D$500,'Partial Purchases'!$C$3:$C$500,$A129,'Partial Purchases'!$B$3:$B$500,"&gt;="&amp;DATE($B129,1,1),'Partial Purchases'!$B$3:$B$500,"&lt;="&amp;DATE($B129,12,31))/1000</f>
        <v>0</v>
      </c>
      <c r="J129" s="9" t="n">
        <f aca="false">C129*(D129+0.5*(G129-H129+I129-F129))</f>
        <v>204742.92061</v>
      </c>
      <c r="K129" s="9" t="n">
        <f aca="false">C129*(E129-D129+H129-G129-I129)</f>
        <v>27100</v>
      </c>
      <c r="L129" s="13" t="n">
        <f aca="false">IF(J129=0,"",C129*F129/J129)</f>
        <v>0.0289834625896714</v>
      </c>
      <c r="M129" s="13" t="n">
        <f aca="false">IF(J129=0,"",K129/J129)</f>
        <v>0.132361108844495</v>
      </c>
      <c r="N129" s="13" t="n">
        <f aca="false">IF(J129=0,"",L129+M129)</f>
        <v>0.161344571434166</v>
      </c>
    </row>
    <row r="130" customFormat="false" ht="15" hidden="false" customHeight="false" outlineLevel="0" collapsed="false">
      <c r="A130" s="8" t="s">
        <v>20</v>
      </c>
      <c r="B130" s="46" t="n">
        <v>2010</v>
      </c>
      <c r="C130" s="10" t="n">
        <f aca="false">IF(D130&gt;0,1,0)</f>
        <v>1</v>
      </c>
      <c r="D130" s="9" t="n">
        <f aca="false">IF(SUMIFS(Sales!$D$3:$D$500,Sales!$C$3:$C$500,$A130,Sales!$B$3:$B$500,"&lt;="&amp;DATE($B130-1,12,31))&gt;0,0,SUMIFS('Asset Value'!$F$4:$F$500,'Asset Value'!$C$4:$C$500,$A130,'Asset Value'!$B$4:$B$500,$B130-1)/1000)</f>
        <v>234810</v>
      </c>
      <c r="E130" s="9" t="n">
        <f aca="false">IF(SUMIFS(Sales!$D$3:$D$500,Sales!$C$3:$C$500,$A130,Sales!$B$3:$B$500,"&gt;="&amp;DATE($B130,1,1),Sales!$B$3:$B$500,"&lt;="&amp;DATE($B130,12,31))&gt;0,SUMIFS(Sales!$D$3:$D$500,Sales!$C$3:$C$500,$A130,Sales!$B$3:$B$500,"&gt;="&amp;DATE($B130,1,1),Sales!$B$3:$B$500,"&lt;="&amp;DATE($B130,12,31))/1000,SUMIFS('Asset Value'!$F$4:$F$500,'Asset Value'!$C$4:$C$500,$A130,'Asset Value'!$B$4:$B$500,$B130)/1000)</f>
        <v>241810</v>
      </c>
      <c r="F130" s="9" t="n">
        <f aca="false">SUMIFS(Rent!$E$3:$E$500,Rent!$D$3:$D$500,$A130,Rent!$C$3:$C$500,$B130)/1000</f>
        <v>6802.57226</v>
      </c>
      <c r="G130" s="9" t="n">
        <f aca="false">SUMIFS(Costs!$D$3:$D$500,Costs!$C$3:$C$500,$A130,Costs!$B$3:$B$500,"&gt;="&amp;DATE($B130,1,1),Costs!$B$3:$B$500,"&lt;="&amp;DATE($B130,12,31))/1000</f>
        <v>0</v>
      </c>
      <c r="H130" s="9" t="n">
        <f aca="false">SUMIFS('Partial Sales'!$D$3:$D$500,'Partial Sales'!$C$3:$C$500,$A130,'Partial Sales'!$B$3:$B$500,"&gt;="&amp;DATE($B130,1,1),'Partial Sales'!$B$3:$B$500,"&lt;="&amp;DATE($B130,12,31))/1000</f>
        <v>0</v>
      </c>
      <c r="I130" s="9" t="n">
        <f aca="false">SUMIFS('Partial Purchases'!$D$3:$D$500,'Partial Purchases'!$C$3:$C$500,$A130,'Partial Purchases'!$B$3:$B$500,"&gt;="&amp;DATE($B130,1,1),'Partial Purchases'!$B$3:$B$500,"&lt;="&amp;DATE($B130,12,31))/1000</f>
        <v>0</v>
      </c>
      <c r="J130" s="9" t="n">
        <f aca="false">C130*(D130+0.5*(G130-H130+I130-F130))</f>
        <v>231408.71387</v>
      </c>
      <c r="K130" s="9" t="n">
        <f aca="false">C130*(E130-D130+H130-G130-I130)</f>
        <v>7000</v>
      </c>
      <c r="L130" s="13" t="n">
        <f aca="false">IF(J130=0,"",C130*F130/J130)</f>
        <v>0.0293963530855693</v>
      </c>
      <c r="M130" s="13" t="n">
        <f aca="false">IF(J130=0,"",K130/J130)</f>
        <v>0.0302495091171564</v>
      </c>
      <c r="N130" s="13" t="n">
        <f aca="false">IF(J130=0,"",L130+M130)</f>
        <v>0.0596458622027257</v>
      </c>
    </row>
    <row r="131" customFormat="false" ht="15" hidden="false" customHeight="false" outlineLevel="0" collapsed="false">
      <c r="A131" s="8" t="s">
        <v>20</v>
      </c>
      <c r="B131" s="46" t="n">
        <v>2011</v>
      </c>
      <c r="C131" s="10" t="n">
        <f aca="false">IF(D131&gt;0,1,0)</f>
        <v>1</v>
      </c>
      <c r="D131" s="9" t="n">
        <f aca="false">IF(SUMIFS(Sales!$D$3:$D$500,Sales!$C$3:$C$500,$A131,Sales!$B$3:$B$500,"&lt;="&amp;DATE($B131-1,12,31))&gt;0,0,SUMIFS('Asset Value'!$F$4:$F$500,'Asset Value'!$C$4:$C$500,$A131,'Asset Value'!$B$4:$B$500,$B131-1)/1000)</f>
        <v>241810</v>
      </c>
      <c r="E131" s="9" t="n">
        <f aca="false">IF(SUMIFS(Sales!$D$3:$D$500,Sales!$C$3:$C$500,$A131,Sales!$B$3:$B$500,"&gt;="&amp;DATE($B131,1,1),Sales!$B$3:$B$500,"&lt;="&amp;DATE($B131,12,31))&gt;0,SUMIFS(Sales!$D$3:$D$500,Sales!$C$3:$C$500,$A131,Sales!$B$3:$B$500,"&gt;="&amp;DATE($B131,1,1),Sales!$B$3:$B$500,"&lt;="&amp;DATE($B131,12,31))/1000,SUMIFS('Asset Value'!$F$4:$F$500,'Asset Value'!$C$4:$C$500,$A131,'Asset Value'!$B$4:$B$500,$B131)/1000)</f>
        <v>273920</v>
      </c>
      <c r="F131" s="9" t="n">
        <f aca="false">SUMIFS(Rent!$E$3:$E$500,Rent!$D$3:$D$500,$A131,Rent!$C$3:$C$500,$B131)/1000</f>
        <v>4563.6751968</v>
      </c>
      <c r="G131" s="9" t="n">
        <f aca="false">SUMIFS(Costs!$D$3:$D$500,Costs!$C$3:$C$500,$A131,Costs!$B$3:$B$500,"&gt;="&amp;DATE($B131,1,1),Costs!$B$3:$B$500,"&lt;="&amp;DATE($B131,12,31))/1000</f>
        <v>0</v>
      </c>
      <c r="H131" s="9" t="n">
        <f aca="false">SUMIFS('Partial Sales'!$D$3:$D$500,'Partial Sales'!$C$3:$C$500,$A131,'Partial Sales'!$B$3:$B$500,"&gt;="&amp;DATE($B131,1,1),'Partial Sales'!$B$3:$B$500,"&lt;="&amp;DATE($B131,12,31))/1000</f>
        <v>0</v>
      </c>
      <c r="I131" s="9" t="n">
        <f aca="false">SUMIFS('Partial Purchases'!$D$3:$D$500,'Partial Purchases'!$C$3:$C$500,$A131,'Partial Purchases'!$B$3:$B$500,"&gt;="&amp;DATE($B131,1,1),'Partial Purchases'!$B$3:$B$500,"&lt;="&amp;DATE($B131,12,31))/1000</f>
        <v>0</v>
      </c>
      <c r="J131" s="9" t="n">
        <f aca="false">C131*(D131+0.5*(G131-H131+I131-F131))</f>
        <v>239528.1624016</v>
      </c>
      <c r="K131" s="9" t="n">
        <f aca="false">C131*(E131-D131+H131-G131-I131)</f>
        <v>32110</v>
      </c>
      <c r="L131" s="13" t="n">
        <f aca="false">IF(J131=0,"",C131*F131/J131)</f>
        <v>0.0190527708768892</v>
      </c>
      <c r="M131" s="13" t="n">
        <f aca="false">IF(J131=0,"",K131/J131)</f>
        <v>0.13405521788358</v>
      </c>
      <c r="N131" s="13" t="n">
        <f aca="false">IF(J131=0,"",L131+M131)</f>
        <v>0.153107988760469</v>
      </c>
    </row>
    <row r="132" customFormat="false" ht="15" hidden="false" customHeight="false" outlineLevel="0" collapsed="false">
      <c r="A132" s="8" t="s">
        <v>20</v>
      </c>
      <c r="B132" s="46" t="n">
        <v>2012</v>
      </c>
      <c r="C132" s="10" t="n">
        <f aca="false">IF(D132&gt;0,1,0)</f>
        <v>1</v>
      </c>
      <c r="D132" s="9" t="n">
        <f aca="false">IF(SUMIFS(Sales!$D$3:$D$500,Sales!$C$3:$C$500,$A132,Sales!$B$3:$B$500,"&lt;="&amp;DATE($B132-1,12,31))&gt;0,0,SUMIFS('Asset Value'!$F$4:$F$500,'Asset Value'!$C$4:$C$500,$A132,'Asset Value'!$B$4:$B$500,$B132-1)/1000)</f>
        <v>273920</v>
      </c>
      <c r="E132" s="9" t="n">
        <f aca="false">IF(SUMIFS(Sales!$D$3:$D$500,Sales!$C$3:$C$500,$A132,Sales!$B$3:$B$500,"&gt;="&amp;DATE($B132,1,1),Sales!$B$3:$B$500,"&lt;="&amp;DATE($B132,12,31))&gt;0,SUMIFS(Sales!$D$3:$D$500,Sales!$C$3:$C$500,$A132,Sales!$B$3:$B$500,"&gt;="&amp;DATE($B132,1,1),Sales!$B$3:$B$500,"&lt;="&amp;DATE($B132,12,31))/1000,SUMIFS('Asset Value'!$F$4:$F$500,'Asset Value'!$C$4:$C$500,$A132,'Asset Value'!$B$4:$B$500,$B132)/1000)</f>
        <v>322340</v>
      </c>
      <c r="F132" s="9" t="n">
        <f aca="false">SUMIFS(Rent!$E$3:$E$500,Rent!$D$3:$D$500,$A132,Rent!$C$3:$C$500,$B132)/1000</f>
        <v>7795</v>
      </c>
      <c r="G132" s="9" t="n">
        <f aca="false">SUMIFS(Costs!$D$3:$D$500,Costs!$C$3:$C$500,$A132,Costs!$B$3:$B$500,"&gt;="&amp;DATE($B132,1,1),Costs!$B$3:$B$500,"&lt;="&amp;DATE($B132,12,31))/1000</f>
        <v>0</v>
      </c>
      <c r="H132" s="9" t="n">
        <f aca="false">SUMIFS('Partial Sales'!$D$3:$D$500,'Partial Sales'!$C$3:$C$500,$A132,'Partial Sales'!$B$3:$B$500,"&gt;="&amp;DATE($B132,1,1),'Partial Sales'!$B$3:$B$500,"&lt;="&amp;DATE($B132,12,31))/1000</f>
        <v>0</v>
      </c>
      <c r="I132" s="9" t="n">
        <f aca="false">SUMIFS('Partial Purchases'!$D$3:$D$500,'Partial Purchases'!$C$3:$C$500,$A132,'Partial Purchases'!$B$3:$B$500,"&gt;="&amp;DATE($B132,1,1),'Partial Purchases'!$B$3:$B$500,"&lt;="&amp;DATE($B132,12,31))/1000</f>
        <v>0</v>
      </c>
      <c r="J132" s="9" t="n">
        <f aca="false">C132*(D132+0.5*(G132-H132+I132-F132))</f>
        <v>270022.5</v>
      </c>
      <c r="K132" s="9" t="n">
        <f aca="false">C132*(E132-D132+H132-G132-I132)</f>
        <v>48420</v>
      </c>
      <c r="L132" s="13" t="n">
        <f aca="false">IF(J132=0,"",C132*F132/J132)</f>
        <v>0.0288679647066448</v>
      </c>
      <c r="M132" s="13" t="n">
        <f aca="false">IF(J132=0,"",K132/J132)</f>
        <v>0.179318390134156</v>
      </c>
      <c r="N132" s="13" t="n">
        <f aca="false">IF(J132=0,"",L132+M132)</f>
        <v>0.2081863548408</v>
      </c>
    </row>
    <row r="133" customFormat="false" ht="15" hidden="false" customHeight="false" outlineLevel="0" collapsed="false">
      <c r="A133" s="8" t="s">
        <v>20</v>
      </c>
      <c r="B133" s="46" t="n">
        <v>2013</v>
      </c>
      <c r="C133" s="10" t="n">
        <f aca="false">IF(D133&gt;0,1,0)</f>
        <v>1</v>
      </c>
      <c r="D133" s="9" t="n">
        <f aca="false">IF(SUMIFS(Sales!$D$3:$D$500,Sales!$C$3:$C$500,$A133,Sales!$B$3:$B$500,"&lt;="&amp;DATE($B133-1,12,31))&gt;0,0,SUMIFS('Asset Value'!$F$4:$F$500,'Asset Value'!$C$4:$C$500,$A133,'Asset Value'!$B$4:$B$500,$B133-1)/1000)</f>
        <v>322340</v>
      </c>
      <c r="E133" s="9" t="n">
        <f aca="false">IF(SUMIFS(Sales!$D$3:$D$500,Sales!$C$3:$C$500,$A133,Sales!$B$3:$B$500,"&gt;="&amp;DATE($B133,1,1),Sales!$B$3:$B$500,"&lt;="&amp;DATE($B133,12,31))&gt;0,SUMIFS(Sales!$D$3:$D$500,Sales!$C$3:$C$500,$A133,Sales!$B$3:$B$500,"&gt;="&amp;DATE($B133,1,1),Sales!$B$3:$B$500,"&lt;="&amp;DATE($B133,12,31))/1000,SUMIFS('Asset Value'!$F$4:$F$500,'Asset Value'!$C$4:$C$500,$A133,'Asset Value'!$B$4:$B$500,$B133)/1000)</f>
        <v>331712</v>
      </c>
      <c r="F133" s="9" t="n">
        <f aca="false">SUMIFS(Rent!$E$3:$E$500,Rent!$D$3:$D$500,$A133,Rent!$C$3:$C$500,$B133)/1000</f>
        <v>7483</v>
      </c>
      <c r="G133" s="9" t="n">
        <f aca="false">SUMIFS(Costs!$D$3:$D$500,Costs!$C$3:$C$500,$A133,Costs!$B$3:$B$500,"&gt;="&amp;DATE($B133,1,1),Costs!$B$3:$B$500,"&lt;="&amp;DATE($B133,12,31))/1000</f>
        <v>0</v>
      </c>
      <c r="H133" s="9" t="n">
        <f aca="false">SUMIFS('Partial Sales'!$D$3:$D$500,'Partial Sales'!$C$3:$C$500,$A133,'Partial Sales'!$B$3:$B$500,"&gt;="&amp;DATE($B133,1,1),'Partial Sales'!$B$3:$B$500,"&lt;="&amp;DATE($B133,12,31))/1000</f>
        <v>0</v>
      </c>
      <c r="I133" s="9" t="n">
        <f aca="false">SUMIFS('Partial Purchases'!$D$3:$D$500,'Partial Purchases'!$C$3:$C$500,$A133,'Partial Purchases'!$B$3:$B$500,"&gt;="&amp;DATE($B133,1,1),'Partial Purchases'!$B$3:$B$500,"&lt;="&amp;DATE($B133,12,31))/1000</f>
        <v>0</v>
      </c>
      <c r="J133" s="9" t="n">
        <f aca="false">C133*(D133+0.5*(G133-H133+I133-F133))</f>
        <v>318598.5</v>
      </c>
      <c r="K133" s="9" t="n">
        <f aca="false">C133*(E133-D133+H133-G133-I133)</f>
        <v>9372</v>
      </c>
      <c r="L133" s="13" t="n">
        <f aca="false">IF(J133=0,"",C133*F133/J133)</f>
        <v>0.02348724177923</v>
      </c>
      <c r="M133" s="13" t="n">
        <f aca="false">IF(J133=0,"",K133/J133)</f>
        <v>0.0294163343518566</v>
      </c>
      <c r="N133" s="13" t="n">
        <f aca="false">IF(J133=0,"",L133+M133)</f>
        <v>0.0529035761310866</v>
      </c>
    </row>
    <row r="134" customFormat="false" ht="15" hidden="false" customHeight="false" outlineLevel="0" collapsed="false">
      <c r="A134" s="8" t="s">
        <v>20</v>
      </c>
      <c r="B134" s="46" t="n">
        <v>2014</v>
      </c>
      <c r="C134" s="10" t="n">
        <f aca="false">IF(D134&gt;0,1,0)</f>
        <v>1</v>
      </c>
      <c r="D134" s="9" t="n">
        <f aca="false">IF(SUMIFS(Sales!$D$3:$D$500,Sales!$C$3:$C$500,$A134,Sales!$B$3:$B$500,"&lt;="&amp;DATE($B134-1,12,31))&gt;0,0,SUMIFS('Asset Value'!$F$4:$F$500,'Asset Value'!$C$4:$C$500,$A134,'Asset Value'!$B$4:$B$500,$B134-1)/1000)</f>
        <v>331712</v>
      </c>
      <c r="E134" s="9" t="n">
        <f aca="false">IF(SUMIFS(Sales!$D$3:$D$500,Sales!$C$3:$C$500,$A134,Sales!$B$3:$B$500,"&gt;="&amp;DATE($B134,1,1),Sales!$B$3:$B$500,"&lt;="&amp;DATE($B134,12,31))&gt;0,SUMIFS(Sales!$D$3:$D$500,Sales!$C$3:$C$500,$A134,Sales!$B$3:$B$500,"&gt;="&amp;DATE($B134,1,1),Sales!$B$3:$B$500,"&lt;="&amp;DATE($B134,12,31))/1000,SUMIFS('Asset Value'!$F$4:$F$500,'Asset Value'!$C$4:$C$500,$A134,'Asset Value'!$B$4:$B$500,$B134)/1000)</f>
        <v>453258</v>
      </c>
      <c r="F134" s="9" t="n">
        <f aca="false">SUMIFS(Rent!$E$3:$E$500,Rent!$D$3:$D$500,$A134,Rent!$C$3:$C$500,$B134)/1000</f>
        <v>10660</v>
      </c>
      <c r="G134" s="9" t="n">
        <f aca="false">SUMIFS(Costs!$D$3:$D$500,Costs!$C$3:$C$500,$A134,Costs!$B$3:$B$500,"&gt;="&amp;DATE($B134,1,1),Costs!$B$3:$B$500,"&lt;="&amp;DATE($B134,12,31))/1000</f>
        <v>0</v>
      </c>
      <c r="H134" s="9" t="n">
        <f aca="false">SUMIFS('Partial Sales'!$D$3:$D$500,'Partial Sales'!$C$3:$C$500,$A134,'Partial Sales'!$B$3:$B$500,"&gt;="&amp;DATE($B134,1,1),'Partial Sales'!$B$3:$B$500,"&lt;="&amp;DATE($B134,12,31))/1000</f>
        <v>0</v>
      </c>
      <c r="I134" s="9" t="n">
        <f aca="false">SUMIFS('Partial Purchases'!$D$3:$D$500,'Partial Purchases'!$C$3:$C$500,$A134,'Partial Purchases'!$B$3:$B$500,"&gt;="&amp;DATE($B134,1,1),'Partial Purchases'!$B$3:$B$500,"&lt;="&amp;DATE($B134,12,31))/1000</f>
        <v>0</v>
      </c>
      <c r="J134" s="9" t="n">
        <f aca="false">C134*(D134+0.5*(G134-H134+I134-F134))</f>
        <v>326382</v>
      </c>
      <c r="K134" s="9" t="n">
        <f aca="false">C134*(E134-D134+H134-G134-I134)</f>
        <v>121546</v>
      </c>
      <c r="L134" s="13" t="n">
        <f aca="false">IF(J134=0,"",C134*F134/J134)</f>
        <v>0.0326611148899143</v>
      </c>
      <c r="M134" s="13" t="n">
        <f aca="false">IF(J134=0,"",K134/J134)</f>
        <v>0.372404115423032</v>
      </c>
      <c r="N134" s="13" t="n">
        <f aca="false">IF(J134=0,"",L134+M134)</f>
        <v>0.405065230312946</v>
      </c>
    </row>
    <row r="135" customFormat="false" ht="15" hidden="false" customHeight="false" outlineLevel="0" collapsed="false">
      <c r="A135" s="47" t="s">
        <v>20</v>
      </c>
      <c r="B135" s="48" t="n">
        <v>2015</v>
      </c>
      <c r="C135" s="49" t="n">
        <f aca="false">IF(D135&gt;0,1,0)</f>
        <v>1</v>
      </c>
      <c r="D135" s="50" t="n">
        <f aca="false">IF(SUMIFS(Sales!$D$3:$D$500,Sales!$C$3:$C$500,$A135,Sales!$B$3:$B$500,"&lt;="&amp;DATE($B135-1,12,31))&gt;0,0,SUMIFS('Asset Value'!$F$4:$F$500,'Asset Value'!$C$4:$C$500,$A135,'Asset Value'!$B$4:$B$500,$B135-1)/1000)</f>
        <v>453258</v>
      </c>
      <c r="E135" s="50" t="n">
        <f aca="false">IF(SUMIFS(Sales!$D$3:$D$500,Sales!$C$3:$C$500,$A135,Sales!$B$3:$B$500,"&gt;="&amp;DATE($B135,1,1),Sales!$B$3:$B$500,"&lt;="&amp;DATE($B135,12,31))&gt;0,SUMIFS(Sales!$D$3:$D$500,Sales!$C$3:$C$500,$A135,Sales!$B$3:$B$500,"&gt;="&amp;DATE($B135,1,1),Sales!$B$3:$B$500,"&lt;="&amp;DATE($B135,12,31))/1000,SUMIFS('Asset Value'!$F$4:$F$500,'Asset Value'!$C$4:$C$500,$A135,'Asset Value'!$B$4:$B$500,$B135)/1000)</f>
        <v>473550</v>
      </c>
      <c r="F135" s="50" t="n">
        <f aca="false">SUMIFS(Rent!$E$3:$E$500,Rent!$D$3:$D$500,$A135,Rent!$C$3:$C$500,$B135)/1000</f>
        <v>13057</v>
      </c>
      <c r="G135" s="50" t="n">
        <f aca="false">SUMIFS(Costs!$D$3:$D$500,Costs!$C$3:$C$500,$A135,Costs!$B$3:$B$500,"&gt;="&amp;DATE($B135,1,1),Costs!$B$3:$B$500,"&lt;="&amp;DATE($B135,12,31))/1000</f>
        <v>0</v>
      </c>
      <c r="H135" s="50" t="n">
        <f aca="false">SUMIFS('Partial Sales'!$D$3:$D$500,'Partial Sales'!$C$3:$C$500,$A135,'Partial Sales'!$B$3:$B$500,"&gt;="&amp;DATE($B135,1,1),'Partial Sales'!$B$3:$B$500,"&lt;="&amp;DATE($B135,12,31))/1000</f>
        <v>0</v>
      </c>
      <c r="I135" s="50" t="n">
        <f aca="false">SUMIFS('Partial Purchases'!$D$3:$D$500,'Partial Purchases'!$C$3:$C$500,$A135,'Partial Purchases'!$B$3:$B$500,"&gt;="&amp;DATE($B135,1,1),'Partial Purchases'!$B$3:$B$500,"&lt;="&amp;DATE($B135,12,31))/1000</f>
        <v>0</v>
      </c>
      <c r="J135" s="50" t="n">
        <f aca="false">C135*(D135+0.5*(G135-H135+I135-F135))</f>
        <v>446729.5</v>
      </c>
      <c r="K135" s="50" t="n">
        <f aca="false">C135*(E135-D135+H135-G135-I135)</f>
        <v>20292</v>
      </c>
      <c r="L135" s="44" t="n">
        <f aca="false">IF(J135=0,"",C135*F135/J135)</f>
        <v>0.0292279780045867</v>
      </c>
      <c r="M135" s="44" t="n">
        <f aca="false">IF(J135=0,"",K135/J135)</f>
        <v>0.0454234609534405</v>
      </c>
      <c r="N135" s="44" t="n">
        <f aca="false">IF(J135=0,"",L135+M135)</f>
        <v>0.0746514389580272</v>
      </c>
    </row>
    <row r="136" customFormat="false" ht="15" hidden="false" customHeight="false" outlineLevel="0" collapsed="false">
      <c r="A136" s="8" t="s">
        <v>21</v>
      </c>
      <c r="B136" s="46" t="n">
        <v>2008</v>
      </c>
      <c r="C136" s="10" t="n">
        <f aca="false">IF(D136&gt;0,1,0)</f>
        <v>0</v>
      </c>
      <c r="D136" s="9" t="n">
        <f aca="false">IF(SUMIFS(Sales!$D$3:$D$500,Sales!$C$3:$C$500,$A136,Sales!$B$3:$B$500,"&lt;="&amp;DATE($B136-1,12,31))&gt;0,0,SUMIFS('Asset Value'!$F$4:$F$500,'Asset Value'!$C$4:$C$500,$A136,'Asset Value'!$B$4:$B$500,$B136-1)/1000)</f>
        <v>0</v>
      </c>
      <c r="E136" s="9" t="n">
        <f aca="false">IF(SUMIFS(Sales!$D$3:$D$500,Sales!$C$3:$C$500,$A136,Sales!$B$3:$B$500,"&gt;="&amp;DATE($B136,1,1),Sales!$B$3:$B$500,"&lt;="&amp;DATE($B136,12,31))&gt;0,SUMIFS(Sales!$D$3:$D$500,Sales!$C$3:$C$500,$A136,Sales!$B$3:$B$500,"&gt;="&amp;DATE($B136,1,1),Sales!$B$3:$B$500,"&lt;="&amp;DATE($B136,12,31))/1000,SUMIFS('Asset Value'!$F$4:$F$500,'Asset Value'!$C$4:$C$500,$A136,'Asset Value'!$B$4:$B$500,$B136)/1000)</f>
        <v>106940</v>
      </c>
      <c r="F136" s="9" t="n">
        <f aca="false">SUMIFS(Rent!$E$3:$E$500,Rent!$D$3:$D$500,$A136,Rent!$C$3:$C$500,$B136)/1000</f>
        <v>3727.49265</v>
      </c>
      <c r="G136" s="9" t="n">
        <f aca="false">SUMIFS(Costs!$D$3:$D$500,Costs!$C$3:$C$500,$A136,Costs!$B$3:$B$500,"&gt;="&amp;DATE($B136,1,1),Costs!$B$3:$B$500,"&lt;="&amp;DATE($B136,12,31))/1000</f>
        <v>0</v>
      </c>
      <c r="H136" s="9" t="n">
        <f aca="false">SUMIFS('Partial Sales'!$D$3:$D$500,'Partial Sales'!$C$3:$C$500,$A136,'Partial Sales'!$B$3:$B$500,"&gt;="&amp;DATE($B136,1,1),'Partial Sales'!$B$3:$B$500,"&lt;="&amp;DATE($B136,12,31))/1000</f>
        <v>0</v>
      </c>
      <c r="I136" s="9" t="n">
        <f aca="false">SUMIFS('Partial Purchases'!$D$3:$D$500,'Partial Purchases'!$C$3:$C$500,$A136,'Partial Purchases'!$B$3:$B$500,"&gt;="&amp;DATE($B136,1,1),'Partial Purchases'!$B$3:$B$500,"&lt;="&amp;DATE($B136,12,31))/1000</f>
        <v>0</v>
      </c>
      <c r="J136" s="9" t="n">
        <f aca="false">C136*(D136+0.5*(G136-H136+I136-F136))</f>
        <v>-0</v>
      </c>
      <c r="K136" s="9" t="n">
        <f aca="false">C136*(E136-D136+H136-G136-I136)</f>
        <v>0</v>
      </c>
      <c r="L136" s="13" t="str">
        <f aca="false">IF(J136=0,"",C136*F136/J136)</f>
        <v/>
      </c>
      <c r="M136" s="13" t="str">
        <f aca="false">IF(J136=0,"",K136/J136)</f>
        <v/>
      </c>
      <c r="N136" s="13" t="str">
        <f aca="false">IF(J136=0,"",L136+M136)</f>
        <v/>
      </c>
    </row>
    <row r="137" customFormat="false" ht="15" hidden="false" customHeight="false" outlineLevel="0" collapsed="false">
      <c r="A137" s="8" t="s">
        <v>21</v>
      </c>
      <c r="B137" s="46" t="n">
        <v>2009</v>
      </c>
      <c r="C137" s="10" t="n">
        <f aca="false">IF(D137&gt;0,1,0)</f>
        <v>1</v>
      </c>
      <c r="D137" s="9" t="n">
        <f aca="false">IF(SUMIFS(Sales!$D$3:$D$500,Sales!$C$3:$C$500,$A137,Sales!$B$3:$B$500,"&lt;="&amp;DATE($B137-1,12,31))&gt;0,0,SUMIFS('Asset Value'!$F$4:$F$500,'Asset Value'!$C$4:$C$500,$A137,'Asset Value'!$B$4:$B$500,$B137-1)/1000)</f>
        <v>106940</v>
      </c>
      <c r="E137" s="9" t="n">
        <f aca="false">IF(SUMIFS(Sales!$D$3:$D$500,Sales!$C$3:$C$500,$A137,Sales!$B$3:$B$500,"&gt;="&amp;DATE($B137,1,1),Sales!$B$3:$B$500,"&lt;="&amp;DATE($B137,12,31))&gt;0,SUMIFS(Sales!$D$3:$D$500,Sales!$C$3:$C$500,$A137,Sales!$B$3:$B$500,"&gt;="&amp;DATE($B137,1,1),Sales!$B$3:$B$500,"&lt;="&amp;DATE($B137,12,31))/1000,SUMIFS('Asset Value'!$F$4:$F$500,'Asset Value'!$C$4:$C$500,$A137,'Asset Value'!$B$4:$B$500,$B137)/1000)</f>
        <v>118040</v>
      </c>
      <c r="F137" s="9" t="n">
        <f aca="false">SUMIFS(Rent!$E$3:$E$500,Rent!$D$3:$D$500,$A137,Rent!$C$3:$C$500,$B137)/1000</f>
        <v>3502.9449</v>
      </c>
      <c r="G137" s="9" t="n">
        <f aca="false">SUMIFS(Costs!$D$3:$D$500,Costs!$C$3:$C$500,$A137,Costs!$B$3:$B$500,"&gt;="&amp;DATE($B137,1,1),Costs!$B$3:$B$500,"&lt;="&amp;DATE($B137,12,31))/1000</f>
        <v>0</v>
      </c>
      <c r="H137" s="9" t="n">
        <f aca="false">SUMIFS('Partial Sales'!$D$3:$D$500,'Partial Sales'!$C$3:$C$500,$A137,'Partial Sales'!$B$3:$B$500,"&gt;="&amp;DATE($B137,1,1),'Partial Sales'!$B$3:$B$500,"&lt;="&amp;DATE($B137,12,31))/1000</f>
        <v>0</v>
      </c>
      <c r="I137" s="9" t="n">
        <f aca="false">SUMIFS('Partial Purchases'!$D$3:$D$500,'Partial Purchases'!$C$3:$C$500,$A137,'Partial Purchases'!$B$3:$B$500,"&gt;="&amp;DATE($B137,1,1),'Partial Purchases'!$B$3:$B$500,"&lt;="&amp;DATE($B137,12,31))/1000</f>
        <v>0</v>
      </c>
      <c r="J137" s="9" t="n">
        <f aca="false">C137*(D137+0.5*(G137-H137+I137-F137))</f>
        <v>105188.52755</v>
      </c>
      <c r="K137" s="9" t="n">
        <f aca="false">C137*(E137-D137+H137-G137-I137)</f>
        <v>11100</v>
      </c>
      <c r="L137" s="13" t="n">
        <f aca="false">IF(J137=0,"",C137*F137/J137)</f>
        <v>0.0333015869847111</v>
      </c>
      <c r="M137" s="13" t="n">
        <f aca="false">IF(J137=0,"",K137/J137)</f>
        <v>0.105524815857164</v>
      </c>
      <c r="N137" s="13" t="n">
        <f aca="false">IF(J137=0,"",L137+M137)</f>
        <v>0.138826402841875</v>
      </c>
    </row>
    <row r="138" customFormat="false" ht="15" hidden="false" customHeight="false" outlineLevel="0" collapsed="false">
      <c r="A138" s="8" t="s">
        <v>21</v>
      </c>
      <c r="B138" s="46" t="n">
        <v>2010</v>
      </c>
      <c r="C138" s="10" t="n">
        <f aca="false">IF(D138&gt;0,1,0)</f>
        <v>1</v>
      </c>
      <c r="D138" s="9" t="n">
        <f aca="false">IF(SUMIFS(Sales!$D$3:$D$500,Sales!$C$3:$C$500,$A138,Sales!$B$3:$B$500,"&lt;="&amp;DATE($B138-1,12,31))&gt;0,0,SUMIFS('Asset Value'!$F$4:$F$500,'Asset Value'!$C$4:$C$500,$A138,'Asset Value'!$B$4:$B$500,$B138-1)/1000)</f>
        <v>118040</v>
      </c>
      <c r="E138" s="9" t="n">
        <f aca="false">IF(SUMIFS(Sales!$D$3:$D$500,Sales!$C$3:$C$500,$A138,Sales!$B$3:$B$500,"&gt;="&amp;DATE($B138,1,1),Sales!$B$3:$B$500,"&lt;="&amp;DATE($B138,12,31))&gt;0,SUMIFS(Sales!$D$3:$D$500,Sales!$C$3:$C$500,$A138,Sales!$B$3:$B$500,"&gt;="&amp;DATE($B138,1,1),Sales!$B$3:$B$500,"&lt;="&amp;DATE($B138,12,31))/1000,SUMIFS('Asset Value'!$F$4:$F$500,'Asset Value'!$C$4:$C$500,$A138,'Asset Value'!$B$4:$B$500,$B138)/1000)</f>
        <v>142170</v>
      </c>
      <c r="F138" s="9" t="n">
        <f aca="false">SUMIFS(Rent!$E$3:$E$500,Rent!$D$3:$D$500,$A138,Rent!$C$3:$C$500,$B138)/1000</f>
        <v>3907.13085</v>
      </c>
      <c r="G138" s="9" t="n">
        <f aca="false">SUMIFS(Costs!$D$3:$D$500,Costs!$C$3:$C$500,$A138,Costs!$B$3:$B$500,"&gt;="&amp;DATE($B138,1,1),Costs!$B$3:$B$500,"&lt;="&amp;DATE($B138,12,31))/1000</f>
        <v>0</v>
      </c>
      <c r="H138" s="9" t="n">
        <f aca="false">SUMIFS('Partial Sales'!$D$3:$D$500,'Partial Sales'!$C$3:$C$500,$A138,'Partial Sales'!$B$3:$B$500,"&gt;="&amp;DATE($B138,1,1),'Partial Sales'!$B$3:$B$500,"&lt;="&amp;DATE($B138,12,31))/1000</f>
        <v>0</v>
      </c>
      <c r="I138" s="9" t="n">
        <f aca="false">SUMIFS('Partial Purchases'!$D$3:$D$500,'Partial Purchases'!$C$3:$C$500,$A138,'Partial Purchases'!$B$3:$B$500,"&gt;="&amp;DATE($B138,1,1),'Partial Purchases'!$B$3:$B$500,"&lt;="&amp;DATE($B138,12,31))/1000</f>
        <v>0</v>
      </c>
      <c r="J138" s="9" t="n">
        <f aca="false">C138*(D138+0.5*(G138-H138+I138-F138))</f>
        <v>116086.434575</v>
      </c>
      <c r="K138" s="9" t="n">
        <f aca="false">C138*(E138-D138+H138-G138-I138)</f>
        <v>24130</v>
      </c>
      <c r="L138" s="13" t="n">
        <f aca="false">IF(J138=0,"",C138*F138/J138)</f>
        <v>0.0336570837437144</v>
      </c>
      <c r="M138" s="13" t="n">
        <f aca="false">IF(J138=0,"",K138/J138)</f>
        <v>0.207862357805557</v>
      </c>
      <c r="N138" s="13" t="n">
        <f aca="false">IF(J138=0,"",L138+M138)</f>
        <v>0.241519441549271</v>
      </c>
    </row>
    <row r="139" customFormat="false" ht="15" hidden="false" customHeight="false" outlineLevel="0" collapsed="false">
      <c r="A139" s="8" t="s">
        <v>21</v>
      </c>
      <c r="B139" s="46" t="n">
        <v>2011</v>
      </c>
      <c r="C139" s="10" t="n">
        <f aca="false">IF(D139&gt;0,1,0)</f>
        <v>1</v>
      </c>
      <c r="D139" s="9" t="n">
        <f aca="false">IF(SUMIFS(Sales!$D$3:$D$500,Sales!$C$3:$C$500,$A139,Sales!$B$3:$B$500,"&lt;="&amp;DATE($B139-1,12,31))&gt;0,0,SUMIFS('Asset Value'!$F$4:$F$500,'Asset Value'!$C$4:$C$500,$A139,'Asset Value'!$B$4:$B$500,$B139-1)/1000)</f>
        <v>142170</v>
      </c>
      <c r="E139" s="9" t="n">
        <f aca="false">IF(SUMIFS(Sales!$D$3:$D$500,Sales!$C$3:$C$500,$A139,Sales!$B$3:$B$500,"&gt;="&amp;DATE($B139,1,1),Sales!$B$3:$B$500,"&lt;="&amp;DATE($B139,12,31))&gt;0,SUMIFS(Sales!$D$3:$D$500,Sales!$C$3:$C$500,$A139,Sales!$B$3:$B$500,"&gt;="&amp;DATE($B139,1,1),Sales!$B$3:$B$500,"&lt;="&amp;DATE($B139,12,31))/1000,SUMIFS('Asset Value'!$F$4:$F$500,'Asset Value'!$C$4:$C$500,$A139,'Asset Value'!$B$4:$B$500,$B139)/1000)</f>
        <v>172970</v>
      </c>
      <c r="F139" s="9" t="n">
        <f aca="false">SUMIFS(Rent!$E$3:$E$500,Rent!$D$3:$D$500,$A139,Rent!$C$3:$C$500,$B139)/1000</f>
        <v>4417.44924</v>
      </c>
      <c r="G139" s="9" t="n">
        <f aca="false">SUMIFS(Costs!$D$3:$D$500,Costs!$C$3:$C$500,$A139,Costs!$B$3:$B$500,"&gt;="&amp;DATE($B139,1,1),Costs!$B$3:$B$500,"&lt;="&amp;DATE($B139,12,31))/1000</f>
        <v>0</v>
      </c>
      <c r="H139" s="9" t="n">
        <f aca="false">SUMIFS('Partial Sales'!$D$3:$D$500,'Partial Sales'!$C$3:$C$500,$A139,'Partial Sales'!$B$3:$B$500,"&gt;="&amp;DATE($B139,1,1),'Partial Sales'!$B$3:$B$500,"&lt;="&amp;DATE($B139,12,31))/1000</f>
        <v>0</v>
      </c>
      <c r="I139" s="9" t="n">
        <f aca="false">SUMIFS('Partial Purchases'!$D$3:$D$500,'Partial Purchases'!$C$3:$C$500,$A139,'Partial Purchases'!$B$3:$B$500,"&gt;="&amp;DATE($B139,1,1),'Partial Purchases'!$B$3:$B$500,"&lt;="&amp;DATE($B139,12,31))/1000</f>
        <v>0</v>
      </c>
      <c r="J139" s="9" t="n">
        <f aca="false">C139*(D139+0.5*(G139-H139+I139-F139))</f>
        <v>139961.27538</v>
      </c>
      <c r="K139" s="9" t="n">
        <f aca="false">C139*(E139-D139+H139-G139-I139)</f>
        <v>30800</v>
      </c>
      <c r="L139" s="13" t="n">
        <f aca="false">IF(J139=0,"",C139*F139/J139)</f>
        <v>0.0315619390292526</v>
      </c>
      <c r="M139" s="13" t="n">
        <f aca="false">IF(J139=0,"",K139/J139)</f>
        <v>0.220060869811145</v>
      </c>
      <c r="N139" s="13" t="n">
        <f aca="false">IF(J139=0,"",L139+M139)</f>
        <v>0.251622808840398</v>
      </c>
    </row>
    <row r="140" customFormat="false" ht="15" hidden="false" customHeight="false" outlineLevel="0" collapsed="false">
      <c r="A140" s="8" t="s">
        <v>21</v>
      </c>
      <c r="B140" s="46" t="n">
        <v>2012</v>
      </c>
      <c r="C140" s="10" t="n">
        <f aca="false">IF(D140&gt;0,1,0)</f>
        <v>1</v>
      </c>
      <c r="D140" s="9" t="n">
        <f aca="false">IF(SUMIFS(Sales!$D$3:$D$500,Sales!$C$3:$C$500,$A140,Sales!$B$3:$B$500,"&lt;="&amp;DATE($B140-1,12,31))&gt;0,0,SUMIFS('Asset Value'!$F$4:$F$500,'Asset Value'!$C$4:$C$500,$A140,'Asset Value'!$B$4:$B$500,$B140-1)/1000)</f>
        <v>172970</v>
      </c>
      <c r="E140" s="9" t="n">
        <f aca="false">IF(SUMIFS(Sales!$D$3:$D$500,Sales!$C$3:$C$500,$A140,Sales!$B$3:$B$500,"&gt;="&amp;DATE($B140,1,1),Sales!$B$3:$B$500,"&lt;="&amp;DATE($B140,12,31))&gt;0,SUMIFS(Sales!$D$3:$D$500,Sales!$C$3:$C$500,$A140,Sales!$B$3:$B$500,"&gt;="&amp;DATE($B140,1,1),Sales!$B$3:$B$500,"&lt;="&amp;DATE($B140,12,31))/1000,SUMIFS('Asset Value'!$F$4:$F$500,'Asset Value'!$C$4:$C$500,$A140,'Asset Value'!$B$4:$B$500,$B140)/1000)</f>
        <v>197471</v>
      </c>
      <c r="F140" s="9" t="n">
        <f aca="false">SUMIFS(Rent!$E$3:$E$500,Rent!$D$3:$D$500,$A140,Rent!$C$3:$C$500,$B140)/1000</f>
        <v>9821</v>
      </c>
      <c r="G140" s="9" t="n">
        <f aca="false">SUMIFS(Costs!$D$3:$D$500,Costs!$C$3:$C$500,$A140,Costs!$B$3:$B$500,"&gt;="&amp;DATE($B140,1,1),Costs!$B$3:$B$500,"&lt;="&amp;DATE($B140,12,31))/1000</f>
        <v>0</v>
      </c>
      <c r="H140" s="9" t="n">
        <f aca="false">SUMIFS('Partial Sales'!$D$3:$D$500,'Partial Sales'!$C$3:$C$500,$A140,'Partial Sales'!$B$3:$B$500,"&gt;="&amp;DATE($B140,1,1),'Partial Sales'!$B$3:$B$500,"&lt;="&amp;DATE($B140,12,31))/1000</f>
        <v>0</v>
      </c>
      <c r="I140" s="9" t="n">
        <f aca="false">SUMIFS('Partial Purchases'!$D$3:$D$500,'Partial Purchases'!$C$3:$C$500,$A140,'Partial Purchases'!$B$3:$B$500,"&gt;="&amp;DATE($B140,1,1),'Partial Purchases'!$B$3:$B$500,"&lt;="&amp;DATE($B140,12,31))/1000</f>
        <v>0</v>
      </c>
      <c r="J140" s="9" t="n">
        <f aca="false">C140*(D140+0.5*(G140-H140+I140-F140))</f>
        <v>168059.5</v>
      </c>
      <c r="K140" s="9" t="n">
        <f aca="false">C140*(E140-D140+H140-G140-I140)</f>
        <v>24501</v>
      </c>
      <c r="L140" s="13" t="n">
        <f aca="false">IF(J140=0,"",C140*F140/J140)</f>
        <v>0.0584376366703459</v>
      </c>
      <c r="M140" s="13" t="n">
        <f aca="false">IF(J140=0,"",K140/J140)</f>
        <v>0.145787652587328</v>
      </c>
      <c r="N140" s="13" t="n">
        <f aca="false">IF(J140=0,"",L140+M140)</f>
        <v>0.204225289257674</v>
      </c>
    </row>
    <row r="141" customFormat="false" ht="15" hidden="false" customHeight="false" outlineLevel="0" collapsed="false">
      <c r="A141" s="8" t="s">
        <v>21</v>
      </c>
      <c r="B141" s="46" t="n">
        <v>2013</v>
      </c>
      <c r="C141" s="10" t="n">
        <f aca="false">IF(D141&gt;0,1,0)</f>
        <v>1</v>
      </c>
      <c r="D141" s="9" t="n">
        <f aca="false">IF(SUMIFS(Sales!$D$3:$D$500,Sales!$C$3:$C$500,$A141,Sales!$B$3:$B$500,"&lt;="&amp;DATE($B141-1,12,31))&gt;0,0,SUMIFS('Asset Value'!$F$4:$F$500,'Asset Value'!$C$4:$C$500,$A141,'Asset Value'!$B$4:$B$500,$B141-1)/1000)</f>
        <v>197471</v>
      </c>
      <c r="E141" s="9" t="n">
        <f aca="false">IF(SUMIFS(Sales!$D$3:$D$500,Sales!$C$3:$C$500,$A141,Sales!$B$3:$B$500,"&gt;="&amp;DATE($B141,1,1),Sales!$B$3:$B$500,"&lt;="&amp;DATE($B141,12,31))&gt;0,SUMIFS(Sales!$D$3:$D$500,Sales!$C$3:$C$500,$A141,Sales!$B$3:$B$500,"&gt;="&amp;DATE($B141,1,1),Sales!$B$3:$B$500,"&lt;="&amp;DATE($B141,12,31))/1000,SUMIFS('Asset Value'!$F$4:$F$500,'Asset Value'!$C$4:$C$500,$A141,'Asset Value'!$B$4:$B$500,$B141)/1000)</f>
        <v>220203</v>
      </c>
      <c r="F141" s="9" t="n">
        <f aca="false">SUMIFS(Rent!$E$3:$E$500,Rent!$D$3:$D$500,$A141,Rent!$C$3:$C$500,$B141)/1000</f>
        <v>7371</v>
      </c>
      <c r="G141" s="9" t="n">
        <f aca="false">SUMIFS(Costs!$D$3:$D$500,Costs!$C$3:$C$500,$A141,Costs!$B$3:$B$500,"&gt;="&amp;DATE($B141,1,1),Costs!$B$3:$B$500,"&lt;="&amp;DATE($B141,12,31))/1000</f>
        <v>0</v>
      </c>
      <c r="H141" s="9" t="n">
        <f aca="false">SUMIFS('Partial Sales'!$D$3:$D$500,'Partial Sales'!$C$3:$C$500,$A141,'Partial Sales'!$B$3:$B$500,"&gt;="&amp;DATE($B141,1,1),'Partial Sales'!$B$3:$B$500,"&lt;="&amp;DATE($B141,12,31))/1000</f>
        <v>0</v>
      </c>
      <c r="I141" s="9" t="n">
        <f aca="false">SUMIFS('Partial Purchases'!$D$3:$D$500,'Partial Purchases'!$C$3:$C$500,$A141,'Partial Purchases'!$B$3:$B$500,"&gt;="&amp;DATE($B141,1,1),'Partial Purchases'!$B$3:$B$500,"&lt;="&amp;DATE($B141,12,31))/1000</f>
        <v>0</v>
      </c>
      <c r="J141" s="9" t="n">
        <f aca="false">C141*(D141+0.5*(G141-H141+I141-F141))</f>
        <v>193785.5</v>
      </c>
      <c r="K141" s="9" t="n">
        <f aca="false">C141*(E141-D141+H141-G141-I141)</f>
        <v>22732</v>
      </c>
      <c r="L141" s="13" t="n">
        <f aca="false">IF(J141=0,"",C141*F141/J141)</f>
        <v>0.0380369016257666</v>
      </c>
      <c r="M141" s="13" t="n">
        <f aca="false">IF(J141=0,"",K141/J141)</f>
        <v>0.117304958317315</v>
      </c>
      <c r="N141" s="13" t="n">
        <f aca="false">IF(J141=0,"",L141+M141)</f>
        <v>0.155341859943081</v>
      </c>
    </row>
    <row r="142" customFormat="false" ht="15" hidden="false" customHeight="false" outlineLevel="0" collapsed="false">
      <c r="A142" s="8" t="s">
        <v>21</v>
      </c>
      <c r="B142" s="46" t="n">
        <v>2014</v>
      </c>
      <c r="C142" s="10" t="n">
        <f aca="false">IF(D142&gt;0,1,0)</f>
        <v>1</v>
      </c>
      <c r="D142" s="9" t="n">
        <f aca="false">IF(SUMIFS(Sales!$D$3:$D$500,Sales!$C$3:$C$500,$A142,Sales!$B$3:$B$500,"&lt;="&amp;DATE($B142-1,12,31))&gt;0,0,SUMIFS('Asset Value'!$F$4:$F$500,'Asset Value'!$C$4:$C$500,$A142,'Asset Value'!$B$4:$B$500,$B142-1)/1000)</f>
        <v>220203</v>
      </c>
      <c r="E142" s="9" t="n">
        <f aca="false">IF(SUMIFS(Sales!$D$3:$D$500,Sales!$C$3:$C$500,$A142,Sales!$B$3:$B$500,"&gt;="&amp;DATE($B142,1,1),Sales!$B$3:$B$500,"&lt;="&amp;DATE($B142,12,31))&gt;0,SUMIFS(Sales!$D$3:$D$500,Sales!$C$3:$C$500,$A142,Sales!$B$3:$B$500,"&gt;="&amp;DATE($B142,1,1),Sales!$B$3:$B$500,"&lt;="&amp;DATE($B142,12,31))/1000,SUMIFS('Asset Value'!$F$4:$F$500,'Asset Value'!$C$4:$C$500,$A142,'Asset Value'!$B$4:$B$500,$B142)/1000)</f>
        <v>229674</v>
      </c>
      <c r="F142" s="9" t="n">
        <f aca="false">SUMIFS(Rent!$E$3:$E$500,Rent!$D$3:$D$500,$A142,Rent!$C$3:$C$500,$B142)/1000</f>
        <v>8241</v>
      </c>
      <c r="G142" s="9" t="n">
        <f aca="false">SUMIFS(Costs!$D$3:$D$500,Costs!$C$3:$C$500,$A142,Costs!$B$3:$B$500,"&gt;="&amp;DATE($B142,1,1),Costs!$B$3:$B$500,"&lt;="&amp;DATE($B142,12,31))/1000</f>
        <v>0</v>
      </c>
      <c r="H142" s="9" t="n">
        <f aca="false">SUMIFS('Partial Sales'!$D$3:$D$500,'Partial Sales'!$C$3:$C$500,$A142,'Partial Sales'!$B$3:$B$500,"&gt;="&amp;DATE($B142,1,1),'Partial Sales'!$B$3:$B$500,"&lt;="&amp;DATE($B142,12,31))/1000</f>
        <v>0</v>
      </c>
      <c r="I142" s="9" t="n">
        <f aca="false">SUMIFS('Partial Purchases'!$D$3:$D$500,'Partial Purchases'!$C$3:$C$500,$A142,'Partial Purchases'!$B$3:$B$500,"&gt;="&amp;DATE($B142,1,1),'Partial Purchases'!$B$3:$B$500,"&lt;="&amp;DATE($B142,12,31))/1000</f>
        <v>0</v>
      </c>
      <c r="J142" s="9" t="n">
        <f aca="false">C142*(D142+0.5*(G142-H142+I142-F142))</f>
        <v>216082.5</v>
      </c>
      <c r="K142" s="9" t="n">
        <f aca="false">C142*(E142-D142+H142-G142-I142)</f>
        <v>9471</v>
      </c>
      <c r="L142" s="13" t="n">
        <f aca="false">IF(J142=0,"",C142*F142/J142)</f>
        <v>0.0381382110999271</v>
      </c>
      <c r="M142" s="13" t="n">
        <f aca="false">IF(J142=0,"",K142/J142)</f>
        <v>0.0438304814133491</v>
      </c>
      <c r="N142" s="13" t="n">
        <f aca="false">IF(J142=0,"",L142+M142)</f>
        <v>0.0819686925132762</v>
      </c>
    </row>
    <row r="143" customFormat="false" ht="15" hidden="false" customHeight="false" outlineLevel="0" collapsed="false">
      <c r="A143" s="47" t="s">
        <v>21</v>
      </c>
      <c r="B143" s="48" t="n">
        <v>2015</v>
      </c>
      <c r="C143" s="49" t="n">
        <f aca="false">IF(D143&gt;0,1,0)</f>
        <v>1</v>
      </c>
      <c r="D143" s="50" t="n">
        <f aca="false">IF(SUMIFS(Sales!$D$3:$D$500,Sales!$C$3:$C$500,$A143,Sales!$B$3:$B$500,"&lt;="&amp;DATE($B143-1,12,31))&gt;0,0,SUMIFS('Asset Value'!$F$4:$F$500,'Asset Value'!$C$4:$C$500,$A143,'Asset Value'!$B$4:$B$500,$B143-1)/1000)</f>
        <v>229674</v>
      </c>
      <c r="E143" s="50" t="n">
        <f aca="false">IF(SUMIFS(Sales!$D$3:$D$500,Sales!$C$3:$C$500,$A143,Sales!$B$3:$B$500,"&gt;="&amp;DATE($B143,1,1),Sales!$B$3:$B$500,"&lt;="&amp;DATE($B143,12,31))&gt;0,SUMIFS(Sales!$D$3:$D$500,Sales!$C$3:$C$500,$A143,Sales!$B$3:$B$500,"&gt;="&amp;DATE($B143,1,1),Sales!$B$3:$B$500,"&lt;="&amp;DATE($B143,12,31))/1000,SUMIFS('Asset Value'!$F$4:$F$500,'Asset Value'!$C$4:$C$500,$A143,'Asset Value'!$B$4:$B$500,$B143)/1000)</f>
        <v>234550</v>
      </c>
      <c r="F143" s="50" t="n">
        <f aca="false">SUMIFS(Rent!$E$3:$E$500,Rent!$D$3:$D$500,$A143,Rent!$C$3:$C$500,$B143)/1000</f>
        <v>8398</v>
      </c>
      <c r="G143" s="50" t="n">
        <f aca="false">SUMIFS(Costs!$D$3:$D$500,Costs!$C$3:$C$500,$A143,Costs!$B$3:$B$500,"&gt;="&amp;DATE($B143,1,1),Costs!$B$3:$B$500,"&lt;="&amp;DATE($B143,12,31))/1000</f>
        <v>0</v>
      </c>
      <c r="H143" s="50" t="n">
        <f aca="false">SUMIFS('Partial Sales'!$D$3:$D$500,'Partial Sales'!$C$3:$C$500,$A143,'Partial Sales'!$B$3:$B$500,"&gt;="&amp;DATE($B143,1,1),'Partial Sales'!$B$3:$B$500,"&lt;="&amp;DATE($B143,12,31))/1000</f>
        <v>0</v>
      </c>
      <c r="I143" s="50" t="n">
        <f aca="false">SUMIFS('Partial Purchases'!$D$3:$D$500,'Partial Purchases'!$C$3:$C$500,$A143,'Partial Purchases'!$B$3:$B$500,"&gt;="&amp;DATE($B143,1,1),'Partial Purchases'!$B$3:$B$500,"&lt;="&amp;DATE($B143,12,31))/1000</f>
        <v>0</v>
      </c>
      <c r="J143" s="50" t="n">
        <f aca="false">C143*(D143+0.5*(G143-H143+I143-F143))</f>
        <v>225475</v>
      </c>
      <c r="K143" s="50" t="n">
        <f aca="false">C143*(E143-D143+H143-G143-I143)</f>
        <v>4876</v>
      </c>
      <c r="L143" s="44" t="n">
        <f aca="false">IF(J143=0,"",C143*F143/J143)</f>
        <v>0.0372458143918395</v>
      </c>
      <c r="M143" s="44" t="n">
        <f aca="false">IF(J143=0,"",K143/J143)</f>
        <v>0.0216254573677791</v>
      </c>
      <c r="N143" s="44" t="n">
        <f aca="false">IF(J143=0,"",L143+M143)</f>
        <v>0.0588712717596186</v>
      </c>
    </row>
    <row r="144" customFormat="false" ht="15" hidden="false" customHeight="false" outlineLevel="0" collapsed="false">
      <c r="A144" s="8" t="s">
        <v>22</v>
      </c>
      <c r="B144" s="46" t="n">
        <v>2008</v>
      </c>
      <c r="C144" s="10" t="n">
        <f aca="false">IF(D144&gt;0,1,0)</f>
        <v>0</v>
      </c>
      <c r="D144" s="9" t="n">
        <f aca="false">IF(SUMIFS(Sales!$D$3:$D$500,Sales!$C$3:$C$500,$A144,Sales!$B$3:$B$500,"&lt;="&amp;DATE($B144-1,12,31))&gt;0,0,SUMIFS('Asset Value'!$F$4:$F$500,'Asset Value'!$C$4:$C$500,$A144,'Asset Value'!$B$4:$B$500,$B144-1)/1000)</f>
        <v>0</v>
      </c>
      <c r="E144" s="9" t="n">
        <f aca="false">IF(SUMIFS(Sales!$D$3:$D$500,Sales!$C$3:$C$500,$A144,Sales!$B$3:$B$500,"&gt;="&amp;DATE($B144,1,1),Sales!$B$3:$B$500,"&lt;="&amp;DATE($B144,12,31))&gt;0,SUMIFS(Sales!$D$3:$D$500,Sales!$C$3:$C$500,$A144,Sales!$B$3:$B$500,"&gt;="&amp;DATE($B144,1,1),Sales!$B$3:$B$500,"&lt;="&amp;DATE($B144,12,31))/1000,SUMIFS('Asset Value'!$F$4:$F$500,'Asset Value'!$C$4:$C$500,$A144,'Asset Value'!$B$4:$B$500,$B144)/1000)</f>
        <v>75090</v>
      </c>
      <c r="F144" s="9" t="n">
        <f aca="false">SUMIFS(Rent!$E$3:$E$500,Rent!$D$3:$D$500,$A144,Rent!$C$3:$C$500,$B144)/1000</f>
        <v>2181.24</v>
      </c>
      <c r="G144" s="9" t="n">
        <f aca="false">SUMIFS(Costs!$D$3:$D$500,Costs!$C$3:$C$500,$A144,Costs!$B$3:$B$500,"&gt;="&amp;DATE($B144,1,1),Costs!$B$3:$B$500,"&lt;="&amp;DATE($B144,12,31))/1000</f>
        <v>0</v>
      </c>
      <c r="H144" s="9" t="n">
        <f aca="false">SUMIFS('Partial Sales'!$D$3:$D$500,'Partial Sales'!$C$3:$C$500,$A144,'Partial Sales'!$B$3:$B$500,"&gt;="&amp;DATE($B144,1,1),'Partial Sales'!$B$3:$B$500,"&lt;="&amp;DATE($B144,12,31))/1000</f>
        <v>0</v>
      </c>
      <c r="I144" s="9" t="n">
        <f aca="false">SUMIFS('Partial Purchases'!$D$3:$D$500,'Partial Purchases'!$C$3:$C$500,$A144,'Partial Purchases'!$B$3:$B$500,"&gt;="&amp;DATE($B144,1,1),'Partial Purchases'!$B$3:$B$500,"&lt;="&amp;DATE($B144,12,31))/1000</f>
        <v>0</v>
      </c>
      <c r="J144" s="9" t="n">
        <f aca="false">C144*(D144+0.5*(G144-H144+I144-F144))</f>
        <v>-0</v>
      </c>
      <c r="K144" s="9" t="n">
        <f aca="false">C144*(E144-D144+H144-G144-I144)</f>
        <v>0</v>
      </c>
      <c r="L144" s="13" t="str">
        <f aca="false">IF(J144=0,"",C144*F144/J144)</f>
        <v/>
      </c>
      <c r="M144" s="13" t="str">
        <f aca="false">IF(J144=0,"",K144/J144)</f>
        <v/>
      </c>
      <c r="N144" s="13" t="str">
        <f aca="false">IF(J144=0,"",L144+M144)</f>
        <v/>
      </c>
    </row>
    <row r="145" customFormat="false" ht="15" hidden="false" customHeight="false" outlineLevel="0" collapsed="false">
      <c r="A145" s="8" t="s">
        <v>22</v>
      </c>
      <c r="B145" s="46" t="n">
        <v>2009</v>
      </c>
      <c r="C145" s="10" t="n">
        <f aca="false">IF(D145&gt;0,1,0)</f>
        <v>1</v>
      </c>
      <c r="D145" s="9" t="n">
        <f aca="false">IF(SUMIFS(Sales!$D$3:$D$500,Sales!$C$3:$C$500,$A145,Sales!$B$3:$B$500,"&lt;="&amp;DATE($B145-1,12,31))&gt;0,0,SUMIFS('Asset Value'!$F$4:$F$500,'Asset Value'!$C$4:$C$500,$A145,'Asset Value'!$B$4:$B$500,$B145-1)/1000)</f>
        <v>75090</v>
      </c>
      <c r="E145" s="9" t="n">
        <f aca="false">IF(SUMIFS(Sales!$D$3:$D$500,Sales!$C$3:$C$500,$A145,Sales!$B$3:$B$500,"&gt;="&amp;DATE($B145,1,1),Sales!$B$3:$B$500,"&lt;="&amp;DATE($B145,12,31))&gt;0,SUMIFS(Sales!$D$3:$D$500,Sales!$C$3:$C$500,$A145,Sales!$B$3:$B$500,"&gt;="&amp;DATE($B145,1,1),Sales!$B$3:$B$500,"&lt;="&amp;DATE($B145,12,31))/1000,SUMIFS('Asset Value'!$F$4:$F$500,'Asset Value'!$C$4:$C$500,$A145,'Asset Value'!$B$4:$B$500,$B145)/1000)</f>
        <v>86360</v>
      </c>
      <c r="F145" s="9" t="n">
        <f aca="false">SUMIFS(Rent!$E$3:$E$500,Rent!$D$3:$D$500,$A145,Rent!$C$3:$C$500,$B145)/1000</f>
        <v>2049.84</v>
      </c>
      <c r="G145" s="9" t="n">
        <f aca="false">SUMIFS(Costs!$D$3:$D$500,Costs!$C$3:$C$500,$A145,Costs!$B$3:$B$500,"&gt;="&amp;DATE($B145,1,1),Costs!$B$3:$B$500,"&lt;="&amp;DATE($B145,12,31))/1000</f>
        <v>0</v>
      </c>
      <c r="H145" s="9" t="n">
        <f aca="false">SUMIFS('Partial Sales'!$D$3:$D$500,'Partial Sales'!$C$3:$C$500,$A145,'Partial Sales'!$B$3:$B$500,"&gt;="&amp;DATE($B145,1,1),'Partial Sales'!$B$3:$B$500,"&lt;="&amp;DATE($B145,12,31))/1000</f>
        <v>0</v>
      </c>
      <c r="I145" s="9" t="n">
        <f aca="false">SUMIFS('Partial Purchases'!$D$3:$D$500,'Partial Purchases'!$C$3:$C$500,$A145,'Partial Purchases'!$B$3:$B$500,"&gt;="&amp;DATE($B145,1,1),'Partial Purchases'!$B$3:$B$500,"&lt;="&amp;DATE($B145,12,31))/1000</f>
        <v>0</v>
      </c>
      <c r="J145" s="9" t="n">
        <f aca="false">C145*(D145+0.5*(G145-H145+I145-F145))</f>
        <v>74065.08</v>
      </c>
      <c r="K145" s="9" t="n">
        <f aca="false">C145*(E145-D145+H145-G145-I145)</f>
        <v>11270</v>
      </c>
      <c r="L145" s="13" t="n">
        <f aca="false">IF(J145=0,"",C145*F145/J145)</f>
        <v>0.0276762004442579</v>
      </c>
      <c r="M145" s="13" t="n">
        <f aca="false">IF(J145=0,"",K145/J145)</f>
        <v>0.152163475689218</v>
      </c>
      <c r="N145" s="13" t="n">
        <f aca="false">IF(J145=0,"",L145+M145)</f>
        <v>0.179839676133476</v>
      </c>
    </row>
    <row r="146" customFormat="false" ht="15" hidden="false" customHeight="false" outlineLevel="0" collapsed="false">
      <c r="A146" s="8" t="s">
        <v>22</v>
      </c>
      <c r="B146" s="46" t="n">
        <v>2010</v>
      </c>
      <c r="C146" s="10" t="n">
        <f aca="false">IF(D146&gt;0,1,0)</f>
        <v>1</v>
      </c>
      <c r="D146" s="9" t="n">
        <f aca="false">IF(SUMIFS(Sales!$D$3:$D$500,Sales!$C$3:$C$500,$A146,Sales!$B$3:$B$500,"&lt;="&amp;DATE($B146-1,12,31))&gt;0,0,SUMIFS('Asset Value'!$F$4:$F$500,'Asset Value'!$C$4:$C$500,$A146,'Asset Value'!$B$4:$B$500,$B146-1)/1000)</f>
        <v>86360</v>
      </c>
      <c r="E146" s="9" t="n">
        <f aca="false">IF(SUMIFS(Sales!$D$3:$D$500,Sales!$C$3:$C$500,$A146,Sales!$B$3:$B$500,"&gt;="&amp;DATE($B146,1,1),Sales!$B$3:$B$500,"&lt;="&amp;DATE($B146,12,31))&gt;0,SUMIFS(Sales!$D$3:$D$500,Sales!$C$3:$C$500,$A146,Sales!$B$3:$B$500,"&gt;="&amp;DATE($B146,1,1),Sales!$B$3:$B$500,"&lt;="&amp;DATE($B146,12,31))/1000,SUMIFS('Asset Value'!$F$4:$F$500,'Asset Value'!$C$4:$C$500,$A146,'Asset Value'!$B$4:$B$500,$B146)/1000)</f>
        <v>102810</v>
      </c>
      <c r="F146" s="9" t="n">
        <f aca="false">SUMIFS(Rent!$E$3:$E$500,Rent!$D$3:$D$500,$A146,Rent!$C$3:$C$500,$B146)/1000</f>
        <v>2897.28</v>
      </c>
      <c r="G146" s="9" t="n">
        <f aca="false">SUMIFS(Costs!$D$3:$D$500,Costs!$C$3:$C$500,$A146,Costs!$B$3:$B$500,"&gt;="&amp;DATE($B146,1,1),Costs!$B$3:$B$500,"&lt;="&amp;DATE($B146,12,31))/1000</f>
        <v>0</v>
      </c>
      <c r="H146" s="9" t="n">
        <f aca="false">SUMIFS('Partial Sales'!$D$3:$D$500,'Partial Sales'!$C$3:$C$500,$A146,'Partial Sales'!$B$3:$B$500,"&gt;="&amp;DATE($B146,1,1),'Partial Sales'!$B$3:$B$500,"&lt;="&amp;DATE($B146,12,31))/1000</f>
        <v>0</v>
      </c>
      <c r="I146" s="9" t="n">
        <f aca="false">SUMIFS('Partial Purchases'!$D$3:$D$500,'Partial Purchases'!$C$3:$C$500,$A146,'Partial Purchases'!$B$3:$B$500,"&gt;="&amp;DATE($B146,1,1),'Partial Purchases'!$B$3:$B$500,"&lt;="&amp;DATE($B146,12,31))/1000</f>
        <v>0</v>
      </c>
      <c r="J146" s="9" t="n">
        <f aca="false">C146*(D146+0.5*(G146-H146+I146-F146))</f>
        <v>84911.36</v>
      </c>
      <c r="K146" s="9" t="n">
        <f aca="false">C146*(E146-D146+H146-G146-I146)</f>
        <v>16450</v>
      </c>
      <c r="L146" s="13" t="n">
        <f aca="false">IF(J146=0,"",C146*F146/J146)</f>
        <v>0.0341212294797775</v>
      </c>
      <c r="M146" s="13" t="n">
        <f aca="false">IF(J146=0,"",K146/J146)</f>
        <v>0.19373143946817</v>
      </c>
      <c r="N146" s="13" t="n">
        <f aca="false">IF(J146=0,"",L146+M146)</f>
        <v>0.227852668947948</v>
      </c>
    </row>
    <row r="147" customFormat="false" ht="15" hidden="false" customHeight="false" outlineLevel="0" collapsed="false">
      <c r="A147" s="8" t="s">
        <v>22</v>
      </c>
      <c r="B147" s="46" t="n">
        <v>2011</v>
      </c>
      <c r="C147" s="10" t="n">
        <f aca="false">IF(D147&gt;0,1,0)</f>
        <v>1</v>
      </c>
      <c r="D147" s="9" t="n">
        <f aca="false">IF(SUMIFS(Sales!$D$3:$D$500,Sales!$C$3:$C$500,$A147,Sales!$B$3:$B$500,"&lt;="&amp;DATE($B147-1,12,31))&gt;0,0,SUMIFS('Asset Value'!$F$4:$F$500,'Asset Value'!$C$4:$C$500,$A147,'Asset Value'!$B$4:$B$500,$B147-1)/1000)</f>
        <v>102810</v>
      </c>
      <c r="E147" s="9" t="n">
        <f aca="false">IF(SUMIFS(Sales!$D$3:$D$500,Sales!$C$3:$C$500,$A147,Sales!$B$3:$B$500,"&gt;="&amp;DATE($B147,1,1),Sales!$B$3:$B$500,"&lt;="&amp;DATE($B147,12,31))&gt;0,SUMIFS(Sales!$D$3:$D$500,Sales!$C$3:$C$500,$A147,Sales!$B$3:$B$500,"&gt;="&amp;DATE($B147,1,1),Sales!$B$3:$B$500,"&lt;="&amp;DATE($B147,12,31))/1000,SUMIFS('Asset Value'!$F$4:$F$500,'Asset Value'!$C$4:$C$500,$A147,'Asset Value'!$B$4:$B$500,$B147)/1000)</f>
        <v>146710</v>
      </c>
      <c r="F147" s="9" t="n">
        <f aca="false">SUMIFS(Rent!$E$3:$E$500,Rent!$D$3:$D$500,$A147,Rent!$C$3:$C$500,$B147)/1000</f>
        <v>3924.8868575</v>
      </c>
      <c r="G147" s="9" t="n">
        <f aca="false">SUMIFS(Costs!$D$3:$D$500,Costs!$C$3:$C$500,$A147,Costs!$B$3:$B$500,"&gt;="&amp;DATE($B147,1,1),Costs!$B$3:$B$500,"&lt;="&amp;DATE($B147,12,31))/1000</f>
        <v>0</v>
      </c>
      <c r="H147" s="9" t="n">
        <f aca="false">SUMIFS('Partial Sales'!$D$3:$D$500,'Partial Sales'!$C$3:$C$500,$A147,'Partial Sales'!$B$3:$B$500,"&gt;="&amp;DATE($B147,1,1),'Partial Sales'!$B$3:$B$500,"&lt;="&amp;DATE($B147,12,31))/1000</f>
        <v>0</v>
      </c>
      <c r="I147" s="9" t="n">
        <f aca="false">SUMIFS('Partial Purchases'!$D$3:$D$500,'Partial Purchases'!$C$3:$C$500,$A147,'Partial Purchases'!$B$3:$B$500,"&gt;="&amp;DATE($B147,1,1),'Partial Purchases'!$B$3:$B$500,"&lt;="&amp;DATE($B147,12,31))/1000</f>
        <v>0</v>
      </c>
      <c r="J147" s="9" t="n">
        <f aca="false">C147*(D147+0.5*(G147-H147+I147-F147))</f>
        <v>100847.55657125</v>
      </c>
      <c r="K147" s="9" t="n">
        <f aca="false">C147*(E147-D147+H147-G147-I147)</f>
        <v>43900</v>
      </c>
      <c r="L147" s="13" t="n">
        <f aca="false">IF(J147=0,"",C147*F147/J147)</f>
        <v>0.0389190079655229</v>
      </c>
      <c r="M147" s="13" t="n">
        <f aca="false">IF(J147=0,"",K147/J147)</f>
        <v>0.435310497275005</v>
      </c>
      <c r="N147" s="13" t="n">
        <f aca="false">IF(J147=0,"",L147+M147)</f>
        <v>0.474229505240528</v>
      </c>
    </row>
    <row r="148" customFormat="false" ht="15" hidden="false" customHeight="false" outlineLevel="0" collapsed="false">
      <c r="A148" s="8" t="s">
        <v>22</v>
      </c>
      <c r="B148" s="46" t="n">
        <v>2012</v>
      </c>
      <c r="C148" s="10" t="n">
        <f aca="false">IF(D148&gt;0,1,0)</f>
        <v>1</v>
      </c>
      <c r="D148" s="9" t="n">
        <f aca="false">IF(SUMIFS(Sales!$D$3:$D$500,Sales!$C$3:$C$500,$A148,Sales!$B$3:$B$500,"&lt;="&amp;DATE($B148-1,12,31))&gt;0,0,SUMIFS('Asset Value'!$F$4:$F$500,'Asset Value'!$C$4:$C$500,$A148,'Asset Value'!$B$4:$B$500,$B148-1)/1000)</f>
        <v>146710</v>
      </c>
      <c r="E148" s="9" t="n">
        <f aca="false">IF(SUMIFS(Sales!$D$3:$D$500,Sales!$C$3:$C$500,$A148,Sales!$B$3:$B$500,"&gt;="&amp;DATE($B148,1,1),Sales!$B$3:$B$500,"&lt;="&amp;DATE($B148,12,31))&gt;0,SUMIFS(Sales!$D$3:$D$500,Sales!$C$3:$C$500,$A148,Sales!$B$3:$B$500,"&gt;="&amp;DATE($B148,1,1),Sales!$B$3:$B$500,"&lt;="&amp;DATE($B148,12,31))/1000,SUMIFS('Asset Value'!$F$4:$F$500,'Asset Value'!$C$4:$C$500,$A148,'Asset Value'!$B$4:$B$500,$B148)/1000)</f>
        <v>167470</v>
      </c>
      <c r="F148" s="9" t="n">
        <f aca="false">SUMIFS(Rent!$E$3:$E$500,Rent!$D$3:$D$500,$A148,Rent!$C$3:$C$500,$B148)/1000</f>
        <v>7989</v>
      </c>
      <c r="G148" s="9" t="n">
        <f aca="false">SUMIFS(Costs!$D$3:$D$500,Costs!$C$3:$C$500,$A148,Costs!$B$3:$B$500,"&gt;="&amp;DATE($B148,1,1),Costs!$B$3:$B$500,"&lt;="&amp;DATE($B148,12,31))/1000</f>
        <v>0</v>
      </c>
      <c r="H148" s="9" t="n">
        <f aca="false">SUMIFS('Partial Sales'!$D$3:$D$500,'Partial Sales'!$C$3:$C$500,$A148,'Partial Sales'!$B$3:$B$500,"&gt;="&amp;DATE($B148,1,1),'Partial Sales'!$B$3:$B$500,"&lt;="&amp;DATE($B148,12,31))/1000</f>
        <v>0</v>
      </c>
      <c r="I148" s="9" t="n">
        <f aca="false">SUMIFS('Partial Purchases'!$D$3:$D$500,'Partial Purchases'!$C$3:$C$500,$A148,'Partial Purchases'!$B$3:$B$500,"&gt;="&amp;DATE($B148,1,1),'Partial Purchases'!$B$3:$B$500,"&lt;="&amp;DATE($B148,12,31))/1000</f>
        <v>0</v>
      </c>
      <c r="J148" s="9" t="n">
        <f aca="false">C148*(D148+0.5*(G148-H148+I148-F148))</f>
        <v>142715.5</v>
      </c>
      <c r="K148" s="9" t="n">
        <f aca="false">C148*(E148-D148+H148-G148-I148)</f>
        <v>20760</v>
      </c>
      <c r="L148" s="13" t="n">
        <f aca="false">IF(J148=0,"",C148*F148/J148)</f>
        <v>0.0559785026854126</v>
      </c>
      <c r="M148" s="13" t="n">
        <f aca="false">IF(J148=0,"",K148/J148)</f>
        <v>0.145464227781846</v>
      </c>
      <c r="N148" s="13" t="n">
        <f aca="false">IF(J148=0,"",L148+M148)</f>
        <v>0.201442730467258</v>
      </c>
    </row>
    <row r="149" customFormat="false" ht="15" hidden="false" customHeight="false" outlineLevel="0" collapsed="false">
      <c r="A149" s="8" t="s">
        <v>22</v>
      </c>
      <c r="B149" s="46" t="n">
        <v>2013</v>
      </c>
      <c r="C149" s="10" t="n">
        <f aca="false">IF(D149&gt;0,1,0)</f>
        <v>1</v>
      </c>
      <c r="D149" s="9" t="n">
        <f aca="false">IF(SUMIFS(Sales!$D$3:$D$500,Sales!$C$3:$C$500,$A149,Sales!$B$3:$B$500,"&lt;="&amp;DATE($B149-1,12,31))&gt;0,0,SUMIFS('Asset Value'!$F$4:$F$500,'Asset Value'!$C$4:$C$500,$A149,'Asset Value'!$B$4:$B$500,$B149-1)/1000)</f>
        <v>167470</v>
      </c>
      <c r="E149" s="9" t="n">
        <f aca="false">IF(SUMIFS(Sales!$D$3:$D$500,Sales!$C$3:$C$500,$A149,Sales!$B$3:$B$500,"&gt;="&amp;DATE($B149,1,1),Sales!$B$3:$B$500,"&lt;="&amp;DATE($B149,12,31))&gt;0,SUMIFS(Sales!$D$3:$D$500,Sales!$C$3:$C$500,$A149,Sales!$B$3:$B$500,"&gt;="&amp;DATE($B149,1,1),Sales!$B$3:$B$500,"&lt;="&amp;DATE($B149,12,31))/1000,SUMIFS('Asset Value'!$F$4:$F$500,'Asset Value'!$C$4:$C$500,$A149,'Asset Value'!$B$4:$B$500,$B149)/1000)</f>
        <v>145456</v>
      </c>
      <c r="F149" s="9" t="n">
        <f aca="false">SUMIFS(Rent!$E$3:$E$500,Rent!$D$3:$D$500,$A149,Rent!$C$3:$C$500,$B149)/1000</f>
        <v>5372</v>
      </c>
      <c r="G149" s="9" t="n">
        <f aca="false">SUMIFS(Costs!$D$3:$D$500,Costs!$C$3:$C$500,$A149,Costs!$B$3:$B$500,"&gt;="&amp;DATE($B149,1,1),Costs!$B$3:$B$500,"&lt;="&amp;DATE($B149,12,31))/1000</f>
        <v>0</v>
      </c>
      <c r="H149" s="9" t="n">
        <f aca="false">SUMIFS('Partial Sales'!$D$3:$D$500,'Partial Sales'!$C$3:$C$500,$A149,'Partial Sales'!$B$3:$B$500,"&gt;="&amp;DATE($B149,1,1),'Partial Sales'!$B$3:$B$500,"&lt;="&amp;DATE($B149,12,31))/1000</f>
        <v>0</v>
      </c>
      <c r="I149" s="9" t="n">
        <f aca="false">SUMIFS('Partial Purchases'!$D$3:$D$500,'Partial Purchases'!$C$3:$C$500,$A149,'Partial Purchases'!$B$3:$B$500,"&gt;="&amp;DATE($B149,1,1),'Partial Purchases'!$B$3:$B$500,"&lt;="&amp;DATE($B149,12,31))/1000</f>
        <v>0</v>
      </c>
      <c r="J149" s="9" t="n">
        <f aca="false">C149*(D149+0.5*(G149-H149+I149-F149))</f>
        <v>164784</v>
      </c>
      <c r="K149" s="9" t="n">
        <f aca="false">C149*(E149-D149+H149-G149-I149)</f>
        <v>-22014</v>
      </c>
      <c r="L149" s="13" t="n">
        <f aca="false">IF(J149=0,"",C149*F149/J149)</f>
        <v>0.0326002524516943</v>
      </c>
      <c r="M149" s="13" t="n">
        <f aca="false">IF(J149=0,"",K149/J149)</f>
        <v>-0.133593067288086</v>
      </c>
      <c r="N149" s="13" t="n">
        <f aca="false">IF(J149=0,"",L149+M149)</f>
        <v>-0.100992814836392</v>
      </c>
    </row>
    <row r="150" customFormat="false" ht="15" hidden="false" customHeight="false" outlineLevel="0" collapsed="false">
      <c r="A150" s="8" t="s">
        <v>22</v>
      </c>
      <c r="B150" s="46" t="n">
        <v>2014</v>
      </c>
      <c r="C150" s="10" t="n">
        <f aca="false">IF(D150&gt;0,1,0)</f>
        <v>1</v>
      </c>
      <c r="D150" s="9" t="n">
        <f aca="false">IF(SUMIFS(Sales!$D$3:$D$500,Sales!$C$3:$C$500,$A150,Sales!$B$3:$B$500,"&lt;="&amp;DATE($B150-1,12,31))&gt;0,0,SUMIFS('Asset Value'!$F$4:$F$500,'Asset Value'!$C$4:$C$500,$A150,'Asset Value'!$B$4:$B$500,$B150-1)/1000)</f>
        <v>145456</v>
      </c>
      <c r="E150" s="9" t="n">
        <f aca="false">IF(SUMIFS(Sales!$D$3:$D$500,Sales!$C$3:$C$500,$A150,Sales!$B$3:$B$500,"&gt;="&amp;DATE($B150,1,1),Sales!$B$3:$B$500,"&lt;="&amp;DATE($B150,12,31))&gt;0,SUMIFS(Sales!$D$3:$D$500,Sales!$C$3:$C$500,$A150,Sales!$B$3:$B$500,"&gt;="&amp;DATE($B150,1,1),Sales!$B$3:$B$500,"&lt;="&amp;DATE($B150,12,31))/1000,SUMIFS('Asset Value'!$F$4:$F$500,'Asset Value'!$C$4:$C$500,$A150,'Asset Value'!$B$4:$B$500,$B150)/1000)</f>
        <v>156350</v>
      </c>
      <c r="F150" s="9" t="n">
        <f aca="false">SUMIFS(Rent!$E$3:$E$500,Rent!$D$3:$D$500,$A150,Rent!$C$3:$C$500,$B150)/1000</f>
        <v>5792</v>
      </c>
      <c r="G150" s="9" t="n">
        <f aca="false">SUMIFS(Costs!$D$3:$D$500,Costs!$C$3:$C$500,$A150,Costs!$B$3:$B$500,"&gt;="&amp;DATE($B150,1,1),Costs!$B$3:$B$500,"&lt;="&amp;DATE($B150,12,31))/1000</f>
        <v>0</v>
      </c>
      <c r="H150" s="9" t="n">
        <f aca="false">SUMIFS('Partial Sales'!$D$3:$D$500,'Partial Sales'!$C$3:$C$500,$A150,'Partial Sales'!$B$3:$B$500,"&gt;="&amp;DATE($B150,1,1),'Partial Sales'!$B$3:$B$500,"&lt;="&amp;DATE($B150,12,31))/1000</f>
        <v>0</v>
      </c>
      <c r="I150" s="9" t="n">
        <f aca="false">SUMIFS('Partial Purchases'!$D$3:$D$500,'Partial Purchases'!$C$3:$C$500,$A150,'Partial Purchases'!$B$3:$B$500,"&gt;="&amp;DATE($B150,1,1),'Partial Purchases'!$B$3:$B$500,"&lt;="&amp;DATE($B150,12,31))/1000</f>
        <v>0</v>
      </c>
      <c r="J150" s="9" t="n">
        <f aca="false">C150*(D150+0.5*(G150-H150+I150-F150))</f>
        <v>142560</v>
      </c>
      <c r="K150" s="9" t="n">
        <f aca="false">C150*(E150-D150+H150-G150-I150)</f>
        <v>10894</v>
      </c>
      <c r="L150" s="13" t="n">
        <f aca="false">IF(J150=0,"",C150*F150/J150)</f>
        <v>0.040628507295174</v>
      </c>
      <c r="M150" s="13" t="n">
        <f aca="false">IF(J150=0,"",K150/J150)</f>
        <v>0.0764169472502806</v>
      </c>
      <c r="N150" s="13" t="n">
        <f aca="false">IF(J150=0,"",L150+M150)</f>
        <v>0.117045454545455</v>
      </c>
    </row>
    <row r="151" customFormat="false" ht="15" hidden="false" customHeight="false" outlineLevel="0" collapsed="false">
      <c r="A151" s="47" t="s">
        <v>22</v>
      </c>
      <c r="B151" s="48" t="n">
        <v>2015</v>
      </c>
      <c r="C151" s="49" t="n">
        <f aca="false">IF(D151&gt;0,1,0)</f>
        <v>1</v>
      </c>
      <c r="D151" s="50" t="n">
        <f aca="false">IF(SUMIFS(Sales!$D$3:$D$500,Sales!$C$3:$C$500,$A151,Sales!$B$3:$B$500,"&lt;="&amp;DATE($B151-1,12,31))&gt;0,0,SUMIFS('Asset Value'!$F$4:$F$500,'Asset Value'!$C$4:$C$500,$A151,'Asset Value'!$B$4:$B$500,$B151-1)/1000)</f>
        <v>156350</v>
      </c>
      <c r="E151" s="50" t="n">
        <f aca="false">IF(SUMIFS(Sales!$D$3:$D$500,Sales!$C$3:$C$500,$A151,Sales!$B$3:$B$500,"&gt;="&amp;DATE($B151,1,1),Sales!$B$3:$B$500,"&lt;="&amp;DATE($B151,12,31))&gt;0,SUMIFS(Sales!$D$3:$D$500,Sales!$C$3:$C$500,$A151,Sales!$B$3:$B$500,"&gt;="&amp;DATE($B151,1,1),Sales!$B$3:$B$500,"&lt;="&amp;DATE($B151,12,31))/1000,SUMIFS('Asset Value'!$F$4:$F$500,'Asset Value'!$C$4:$C$500,$A151,'Asset Value'!$B$4:$B$500,$B151)/1000)</f>
        <v>166430</v>
      </c>
      <c r="F151" s="50" t="n">
        <f aca="false">SUMIFS(Rent!$E$3:$E$500,Rent!$D$3:$D$500,$A151,Rent!$C$3:$C$500,$B151)/1000</f>
        <v>6119</v>
      </c>
      <c r="G151" s="50" t="n">
        <f aca="false">SUMIFS(Costs!$D$3:$D$500,Costs!$C$3:$C$500,$A151,Costs!$B$3:$B$500,"&gt;="&amp;DATE($B151,1,1),Costs!$B$3:$B$500,"&lt;="&amp;DATE($B151,12,31))/1000</f>
        <v>0</v>
      </c>
      <c r="H151" s="50" t="n">
        <f aca="false">SUMIFS('Partial Sales'!$D$3:$D$500,'Partial Sales'!$C$3:$C$500,$A151,'Partial Sales'!$B$3:$B$500,"&gt;="&amp;DATE($B151,1,1),'Partial Sales'!$B$3:$B$500,"&lt;="&amp;DATE($B151,12,31))/1000</f>
        <v>0</v>
      </c>
      <c r="I151" s="50" t="n">
        <f aca="false">SUMIFS('Partial Purchases'!$D$3:$D$500,'Partial Purchases'!$C$3:$C$500,$A151,'Partial Purchases'!$B$3:$B$500,"&gt;="&amp;DATE($B151,1,1),'Partial Purchases'!$B$3:$B$500,"&lt;="&amp;DATE($B151,12,31))/1000</f>
        <v>0</v>
      </c>
      <c r="J151" s="50" t="n">
        <f aca="false">C151*(D151+0.5*(G151-H151+I151-F151))</f>
        <v>153290.5</v>
      </c>
      <c r="K151" s="50" t="n">
        <f aca="false">C151*(E151-D151+H151-G151-I151)</f>
        <v>10080</v>
      </c>
      <c r="L151" s="44" t="n">
        <f aca="false">IF(J151=0,"",C151*F151/J151)</f>
        <v>0.0399176726542088</v>
      </c>
      <c r="M151" s="44" t="n">
        <f aca="false">IF(J151=0,"",K151/J151)</f>
        <v>0.0657574996493586</v>
      </c>
      <c r="N151" s="44" t="n">
        <f aca="false">IF(J151=0,"",L151+M151)</f>
        <v>0.105675172303567</v>
      </c>
    </row>
    <row r="152" customFormat="false" ht="15" hidden="false" customHeight="false" outlineLevel="0" collapsed="false">
      <c r="A152" s="8" t="s">
        <v>23</v>
      </c>
      <c r="B152" s="46" t="n">
        <v>2008</v>
      </c>
      <c r="C152" s="10" t="n">
        <f aca="false">IF(D152&gt;0,1,0)</f>
        <v>0</v>
      </c>
      <c r="D152" s="9" t="n">
        <f aca="false">IF(SUMIFS(Sales!$D$3:$D$500,Sales!$C$3:$C$500,$A152,Sales!$B$3:$B$500,"&lt;="&amp;DATE($B152-1,12,31))&gt;0,0,SUMIFS('Asset Value'!$F$4:$F$500,'Asset Value'!$C$4:$C$500,$A152,'Asset Value'!$B$4:$B$500,$B152-1)/1000)</f>
        <v>0</v>
      </c>
      <c r="E152" s="9" t="n">
        <f aca="false">IF(SUMIFS(Sales!$D$3:$D$500,Sales!$C$3:$C$500,$A152,Sales!$B$3:$B$500,"&gt;="&amp;DATE($B152,1,1),Sales!$B$3:$B$500,"&lt;="&amp;DATE($B152,12,31))&gt;0,SUMIFS(Sales!$D$3:$D$500,Sales!$C$3:$C$500,$A152,Sales!$B$3:$B$500,"&gt;="&amp;DATE($B152,1,1),Sales!$B$3:$B$500,"&lt;="&amp;DATE($B152,12,31))/1000,SUMIFS('Asset Value'!$F$4:$F$500,'Asset Value'!$C$4:$C$500,$A152,'Asset Value'!$B$4:$B$500,$B152)/1000)</f>
        <v>58920</v>
      </c>
      <c r="F152" s="9" t="n">
        <f aca="false">SUMIFS(Rent!$E$3:$E$500,Rent!$D$3:$D$500,$A152,Rent!$C$3:$C$500,$B152)/1000</f>
        <v>0</v>
      </c>
      <c r="G152" s="9" t="n">
        <f aca="false">SUMIFS(Costs!$D$3:$D$500,Costs!$C$3:$C$500,$A152,Costs!$B$3:$B$500,"&gt;="&amp;DATE($B152,1,1),Costs!$B$3:$B$500,"&lt;="&amp;DATE($B152,12,31))/1000</f>
        <v>0</v>
      </c>
      <c r="H152" s="9" t="n">
        <f aca="false">SUMIFS('Partial Sales'!$D$3:$D$500,'Partial Sales'!$C$3:$C$500,$A152,'Partial Sales'!$B$3:$B$500,"&gt;="&amp;DATE($B152,1,1),'Partial Sales'!$B$3:$B$500,"&lt;="&amp;DATE($B152,12,31))/1000</f>
        <v>0</v>
      </c>
      <c r="I152" s="9" t="n">
        <f aca="false">SUMIFS('Partial Purchases'!$D$3:$D$500,'Partial Purchases'!$C$3:$C$500,$A152,'Partial Purchases'!$B$3:$B$500,"&gt;="&amp;DATE($B152,1,1),'Partial Purchases'!$B$3:$B$500,"&lt;="&amp;DATE($B152,12,31))/1000</f>
        <v>0</v>
      </c>
      <c r="J152" s="9" t="n">
        <f aca="false">C152*(D152+0.5*(G152-H152+I152-F152))</f>
        <v>0</v>
      </c>
      <c r="K152" s="9" t="n">
        <f aca="false">C152*(E152-D152+H152-G152-I152)</f>
        <v>0</v>
      </c>
      <c r="L152" s="13" t="str">
        <f aca="false">IF(J152=0,"",C152*F152/J152)</f>
        <v/>
      </c>
      <c r="M152" s="13" t="str">
        <f aca="false">IF(J152=0,"",K152/J152)</f>
        <v/>
      </c>
      <c r="N152" s="13" t="str">
        <f aca="false">IF(J152=0,"",L152+M152)</f>
        <v/>
      </c>
    </row>
    <row r="153" customFormat="false" ht="15" hidden="false" customHeight="false" outlineLevel="0" collapsed="false">
      <c r="A153" s="8" t="s">
        <v>23</v>
      </c>
      <c r="B153" s="46" t="n">
        <v>2009</v>
      </c>
      <c r="C153" s="10" t="n">
        <f aca="false">IF(D153&gt;0,1,0)</f>
        <v>1</v>
      </c>
      <c r="D153" s="9" t="n">
        <f aca="false">IF(SUMIFS(Sales!$D$3:$D$500,Sales!$C$3:$C$500,$A153,Sales!$B$3:$B$500,"&lt;="&amp;DATE($B153-1,12,31))&gt;0,0,SUMIFS('Asset Value'!$F$4:$F$500,'Asset Value'!$C$4:$C$500,$A153,'Asset Value'!$B$4:$B$500,$B153-1)/1000)</f>
        <v>58920</v>
      </c>
      <c r="E153" s="9" t="n">
        <f aca="false">IF(SUMIFS(Sales!$D$3:$D$500,Sales!$C$3:$C$500,$A153,Sales!$B$3:$B$500,"&gt;="&amp;DATE($B153,1,1),Sales!$B$3:$B$500,"&lt;="&amp;DATE($B153,12,31))&gt;0,SUMIFS(Sales!$D$3:$D$500,Sales!$C$3:$C$500,$A153,Sales!$B$3:$B$500,"&gt;="&amp;DATE($B153,1,1),Sales!$B$3:$B$500,"&lt;="&amp;DATE($B153,12,31))/1000,SUMIFS('Asset Value'!$F$4:$F$500,'Asset Value'!$C$4:$C$500,$A153,'Asset Value'!$B$4:$B$500,$B153)/1000)</f>
        <v>94840</v>
      </c>
      <c r="F153" s="9" t="n">
        <f aca="false">SUMIFS(Rent!$E$3:$E$500,Rent!$D$3:$D$500,$A153,Rent!$C$3:$C$500,$B153)/1000</f>
        <v>0</v>
      </c>
      <c r="G153" s="9" t="n">
        <f aca="false">SUMIFS(Costs!$D$3:$D$500,Costs!$C$3:$C$500,$A153,Costs!$B$3:$B$500,"&gt;="&amp;DATE($B153,1,1),Costs!$B$3:$B$500,"&lt;="&amp;DATE($B153,12,31))/1000</f>
        <v>0</v>
      </c>
      <c r="H153" s="9" t="n">
        <f aca="false">SUMIFS('Partial Sales'!$D$3:$D$500,'Partial Sales'!$C$3:$C$500,$A153,'Partial Sales'!$B$3:$B$500,"&gt;="&amp;DATE($B153,1,1),'Partial Sales'!$B$3:$B$500,"&lt;="&amp;DATE($B153,12,31))/1000</f>
        <v>0</v>
      </c>
      <c r="I153" s="9" t="n">
        <f aca="false">SUMIFS('Partial Purchases'!$D$3:$D$500,'Partial Purchases'!$C$3:$C$500,$A153,'Partial Purchases'!$B$3:$B$500,"&gt;="&amp;DATE($B153,1,1),'Partial Purchases'!$B$3:$B$500,"&lt;="&amp;DATE($B153,12,31))/1000</f>
        <v>0</v>
      </c>
      <c r="J153" s="9" t="n">
        <f aca="false">C153*(D153+0.5*(G153-H153+I153-F153))</f>
        <v>58920</v>
      </c>
      <c r="K153" s="9" t="n">
        <f aca="false">C153*(E153-D153+H153-G153-I153)</f>
        <v>35920</v>
      </c>
      <c r="L153" s="13" t="n">
        <f aca="false">IF(J153=0,"",C153*F153/J153)</f>
        <v>0</v>
      </c>
      <c r="M153" s="13" t="n">
        <f aca="false">IF(J153=0,"",K153/J153)</f>
        <v>0.609640190088255</v>
      </c>
      <c r="N153" s="13" t="n">
        <f aca="false">IF(J153=0,"",L153+M153)</f>
        <v>0.609640190088255</v>
      </c>
    </row>
    <row r="154" customFormat="false" ht="15" hidden="false" customHeight="false" outlineLevel="0" collapsed="false">
      <c r="A154" s="8" t="s">
        <v>23</v>
      </c>
      <c r="B154" s="46" t="n">
        <v>2010</v>
      </c>
      <c r="C154" s="10" t="n">
        <f aca="false">IF(D154&gt;0,1,0)</f>
        <v>1</v>
      </c>
      <c r="D154" s="9" t="n">
        <f aca="false">IF(SUMIFS(Sales!$D$3:$D$500,Sales!$C$3:$C$500,$A154,Sales!$B$3:$B$500,"&lt;="&amp;DATE($B154-1,12,31))&gt;0,0,SUMIFS('Asset Value'!$F$4:$F$500,'Asset Value'!$C$4:$C$500,$A154,'Asset Value'!$B$4:$B$500,$B154-1)/1000)</f>
        <v>94840</v>
      </c>
      <c r="E154" s="9" t="n">
        <f aca="false">IF(SUMIFS(Sales!$D$3:$D$500,Sales!$C$3:$C$500,$A154,Sales!$B$3:$B$500,"&gt;="&amp;DATE($B154,1,1),Sales!$B$3:$B$500,"&lt;="&amp;DATE($B154,12,31))&gt;0,SUMIFS(Sales!$D$3:$D$500,Sales!$C$3:$C$500,$A154,Sales!$B$3:$B$500,"&gt;="&amp;DATE($B154,1,1),Sales!$B$3:$B$500,"&lt;="&amp;DATE($B154,12,31))/1000,SUMIFS('Asset Value'!$F$4:$F$500,'Asset Value'!$C$4:$C$500,$A154,'Asset Value'!$B$4:$B$500,$B154)/1000)</f>
        <v>81810</v>
      </c>
      <c r="F154" s="9" t="n">
        <f aca="false">SUMIFS(Rent!$E$3:$E$500,Rent!$D$3:$D$500,$A154,Rent!$C$3:$C$500,$B154)/1000</f>
        <v>455</v>
      </c>
      <c r="G154" s="9" t="n">
        <f aca="false">SUMIFS(Costs!$D$3:$D$500,Costs!$C$3:$C$500,$A154,Costs!$B$3:$B$500,"&gt;="&amp;DATE($B154,1,1),Costs!$B$3:$B$500,"&lt;="&amp;DATE($B154,12,31))/1000</f>
        <v>0</v>
      </c>
      <c r="H154" s="9" t="n">
        <f aca="false">SUMIFS('Partial Sales'!$D$3:$D$500,'Partial Sales'!$C$3:$C$500,$A154,'Partial Sales'!$B$3:$B$500,"&gt;="&amp;DATE($B154,1,1),'Partial Sales'!$B$3:$B$500,"&lt;="&amp;DATE($B154,12,31))/1000</f>
        <v>0</v>
      </c>
      <c r="I154" s="9" t="n">
        <f aca="false">SUMIFS('Partial Purchases'!$D$3:$D$500,'Partial Purchases'!$C$3:$C$500,$A154,'Partial Purchases'!$B$3:$B$500,"&gt;="&amp;DATE($B154,1,1),'Partial Purchases'!$B$3:$B$500,"&lt;="&amp;DATE($B154,12,31))/1000</f>
        <v>0</v>
      </c>
      <c r="J154" s="9" t="n">
        <f aca="false">C154*(D154+0.5*(G154-H154+I154-F154))</f>
        <v>94612.5</v>
      </c>
      <c r="K154" s="9" t="n">
        <f aca="false">C154*(E154-D154+H154-G154-I154)</f>
        <v>-13030</v>
      </c>
      <c r="L154" s="13" t="n">
        <f aca="false">IF(J154=0,"",C154*F154/J154)</f>
        <v>0.00480908970801955</v>
      </c>
      <c r="M154" s="13" t="n">
        <f aca="false">IF(J154=0,"",K154/J154)</f>
        <v>-0.137719645924164</v>
      </c>
      <c r="N154" s="13" t="n">
        <f aca="false">IF(J154=0,"",L154+M154)</f>
        <v>-0.132910556216145</v>
      </c>
    </row>
    <row r="155" customFormat="false" ht="15" hidden="false" customHeight="false" outlineLevel="0" collapsed="false">
      <c r="A155" s="8" t="s">
        <v>23</v>
      </c>
      <c r="B155" s="46" t="n">
        <v>2011</v>
      </c>
      <c r="C155" s="10" t="n">
        <f aca="false">IF(D155&gt;0,1,0)</f>
        <v>1</v>
      </c>
      <c r="D155" s="9" t="n">
        <f aca="false">IF(SUMIFS(Sales!$D$3:$D$500,Sales!$C$3:$C$500,$A155,Sales!$B$3:$B$500,"&lt;="&amp;DATE($B155-1,12,31))&gt;0,0,SUMIFS('Asset Value'!$F$4:$F$500,'Asset Value'!$C$4:$C$500,$A155,'Asset Value'!$B$4:$B$500,$B155-1)/1000)</f>
        <v>81810</v>
      </c>
      <c r="E155" s="9" t="n">
        <f aca="false">IF(SUMIFS(Sales!$D$3:$D$500,Sales!$C$3:$C$500,$A155,Sales!$B$3:$B$500,"&gt;="&amp;DATE($B155,1,1),Sales!$B$3:$B$500,"&lt;="&amp;DATE($B155,12,31))&gt;0,SUMIFS(Sales!$D$3:$D$500,Sales!$C$3:$C$500,$A155,Sales!$B$3:$B$500,"&gt;="&amp;DATE($B155,1,1),Sales!$B$3:$B$500,"&lt;="&amp;DATE($B155,12,31))/1000,SUMIFS('Asset Value'!$F$4:$F$500,'Asset Value'!$C$4:$C$500,$A155,'Asset Value'!$B$4:$B$500,$B155)/1000)</f>
        <v>117020</v>
      </c>
      <c r="F155" s="9" t="n">
        <f aca="false">SUMIFS(Rent!$E$3:$E$500,Rent!$D$3:$D$500,$A155,Rent!$C$3:$C$500,$B155)/1000</f>
        <v>2193.42048</v>
      </c>
      <c r="G155" s="9" t="n">
        <f aca="false">SUMIFS(Costs!$D$3:$D$500,Costs!$C$3:$C$500,$A155,Costs!$B$3:$B$500,"&gt;="&amp;DATE($B155,1,1),Costs!$B$3:$B$500,"&lt;="&amp;DATE($B155,12,31))/1000</f>
        <v>0</v>
      </c>
      <c r="H155" s="9" t="n">
        <f aca="false">SUMIFS('Partial Sales'!$D$3:$D$500,'Partial Sales'!$C$3:$C$500,$A155,'Partial Sales'!$B$3:$B$500,"&gt;="&amp;DATE($B155,1,1),'Partial Sales'!$B$3:$B$500,"&lt;="&amp;DATE($B155,12,31))/1000</f>
        <v>0</v>
      </c>
      <c r="I155" s="9" t="n">
        <f aca="false">SUMIFS('Partial Purchases'!$D$3:$D$500,'Partial Purchases'!$C$3:$C$500,$A155,'Partial Purchases'!$B$3:$B$500,"&gt;="&amp;DATE($B155,1,1),'Partial Purchases'!$B$3:$B$500,"&lt;="&amp;DATE($B155,12,31))/1000</f>
        <v>0</v>
      </c>
      <c r="J155" s="9" t="n">
        <f aca="false">C155*(D155+0.5*(G155-H155+I155-F155))</f>
        <v>80713.28976</v>
      </c>
      <c r="K155" s="9" t="n">
        <f aca="false">C155*(E155-D155+H155-G155-I155)</f>
        <v>35210</v>
      </c>
      <c r="L155" s="13" t="n">
        <f aca="false">IF(J155=0,"",C155*F155/J155)</f>
        <v>0.0271754563160802</v>
      </c>
      <c r="M155" s="13" t="n">
        <f aca="false">IF(J155=0,"",K155/J155)</f>
        <v>0.43623547131701</v>
      </c>
      <c r="N155" s="13" t="n">
        <f aca="false">IF(J155=0,"",L155+M155)</f>
        <v>0.46341092763309</v>
      </c>
    </row>
    <row r="156" customFormat="false" ht="15" hidden="false" customHeight="false" outlineLevel="0" collapsed="false">
      <c r="A156" s="8" t="s">
        <v>23</v>
      </c>
      <c r="B156" s="46" t="n">
        <v>2012</v>
      </c>
      <c r="C156" s="10" t="n">
        <f aca="false">IF(D156&gt;0,1,0)</f>
        <v>1</v>
      </c>
      <c r="D156" s="9" t="n">
        <f aca="false">IF(SUMIFS(Sales!$D$3:$D$500,Sales!$C$3:$C$500,$A156,Sales!$B$3:$B$500,"&lt;="&amp;DATE($B156-1,12,31))&gt;0,0,SUMIFS('Asset Value'!$F$4:$F$500,'Asset Value'!$C$4:$C$500,$A156,'Asset Value'!$B$4:$B$500,$B156-1)/1000)</f>
        <v>117020</v>
      </c>
      <c r="E156" s="9" t="n">
        <f aca="false">IF(SUMIFS(Sales!$D$3:$D$500,Sales!$C$3:$C$500,$A156,Sales!$B$3:$B$500,"&gt;="&amp;DATE($B156,1,1),Sales!$B$3:$B$500,"&lt;="&amp;DATE($B156,12,31))&gt;0,SUMIFS(Sales!$D$3:$D$500,Sales!$C$3:$C$500,$A156,Sales!$B$3:$B$500,"&gt;="&amp;DATE($B156,1,1),Sales!$B$3:$B$500,"&lt;="&amp;DATE($B156,12,31))/1000,SUMIFS('Asset Value'!$F$4:$F$500,'Asset Value'!$C$4:$C$500,$A156,'Asset Value'!$B$4:$B$500,$B156)/1000)</f>
        <v>133583</v>
      </c>
      <c r="F156" s="9" t="n">
        <f aca="false">SUMIFS(Rent!$E$3:$E$500,Rent!$D$3:$D$500,$A156,Rent!$C$3:$C$500,$B156)/1000</f>
        <v>3466</v>
      </c>
      <c r="G156" s="9" t="n">
        <f aca="false">SUMIFS(Costs!$D$3:$D$500,Costs!$C$3:$C$500,$A156,Costs!$B$3:$B$500,"&gt;="&amp;DATE($B156,1,1),Costs!$B$3:$B$500,"&lt;="&amp;DATE($B156,12,31))/1000</f>
        <v>0</v>
      </c>
      <c r="H156" s="9" t="n">
        <f aca="false">SUMIFS('Partial Sales'!$D$3:$D$500,'Partial Sales'!$C$3:$C$500,$A156,'Partial Sales'!$B$3:$B$500,"&gt;="&amp;DATE($B156,1,1),'Partial Sales'!$B$3:$B$500,"&lt;="&amp;DATE($B156,12,31))/1000</f>
        <v>0</v>
      </c>
      <c r="I156" s="9" t="n">
        <f aca="false">SUMIFS('Partial Purchases'!$D$3:$D$500,'Partial Purchases'!$C$3:$C$500,$A156,'Partial Purchases'!$B$3:$B$500,"&gt;="&amp;DATE($B156,1,1),'Partial Purchases'!$B$3:$B$500,"&lt;="&amp;DATE($B156,12,31))/1000</f>
        <v>0</v>
      </c>
      <c r="J156" s="9" t="n">
        <f aca="false">C156*(D156+0.5*(G156-H156+I156-F156))</f>
        <v>115287</v>
      </c>
      <c r="K156" s="9" t="n">
        <f aca="false">C156*(E156-D156+H156-G156-I156)</f>
        <v>16563</v>
      </c>
      <c r="L156" s="13" t="n">
        <f aca="false">IF(J156=0,"",C156*F156/J156)</f>
        <v>0.0300641008960247</v>
      </c>
      <c r="M156" s="13" t="n">
        <f aca="false">IF(J156=0,"",K156/J156)</f>
        <v>0.143667542741159</v>
      </c>
      <c r="N156" s="13" t="n">
        <f aca="false">IF(J156=0,"",L156+M156)</f>
        <v>0.173731643637184</v>
      </c>
    </row>
    <row r="157" customFormat="false" ht="15" hidden="false" customHeight="false" outlineLevel="0" collapsed="false">
      <c r="A157" s="8" t="s">
        <v>23</v>
      </c>
      <c r="B157" s="46" t="n">
        <v>2013</v>
      </c>
      <c r="C157" s="10" t="n">
        <f aca="false">IF(D157&gt;0,1,0)</f>
        <v>1</v>
      </c>
      <c r="D157" s="9" t="n">
        <f aca="false">IF(SUMIFS(Sales!$D$3:$D$500,Sales!$C$3:$C$500,$A157,Sales!$B$3:$B$500,"&lt;="&amp;DATE($B157-1,12,31))&gt;0,0,SUMIFS('Asset Value'!$F$4:$F$500,'Asset Value'!$C$4:$C$500,$A157,'Asset Value'!$B$4:$B$500,$B157-1)/1000)</f>
        <v>133583</v>
      </c>
      <c r="E157" s="9" t="n">
        <f aca="false">IF(SUMIFS(Sales!$D$3:$D$500,Sales!$C$3:$C$500,$A157,Sales!$B$3:$B$500,"&gt;="&amp;DATE($B157,1,1),Sales!$B$3:$B$500,"&lt;="&amp;DATE($B157,12,31))&gt;0,SUMIFS(Sales!$D$3:$D$500,Sales!$C$3:$C$500,$A157,Sales!$B$3:$B$500,"&gt;="&amp;DATE($B157,1,1),Sales!$B$3:$B$500,"&lt;="&amp;DATE($B157,12,31))/1000,SUMIFS('Asset Value'!$F$4:$F$500,'Asset Value'!$C$4:$C$500,$A157,'Asset Value'!$B$4:$B$500,$B157)/1000)</f>
        <v>176404</v>
      </c>
      <c r="F157" s="9" t="n">
        <f aca="false">SUMIFS(Rent!$E$3:$E$500,Rent!$D$3:$D$500,$A157,Rent!$C$3:$C$500,$B157)/1000</f>
        <v>2818</v>
      </c>
      <c r="G157" s="9" t="n">
        <f aca="false">SUMIFS(Costs!$D$3:$D$500,Costs!$C$3:$C$500,$A157,Costs!$B$3:$B$500,"&gt;="&amp;DATE($B157,1,1),Costs!$B$3:$B$500,"&lt;="&amp;DATE($B157,12,31))/1000</f>
        <v>0</v>
      </c>
      <c r="H157" s="9" t="n">
        <f aca="false">SUMIFS('Partial Sales'!$D$3:$D$500,'Partial Sales'!$C$3:$C$500,$A157,'Partial Sales'!$B$3:$B$500,"&gt;="&amp;DATE($B157,1,1),'Partial Sales'!$B$3:$B$500,"&lt;="&amp;DATE($B157,12,31))/1000</f>
        <v>0</v>
      </c>
      <c r="I157" s="9" t="n">
        <f aca="false">SUMIFS('Partial Purchases'!$D$3:$D$500,'Partial Purchases'!$C$3:$C$500,$A157,'Partial Purchases'!$B$3:$B$500,"&gt;="&amp;DATE($B157,1,1),'Partial Purchases'!$B$3:$B$500,"&lt;="&amp;DATE($B157,12,31))/1000</f>
        <v>0</v>
      </c>
      <c r="J157" s="9" t="n">
        <f aca="false">C157*(D157+0.5*(G157-H157+I157-F157))</f>
        <v>132174</v>
      </c>
      <c r="K157" s="9" t="n">
        <f aca="false">C157*(E157-D157+H157-G157-I157)</f>
        <v>42821</v>
      </c>
      <c r="L157" s="13" t="n">
        <f aca="false">IF(J157=0,"",C157*F157/J157)</f>
        <v>0.0213203807102759</v>
      </c>
      <c r="M157" s="13" t="n">
        <f aca="false">IF(J157=0,"",K157/J157)</f>
        <v>0.323974457911541</v>
      </c>
      <c r="N157" s="13" t="n">
        <f aca="false">IF(J157=0,"",L157+M157)</f>
        <v>0.345294838621817</v>
      </c>
    </row>
    <row r="158" customFormat="false" ht="15" hidden="false" customHeight="false" outlineLevel="0" collapsed="false">
      <c r="A158" s="8" t="s">
        <v>23</v>
      </c>
      <c r="B158" s="46" t="n">
        <v>2014</v>
      </c>
      <c r="C158" s="10" t="n">
        <f aca="false">IF(D158&gt;0,1,0)</f>
        <v>1</v>
      </c>
      <c r="D158" s="9" t="n">
        <f aca="false">IF(SUMIFS(Sales!$D$3:$D$500,Sales!$C$3:$C$500,$A158,Sales!$B$3:$B$500,"&lt;="&amp;DATE($B158-1,12,31))&gt;0,0,SUMIFS('Asset Value'!$F$4:$F$500,'Asset Value'!$C$4:$C$500,$A158,'Asset Value'!$B$4:$B$500,$B158-1)/1000)</f>
        <v>176404</v>
      </c>
      <c r="E158" s="9" t="n">
        <f aca="false">IF(SUMIFS(Sales!$D$3:$D$500,Sales!$C$3:$C$500,$A158,Sales!$B$3:$B$500,"&gt;="&amp;DATE($B158,1,1),Sales!$B$3:$B$500,"&lt;="&amp;DATE($B158,12,31))&gt;0,SUMIFS(Sales!$D$3:$D$500,Sales!$C$3:$C$500,$A158,Sales!$B$3:$B$500,"&gt;="&amp;DATE($B158,1,1),Sales!$B$3:$B$500,"&lt;="&amp;DATE($B158,12,31))/1000,SUMIFS('Asset Value'!$F$4:$F$500,'Asset Value'!$C$4:$C$500,$A158,'Asset Value'!$B$4:$B$500,$B158)/1000)</f>
        <v>198210</v>
      </c>
      <c r="F158" s="9" t="n">
        <f aca="false">SUMIFS(Rent!$E$3:$E$500,Rent!$D$3:$D$500,$A158,Rent!$C$3:$C$500,$B158)/1000</f>
        <v>3235</v>
      </c>
      <c r="G158" s="9" t="n">
        <f aca="false">SUMIFS(Costs!$D$3:$D$500,Costs!$C$3:$C$500,$A158,Costs!$B$3:$B$500,"&gt;="&amp;DATE($B158,1,1),Costs!$B$3:$B$500,"&lt;="&amp;DATE($B158,12,31))/1000</f>
        <v>0</v>
      </c>
      <c r="H158" s="9" t="n">
        <f aca="false">SUMIFS('Partial Sales'!$D$3:$D$500,'Partial Sales'!$C$3:$C$500,$A158,'Partial Sales'!$B$3:$B$500,"&gt;="&amp;DATE($B158,1,1),'Partial Sales'!$B$3:$B$500,"&lt;="&amp;DATE($B158,12,31))/1000</f>
        <v>0</v>
      </c>
      <c r="I158" s="9" t="n">
        <f aca="false">SUMIFS('Partial Purchases'!$D$3:$D$500,'Partial Purchases'!$C$3:$C$500,$A158,'Partial Purchases'!$B$3:$B$500,"&gt;="&amp;DATE($B158,1,1),'Partial Purchases'!$B$3:$B$500,"&lt;="&amp;DATE($B158,12,31))/1000</f>
        <v>0</v>
      </c>
      <c r="J158" s="9" t="n">
        <f aca="false">C158*(D158+0.5*(G158-H158+I158-F158))</f>
        <v>174786.5</v>
      </c>
      <c r="K158" s="9" t="n">
        <f aca="false">C158*(E158-D158+H158-G158-I158)</f>
        <v>21806</v>
      </c>
      <c r="L158" s="13" t="n">
        <f aca="false">IF(J158=0,"",C158*F158/J158)</f>
        <v>0.0185082944048883</v>
      </c>
      <c r="M158" s="13" t="n">
        <f aca="false">IF(J158=0,"",K158/J158)</f>
        <v>0.124757918946829</v>
      </c>
      <c r="N158" s="13" t="n">
        <f aca="false">IF(J158=0,"",L158+M158)</f>
        <v>0.143266213351718</v>
      </c>
    </row>
    <row r="159" customFormat="false" ht="15" hidden="false" customHeight="false" outlineLevel="0" collapsed="false">
      <c r="A159" s="47" t="s">
        <v>23</v>
      </c>
      <c r="B159" s="48" t="n">
        <v>2015</v>
      </c>
      <c r="C159" s="49" t="n">
        <f aca="false">IF(D159&gt;0,1,0)</f>
        <v>1</v>
      </c>
      <c r="D159" s="50" t="n">
        <f aca="false">IF(SUMIFS(Sales!$D$3:$D$500,Sales!$C$3:$C$500,$A159,Sales!$B$3:$B$500,"&lt;="&amp;DATE($B159-1,12,31))&gt;0,0,SUMIFS('Asset Value'!$F$4:$F$500,'Asset Value'!$C$4:$C$500,$A159,'Asset Value'!$B$4:$B$500,$B159-1)/1000)</f>
        <v>198210</v>
      </c>
      <c r="E159" s="50" t="n">
        <f aca="false">IF(SUMIFS(Sales!$D$3:$D$500,Sales!$C$3:$C$500,$A159,Sales!$B$3:$B$500,"&gt;="&amp;DATE($B159,1,1),Sales!$B$3:$B$500,"&lt;="&amp;DATE($B159,12,31))&gt;0,SUMIFS(Sales!$D$3:$D$500,Sales!$C$3:$C$500,$A159,Sales!$B$3:$B$500,"&gt;="&amp;DATE($B159,1,1),Sales!$B$3:$B$500,"&lt;="&amp;DATE($B159,12,31))/1000,SUMIFS('Asset Value'!$F$4:$F$500,'Asset Value'!$C$4:$C$500,$A159,'Asset Value'!$B$4:$B$500,$B159)/1000)</f>
        <v>222860</v>
      </c>
      <c r="F159" s="50" t="n">
        <f aca="false">SUMIFS(Rent!$E$3:$E$500,Rent!$D$3:$D$500,$A159,Rent!$C$3:$C$500,$B159)/1000</f>
        <v>3602</v>
      </c>
      <c r="G159" s="50" t="n">
        <f aca="false">SUMIFS(Costs!$D$3:$D$500,Costs!$C$3:$C$500,$A159,Costs!$B$3:$B$500,"&gt;="&amp;DATE($B159,1,1),Costs!$B$3:$B$500,"&lt;="&amp;DATE($B159,12,31))/1000</f>
        <v>0</v>
      </c>
      <c r="H159" s="50" t="n">
        <f aca="false">SUMIFS('Partial Sales'!$D$3:$D$500,'Partial Sales'!$C$3:$C$500,$A159,'Partial Sales'!$B$3:$B$500,"&gt;="&amp;DATE($B159,1,1),'Partial Sales'!$B$3:$B$500,"&lt;="&amp;DATE($B159,12,31))/1000</f>
        <v>0</v>
      </c>
      <c r="I159" s="50" t="n">
        <f aca="false">SUMIFS('Partial Purchases'!$D$3:$D$500,'Partial Purchases'!$C$3:$C$500,$A159,'Partial Purchases'!$B$3:$B$500,"&gt;="&amp;DATE($B159,1,1),'Partial Purchases'!$B$3:$B$500,"&lt;="&amp;DATE($B159,12,31))/1000</f>
        <v>0</v>
      </c>
      <c r="J159" s="50" t="n">
        <f aca="false">C159*(D159+0.5*(G159-H159+I159-F159))</f>
        <v>196409</v>
      </c>
      <c r="K159" s="50" t="n">
        <f aca="false">C159*(E159-D159+H159-G159-I159)</f>
        <v>24650</v>
      </c>
      <c r="L159" s="44" t="n">
        <f aca="false">IF(J159=0,"",C159*F159/J159)</f>
        <v>0.0183392818048053</v>
      </c>
      <c r="M159" s="44" t="n">
        <f aca="false">IF(J159=0,"",K159/J159)</f>
        <v>0.125503413794684</v>
      </c>
      <c r="N159" s="44" t="n">
        <f aca="false">IF(J159=0,"",L159+M159)</f>
        <v>0.143842695599489</v>
      </c>
    </row>
    <row r="160" customFormat="false" ht="15" hidden="false" customHeight="false" outlineLevel="0" collapsed="false">
      <c r="A160" s="8" t="s">
        <v>24</v>
      </c>
      <c r="B160" s="46" t="n">
        <v>2008</v>
      </c>
      <c r="C160" s="10" t="n">
        <f aca="false">IF(D160&gt;0,1,0)</f>
        <v>0</v>
      </c>
      <c r="D160" s="9" t="n">
        <f aca="false">IF(SUMIFS(Sales!$D$3:$D$500,Sales!$C$3:$C$500,$A160,Sales!$B$3:$B$500,"&lt;="&amp;DATE($B160-1,12,31))&gt;0,0,SUMIFS('Asset Value'!$F$4:$F$500,'Asset Value'!$C$4:$C$500,$A160,'Asset Value'!$B$4:$B$500,$B160-1)/1000)</f>
        <v>0</v>
      </c>
      <c r="E160" s="9" t="n">
        <f aca="false">IF(SUMIFS(Sales!$D$3:$D$500,Sales!$C$3:$C$500,$A160,Sales!$B$3:$B$500,"&gt;="&amp;DATE($B160,1,1),Sales!$B$3:$B$500,"&lt;="&amp;DATE($B160,12,31))&gt;0,SUMIFS(Sales!$D$3:$D$500,Sales!$C$3:$C$500,$A160,Sales!$B$3:$B$500,"&gt;="&amp;DATE($B160,1,1),Sales!$B$3:$B$500,"&lt;="&amp;DATE($B160,12,31))/1000,SUMIFS('Asset Value'!$F$4:$F$500,'Asset Value'!$C$4:$C$500,$A160,'Asset Value'!$B$4:$B$500,$B160)/1000)</f>
        <v>0</v>
      </c>
      <c r="F160" s="9" t="n">
        <f aca="false">SUMIFS(Rent!$E$3:$E$500,Rent!$D$3:$D$500,$A160,Rent!$C$3:$C$500,$B160)/1000</f>
        <v>565.677</v>
      </c>
      <c r="G160" s="9" t="n">
        <f aca="false">SUMIFS(Costs!$D$3:$D$500,Costs!$C$3:$C$500,$A160,Costs!$B$3:$B$500,"&gt;="&amp;DATE($B160,1,1),Costs!$B$3:$B$500,"&lt;="&amp;DATE($B160,12,31))/1000</f>
        <v>0</v>
      </c>
      <c r="H160" s="9" t="n">
        <f aca="false">SUMIFS('Partial Sales'!$D$3:$D$500,'Partial Sales'!$C$3:$C$500,$A160,'Partial Sales'!$B$3:$B$500,"&gt;="&amp;DATE($B160,1,1),'Partial Sales'!$B$3:$B$500,"&lt;="&amp;DATE($B160,12,31))/1000</f>
        <v>0</v>
      </c>
      <c r="I160" s="9" t="n">
        <f aca="false">SUMIFS('Partial Purchases'!$D$3:$D$500,'Partial Purchases'!$C$3:$C$500,$A160,'Partial Purchases'!$B$3:$B$500,"&gt;="&amp;DATE($B160,1,1),'Partial Purchases'!$B$3:$B$500,"&lt;="&amp;DATE($B160,12,31))/1000</f>
        <v>0</v>
      </c>
      <c r="J160" s="9" t="n">
        <f aca="false">C160*(D160+0.5*(G160-H160+I160-F160))</f>
        <v>-0</v>
      </c>
      <c r="K160" s="9" t="n">
        <f aca="false">C160*(E160-D160+H160-G160-I160)</f>
        <v>0</v>
      </c>
      <c r="L160" s="13" t="str">
        <f aca="false">IF(J160=0,"",C160*F160/J160)</f>
        <v/>
      </c>
      <c r="M160" s="13" t="str">
        <f aca="false">IF(J160=0,"",K160/J160)</f>
        <v/>
      </c>
      <c r="N160" s="13" t="str">
        <f aca="false">IF(J160=0,"",L160+M160)</f>
        <v/>
      </c>
    </row>
    <row r="161" customFormat="false" ht="15" hidden="false" customHeight="false" outlineLevel="0" collapsed="false">
      <c r="A161" s="8" t="s">
        <v>24</v>
      </c>
      <c r="B161" s="46" t="n">
        <v>2009</v>
      </c>
      <c r="C161" s="10" t="n">
        <f aca="false">IF(D161&gt;0,1,0)</f>
        <v>0</v>
      </c>
      <c r="D161" s="9" t="n">
        <f aca="false">IF(SUMIFS(Sales!$D$3:$D$500,Sales!$C$3:$C$500,$A161,Sales!$B$3:$B$500,"&lt;="&amp;DATE($B161-1,12,31))&gt;0,0,SUMIFS('Asset Value'!$F$4:$F$500,'Asset Value'!$C$4:$C$500,$A161,'Asset Value'!$B$4:$B$500,$B161-1)/1000)</f>
        <v>0</v>
      </c>
      <c r="E161" s="9" t="n">
        <f aca="false">IF(SUMIFS(Sales!$D$3:$D$500,Sales!$C$3:$C$500,$A161,Sales!$B$3:$B$500,"&gt;="&amp;DATE($B161,1,1),Sales!$B$3:$B$500,"&lt;="&amp;DATE($B161,12,31))&gt;0,SUMIFS(Sales!$D$3:$D$500,Sales!$C$3:$C$500,$A161,Sales!$B$3:$B$500,"&gt;="&amp;DATE($B161,1,1),Sales!$B$3:$B$500,"&lt;="&amp;DATE($B161,12,31))/1000,SUMIFS('Asset Value'!$F$4:$F$500,'Asset Value'!$C$4:$C$500,$A161,'Asset Value'!$B$4:$B$500,$B161)/1000)</f>
        <v>22780</v>
      </c>
      <c r="F161" s="9" t="n">
        <f aca="false">SUMIFS(Rent!$E$3:$E$500,Rent!$D$3:$D$500,$A161,Rent!$C$3:$C$500,$B161)/1000</f>
        <v>1155.04272</v>
      </c>
      <c r="G161" s="9" t="n">
        <f aca="false">SUMIFS(Costs!$D$3:$D$500,Costs!$C$3:$C$500,$A161,Costs!$B$3:$B$500,"&gt;="&amp;DATE($B161,1,1),Costs!$B$3:$B$500,"&lt;="&amp;DATE($B161,12,31))/1000</f>
        <v>0</v>
      </c>
      <c r="H161" s="9" t="n">
        <f aca="false">SUMIFS('Partial Sales'!$D$3:$D$500,'Partial Sales'!$C$3:$C$500,$A161,'Partial Sales'!$B$3:$B$500,"&gt;="&amp;DATE($B161,1,1),'Partial Sales'!$B$3:$B$500,"&lt;="&amp;DATE($B161,12,31))/1000</f>
        <v>0</v>
      </c>
      <c r="I161" s="9" t="n">
        <f aca="false">SUMIFS('Partial Purchases'!$D$3:$D$500,'Partial Purchases'!$C$3:$C$500,$A161,'Partial Purchases'!$B$3:$B$500,"&gt;="&amp;DATE($B161,1,1),'Partial Purchases'!$B$3:$B$500,"&lt;="&amp;DATE($B161,12,31))/1000</f>
        <v>0</v>
      </c>
      <c r="J161" s="9" t="n">
        <f aca="false">C161*(D161+0.5*(G161-H161+I161-F161))</f>
        <v>-0</v>
      </c>
      <c r="K161" s="9" t="n">
        <f aca="false">C161*(E161-D161+H161-G161-I161)</f>
        <v>0</v>
      </c>
      <c r="L161" s="13" t="str">
        <f aca="false">IF(J161=0,"",C161*F161/J161)</f>
        <v/>
      </c>
      <c r="M161" s="13" t="str">
        <f aca="false">IF(J161=0,"",K161/J161)</f>
        <v/>
      </c>
      <c r="N161" s="13" t="str">
        <f aca="false">IF(J161=0,"",L161+M161)</f>
        <v/>
      </c>
    </row>
    <row r="162" customFormat="false" ht="15" hidden="false" customHeight="false" outlineLevel="0" collapsed="false">
      <c r="A162" s="8" t="s">
        <v>24</v>
      </c>
      <c r="B162" s="46" t="n">
        <v>2010</v>
      </c>
      <c r="C162" s="10" t="n">
        <f aca="false">IF(D162&gt;0,1,0)</f>
        <v>1</v>
      </c>
      <c r="D162" s="9" t="n">
        <f aca="false">IF(SUMIFS(Sales!$D$3:$D$500,Sales!$C$3:$C$500,$A162,Sales!$B$3:$B$500,"&lt;="&amp;DATE($B162-1,12,31))&gt;0,0,SUMIFS('Asset Value'!$F$4:$F$500,'Asset Value'!$C$4:$C$500,$A162,'Asset Value'!$B$4:$B$500,$B162-1)/1000)</f>
        <v>22780</v>
      </c>
      <c r="E162" s="9" t="n">
        <f aca="false">IF(SUMIFS(Sales!$D$3:$D$500,Sales!$C$3:$C$500,$A162,Sales!$B$3:$B$500,"&gt;="&amp;DATE($B162,1,1),Sales!$B$3:$B$500,"&lt;="&amp;DATE($B162,12,31))&gt;0,SUMIFS(Sales!$D$3:$D$500,Sales!$C$3:$C$500,$A162,Sales!$B$3:$B$500,"&gt;="&amp;DATE($B162,1,1),Sales!$B$3:$B$500,"&lt;="&amp;DATE($B162,12,31))/1000,SUMIFS('Asset Value'!$F$4:$F$500,'Asset Value'!$C$4:$C$500,$A162,'Asset Value'!$B$4:$B$500,$B162)/1000)</f>
        <v>46320</v>
      </c>
      <c r="F162" s="9" t="n">
        <f aca="false">SUMIFS(Rent!$E$3:$E$500,Rent!$D$3:$D$500,$A162,Rent!$C$3:$C$500,$B162)/1000</f>
        <v>2568.87</v>
      </c>
      <c r="G162" s="9" t="n">
        <f aca="false">SUMIFS(Costs!$D$3:$D$500,Costs!$C$3:$C$500,$A162,Costs!$B$3:$B$500,"&gt;="&amp;DATE($B162,1,1),Costs!$B$3:$B$500,"&lt;="&amp;DATE($B162,12,31))/1000</f>
        <v>0</v>
      </c>
      <c r="H162" s="9" t="n">
        <f aca="false">SUMIFS('Partial Sales'!$D$3:$D$500,'Partial Sales'!$C$3:$C$500,$A162,'Partial Sales'!$B$3:$B$500,"&gt;="&amp;DATE($B162,1,1),'Partial Sales'!$B$3:$B$500,"&lt;="&amp;DATE($B162,12,31))/1000</f>
        <v>0</v>
      </c>
      <c r="I162" s="9" t="n">
        <f aca="false">SUMIFS('Partial Purchases'!$D$3:$D$500,'Partial Purchases'!$C$3:$C$500,$A162,'Partial Purchases'!$B$3:$B$500,"&gt;="&amp;DATE($B162,1,1),'Partial Purchases'!$B$3:$B$500,"&lt;="&amp;DATE($B162,12,31))/1000</f>
        <v>0</v>
      </c>
      <c r="J162" s="9" t="n">
        <f aca="false">C162*(D162+0.5*(G162-H162+I162-F162))</f>
        <v>21495.565</v>
      </c>
      <c r="K162" s="9" t="n">
        <f aca="false">C162*(E162-D162+H162-G162-I162)</f>
        <v>23540</v>
      </c>
      <c r="L162" s="13" t="n">
        <f aca="false">IF(J162=0,"",C162*F162/J162)</f>
        <v>0.119506977369518</v>
      </c>
      <c r="M162" s="13" t="n">
        <f aca="false">IF(J162=0,"",K162/J162)</f>
        <v>1.09510961912376</v>
      </c>
      <c r="N162" s="13" t="n">
        <f aca="false">IF(J162=0,"",L162+M162)</f>
        <v>1.21461659649328</v>
      </c>
    </row>
    <row r="163" customFormat="false" ht="15" hidden="false" customHeight="false" outlineLevel="0" collapsed="false">
      <c r="A163" s="8" t="s">
        <v>24</v>
      </c>
      <c r="B163" s="46" t="n">
        <v>2011</v>
      </c>
      <c r="C163" s="10" t="n">
        <f aca="false">IF(D163&gt;0,1,0)</f>
        <v>1</v>
      </c>
      <c r="D163" s="9" t="n">
        <f aca="false">IF(SUMIFS(Sales!$D$3:$D$500,Sales!$C$3:$C$500,$A163,Sales!$B$3:$B$500,"&lt;="&amp;DATE($B163-1,12,31))&gt;0,0,SUMIFS('Asset Value'!$F$4:$F$500,'Asset Value'!$C$4:$C$500,$A163,'Asset Value'!$B$4:$B$500,$B163-1)/1000)</f>
        <v>46320</v>
      </c>
      <c r="E163" s="9" t="n">
        <f aca="false">IF(SUMIFS(Sales!$D$3:$D$500,Sales!$C$3:$C$500,$A163,Sales!$B$3:$B$500,"&gt;="&amp;DATE($B163,1,1),Sales!$B$3:$B$500,"&lt;="&amp;DATE($B163,12,31))&gt;0,SUMIFS(Sales!$D$3:$D$500,Sales!$C$3:$C$500,$A163,Sales!$B$3:$B$500,"&gt;="&amp;DATE($B163,1,1),Sales!$B$3:$B$500,"&lt;="&amp;DATE($B163,12,31))/1000,SUMIFS('Asset Value'!$F$4:$F$500,'Asset Value'!$C$4:$C$500,$A163,'Asset Value'!$B$4:$B$500,$B163)/1000)</f>
        <v>83990</v>
      </c>
      <c r="F163" s="9" t="n">
        <f aca="false">SUMIFS(Rent!$E$3:$E$500,Rent!$D$3:$D$500,$A163,Rent!$C$3:$C$500,$B163)/1000</f>
        <v>4695.29248</v>
      </c>
      <c r="G163" s="9" t="n">
        <f aca="false">SUMIFS(Costs!$D$3:$D$500,Costs!$C$3:$C$500,$A163,Costs!$B$3:$B$500,"&gt;="&amp;DATE($B163,1,1),Costs!$B$3:$B$500,"&lt;="&amp;DATE($B163,12,31))/1000</f>
        <v>0</v>
      </c>
      <c r="H163" s="9" t="n">
        <f aca="false">SUMIFS('Partial Sales'!$D$3:$D$500,'Partial Sales'!$C$3:$C$500,$A163,'Partial Sales'!$B$3:$B$500,"&gt;="&amp;DATE($B163,1,1),'Partial Sales'!$B$3:$B$500,"&lt;="&amp;DATE($B163,12,31))/1000</f>
        <v>0</v>
      </c>
      <c r="I163" s="9" t="n">
        <f aca="false">SUMIFS('Partial Purchases'!$D$3:$D$500,'Partial Purchases'!$C$3:$C$500,$A163,'Partial Purchases'!$B$3:$B$500,"&gt;="&amp;DATE($B163,1,1),'Partial Purchases'!$B$3:$B$500,"&lt;="&amp;DATE($B163,12,31))/1000</f>
        <v>0</v>
      </c>
      <c r="J163" s="9" t="n">
        <f aca="false">C163*(D163+0.5*(G163-H163+I163-F163))</f>
        <v>43972.35376</v>
      </c>
      <c r="K163" s="9" t="n">
        <f aca="false">C163*(E163-D163+H163-G163-I163)</f>
        <v>37670</v>
      </c>
      <c r="L163" s="13" t="n">
        <f aca="false">IF(J163=0,"",C163*F163/J163)</f>
        <v>0.10677828404699</v>
      </c>
      <c r="M163" s="13" t="n">
        <f aca="false">IF(J163=0,"",K163/J163)</f>
        <v>0.856674632556672</v>
      </c>
      <c r="N163" s="13" t="n">
        <f aca="false">IF(J163=0,"",L163+M163)</f>
        <v>0.963452916603662</v>
      </c>
    </row>
    <row r="164" customFormat="false" ht="15" hidden="false" customHeight="false" outlineLevel="0" collapsed="false">
      <c r="A164" s="8" t="s">
        <v>24</v>
      </c>
      <c r="B164" s="46" t="n">
        <v>2012</v>
      </c>
      <c r="C164" s="10" t="n">
        <f aca="false">IF(D164&gt;0,1,0)</f>
        <v>1</v>
      </c>
      <c r="D164" s="9" t="n">
        <f aca="false">IF(SUMIFS(Sales!$D$3:$D$500,Sales!$C$3:$C$500,$A164,Sales!$B$3:$B$500,"&lt;="&amp;DATE($B164-1,12,31))&gt;0,0,SUMIFS('Asset Value'!$F$4:$F$500,'Asset Value'!$C$4:$C$500,$A164,'Asset Value'!$B$4:$B$500,$B164-1)/1000)</f>
        <v>83990</v>
      </c>
      <c r="E164" s="9" t="n">
        <f aca="false">IF(SUMIFS(Sales!$D$3:$D$500,Sales!$C$3:$C$500,$A164,Sales!$B$3:$B$500,"&gt;="&amp;DATE($B164,1,1),Sales!$B$3:$B$500,"&lt;="&amp;DATE($B164,12,31))&gt;0,SUMIFS(Sales!$D$3:$D$500,Sales!$C$3:$C$500,$A164,Sales!$B$3:$B$500,"&gt;="&amp;DATE($B164,1,1),Sales!$B$3:$B$500,"&lt;="&amp;DATE($B164,12,31))/1000,SUMIFS('Asset Value'!$F$4:$F$500,'Asset Value'!$C$4:$C$500,$A164,'Asset Value'!$B$4:$B$500,$B164)/1000)</f>
        <v>102260</v>
      </c>
      <c r="F164" s="9" t="n">
        <f aca="false">SUMIFS(Rent!$E$3:$E$500,Rent!$D$3:$D$500,$A164,Rent!$C$3:$C$500,$B164)/1000</f>
        <v>7902</v>
      </c>
      <c r="G164" s="9" t="n">
        <f aca="false">SUMIFS(Costs!$D$3:$D$500,Costs!$C$3:$C$500,$A164,Costs!$B$3:$B$500,"&gt;="&amp;DATE($B164,1,1),Costs!$B$3:$B$500,"&lt;="&amp;DATE($B164,12,31))/1000</f>
        <v>0</v>
      </c>
      <c r="H164" s="9" t="n">
        <f aca="false">SUMIFS('Partial Sales'!$D$3:$D$500,'Partial Sales'!$C$3:$C$500,$A164,'Partial Sales'!$B$3:$B$500,"&gt;="&amp;DATE($B164,1,1),'Partial Sales'!$B$3:$B$500,"&lt;="&amp;DATE($B164,12,31))/1000</f>
        <v>0</v>
      </c>
      <c r="I164" s="9" t="n">
        <f aca="false">SUMIFS('Partial Purchases'!$D$3:$D$500,'Partial Purchases'!$C$3:$C$500,$A164,'Partial Purchases'!$B$3:$B$500,"&gt;="&amp;DATE($B164,1,1),'Partial Purchases'!$B$3:$B$500,"&lt;="&amp;DATE($B164,12,31))/1000</f>
        <v>0</v>
      </c>
      <c r="J164" s="9" t="n">
        <f aca="false">C164*(D164+0.5*(G164-H164+I164-F164))</f>
        <v>80039</v>
      </c>
      <c r="K164" s="9" t="n">
        <f aca="false">C164*(E164-D164+H164-G164-I164)</f>
        <v>18270</v>
      </c>
      <c r="L164" s="13" t="n">
        <f aca="false">IF(J164=0,"",C164*F164/J164)</f>
        <v>0.0987268706505579</v>
      </c>
      <c r="M164" s="13" t="n">
        <f aca="false">IF(J164=0,"",K164/J164)</f>
        <v>0.2282637214358</v>
      </c>
      <c r="N164" s="13" t="n">
        <f aca="false">IF(J164=0,"",L164+M164)</f>
        <v>0.326990592086358</v>
      </c>
    </row>
    <row r="165" customFormat="false" ht="15" hidden="false" customHeight="false" outlineLevel="0" collapsed="false">
      <c r="A165" s="8" t="s">
        <v>24</v>
      </c>
      <c r="B165" s="46" t="n">
        <v>2013</v>
      </c>
      <c r="C165" s="10" t="n">
        <f aca="false">IF(D165&gt;0,1,0)</f>
        <v>1</v>
      </c>
      <c r="D165" s="9" t="n">
        <f aca="false">IF(SUMIFS(Sales!$D$3:$D$500,Sales!$C$3:$C$500,$A165,Sales!$B$3:$B$500,"&lt;="&amp;DATE($B165-1,12,31))&gt;0,0,SUMIFS('Asset Value'!$F$4:$F$500,'Asset Value'!$C$4:$C$500,$A165,'Asset Value'!$B$4:$B$500,$B165-1)/1000)</f>
        <v>102260</v>
      </c>
      <c r="E165" s="9" t="n">
        <f aca="false">IF(SUMIFS(Sales!$D$3:$D$500,Sales!$C$3:$C$500,$A165,Sales!$B$3:$B$500,"&gt;="&amp;DATE($B165,1,1),Sales!$B$3:$B$500,"&lt;="&amp;DATE($B165,12,31))&gt;0,SUMIFS(Sales!$D$3:$D$500,Sales!$C$3:$C$500,$A165,Sales!$B$3:$B$500,"&gt;="&amp;DATE($B165,1,1),Sales!$B$3:$B$500,"&lt;="&amp;DATE($B165,12,31))/1000,SUMIFS('Asset Value'!$F$4:$F$500,'Asset Value'!$C$4:$C$500,$A165,'Asset Value'!$B$4:$B$500,$B165)/1000)</f>
        <v>173185</v>
      </c>
      <c r="F165" s="9" t="n">
        <f aca="false">SUMIFS(Rent!$E$3:$E$500,Rent!$D$3:$D$500,$A165,Rent!$C$3:$C$500,$B165)/1000</f>
        <v>7315</v>
      </c>
      <c r="G165" s="9" t="n">
        <f aca="false">SUMIFS(Costs!$D$3:$D$500,Costs!$C$3:$C$500,$A165,Costs!$B$3:$B$500,"&gt;="&amp;DATE($B165,1,1),Costs!$B$3:$B$500,"&lt;="&amp;DATE($B165,12,31))/1000</f>
        <v>0</v>
      </c>
      <c r="H165" s="9" t="n">
        <f aca="false">SUMIFS('Partial Sales'!$D$3:$D$500,'Partial Sales'!$C$3:$C$500,$A165,'Partial Sales'!$B$3:$B$500,"&gt;="&amp;DATE($B165,1,1),'Partial Sales'!$B$3:$B$500,"&lt;="&amp;DATE($B165,12,31))/1000</f>
        <v>0</v>
      </c>
      <c r="I165" s="9" t="n">
        <f aca="false">SUMIFS('Partial Purchases'!$D$3:$D$500,'Partial Purchases'!$C$3:$C$500,$A165,'Partial Purchases'!$B$3:$B$500,"&gt;="&amp;DATE($B165,1,1),'Partial Purchases'!$B$3:$B$500,"&lt;="&amp;DATE($B165,12,31))/1000</f>
        <v>0</v>
      </c>
      <c r="J165" s="9" t="n">
        <f aca="false">C165*(D165+0.5*(G165-H165+I165-F165))</f>
        <v>98602.5</v>
      </c>
      <c r="K165" s="9" t="n">
        <f aca="false">C165*(E165-D165+H165-G165-I165)</f>
        <v>70925</v>
      </c>
      <c r="L165" s="13" t="n">
        <f aca="false">IF(J165=0,"",C165*F165/J165)</f>
        <v>0.074186759970589</v>
      </c>
      <c r="M165" s="13" t="n">
        <f aca="false">IF(J165=0,"",K165/J165)</f>
        <v>0.71930224892878</v>
      </c>
      <c r="N165" s="13" t="n">
        <f aca="false">IF(J165=0,"",L165+M165)</f>
        <v>0.793489008899369</v>
      </c>
    </row>
    <row r="166" customFormat="false" ht="15" hidden="false" customHeight="false" outlineLevel="0" collapsed="false">
      <c r="A166" s="8" t="s">
        <v>24</v>
      </c>
      <c r="B166" s="46" t="n">
        <v>2014</v>
      </c>
      <c r="C166" s="10" t="n">
        <f aca="false">IF(D166&gt;0,1,0)</f>
        <v>1</v>
      </c>
      <c r="D166" s="9" t="n">
        <f aca="false">IF(SUMIFS(Sales!$D$3:$D$500,Sales!$C$3:$C$500,$A166,Sales!$B$3:$B$500,"&lt;="&amp;DATE($B166-1,12,31))&gt;0,0,SUMIFS('Asset Value'!$F$4:$F$500,'Asset Value'!$C$4:$C$500,$A166,'Asset Value'!$B$4:$B$500,$B166-1)/1000)</f>
        <v>173185</v>
      </c>
      <c r="E166" s="9" t="n">
        <f aca="false">IF(SUMIFS(Sales!$D$3:$D$500,Sales!$C$3:$C$500,$A166,Sales!$B$3:$B$500,"&gt;="&amp;DATE($B166,1,1),Sales!$B$3:$B$500,"&lt;="&amp;DATE($B166,12,31))&gt;0,SUMIFS(Sales!$D$3:$D$500,Sales!$C$3:$C$500,$A166,Sales!$B$3:$B$500,"&gt;="&amp;DATE($B166,1,1),Sales!$B$3:$B$500,"&lt;="&amp;DATE($B166,12,31))/1000,SUMIFS('Asset Value'!$F$4:$F$500,'Asset Value'!$C$4:$C$500,$A166,'Asset Value'!$B$4:$B$500,$B166)/1000)</f>
        <v>183096</v>
      </c>
      <c r="F166" s="9" t="n">
        <f aca="false">SUMIFS(Rent!$E$3:$E$500,Rent!$D$3:$D$500,$A166,Rent!$C$3:$C$500,$B166)/1000</f>
        <v>7608</v>
      </c>
      <c r="G166" s="9" t="n">
        <f aca="false">SUMIFS(Costs!$D$3:$D$500,Costs!$C$3:$C$500,$A166,Costs!$B$3:$B$500,"&gt;="&amp;DATE($B166,1,1),Costs!$B$3:$B$500,"&lt;="&amp;DATE($B166,12,31))/1000</f>
        <v>0</v>
      </c>
      <c r="H166" s="9" t="n">
        <f aca="false">SUMIFS('Partial Sales'!$D$3:$D$500,'Partial Sales'!$C$3:$C$500,$A166,'Partial Sales'!$B$3:$B$500,"&gt;="&amp;DATE($B166,1,1),'Partial Sales'!$B$3:$B$500,"&lt;="&amp;DATE($B166,12,31))/1000</f>
        <v>0</v>
      </c>
      <c r="I166" s="9" t="n">
        <f aca="false">SUMIFS('Partial Purchases'!$D$3:$D$500,'Partial Purchases'!$C$3:$C$500,$A166,'Partial Purchases'!$B$3:$B$500,"&gt;="&amp;DATE($B166,1,1),'Partial Purchases'!$B$3:$B$500,"&lt;="&amp;DATE($B166,12,31))/1000</f>
        <v>0</v>
      </c>
      <c r="J166" s="9" t="n">
        <f aca="false">C166*(D166+0.5*(G166-H166+I166-F166))</f>
        <v>169381</v>
      </c>
      <c r="K166" s="9" t="n">
        <f aca="false">C166*(E166-D166+H166-G166-I166)</f>
        <v>9911</v>
      </c>
      <c r="L166" s="13" t="n">
        <f aca="false">IF(J166=0,"",C166*F166/J166)</f>
        <v>0.0449164900431571</v>
      </c>
      <c r="M166" s="13" t="n">
        <f aca="false">IF(J166=0,"",K166/J166)</f>
        <v>0.058513056364055</v>
      </c>
      <c r="N166" s="13" t="n">
        <f aca="false">IF(J166=0,"",L166+M166)</f>
        <v>0.103429546407212</v>
      </c>
    </row>
    <row r="167" customFormat="false" ht="15" hidden="false" customHeight="false" outlineLevel="0" collapsed="false">
      <c r="A167" s="47" t="s">
        <v>24</v>
      </c>
      <c r="B167" s="48" t="n">
        <v>2015</v>
      </c>
      <c r="C167" s="49" t="n">
        <f aca="false">IF(D167&gt;0,1,0)</f>
        <v>1</v>
      </c>
      <c r="D167" s="50" t="n">
        <f aca="false">IF(SUMIFS(Sales!$D$3:$D$500,Sales!$C$3:$C$500,$A167,Sales!$B$3:$B$500,"&lt;="&amp;DATE($B167-1,12,31))&gt;0,0,SUMIFS('Asset Value'!$F$4:$F$500,'Asset Value'!$C$4:$C$500,$A167,'Asset Value'!$B$4:$B$500,$B167-1)/1000)</f>
        <v>183096</v>
      </c>
      <c r="E167" s="50" t="n">
        <f aca="false">IF(SUMIFS(Sales!$D$3:$D$500,Sales!$C$3:$C$500,$A167,Sales!$B$3:$B$500,"&gt;="&amp;DATE($B167,1,1),Sales!$B$3:$B$500,"&lt;="&amp;DATE($B167,12,31))&gt;0,SUMIFS(Sales!$D$3:$D$500,Sales!$C$3:$C$500,$A167,Sales!$B$3:$B$500,"&gt;="&amp;DATE($B167,1,1),Sales!$B$3:$B$500,"&lt;="&amp;DATE($B167,12,31))/1000,SUMIFS('Asset Value'!$F$4:$F$500,'Asset Value'!$C$4:$C$500,$A167,'Asset Value'!$B$4:$B$500,$B167)/1000)</f>
        <v>187600</v>
      </c>
      <c r="F167" s="50" t="n">
        <f aca="false">SUMIFS(Rent!$E$3:$E$500,Rent!$D$3:$D$500,$A167,Rent!$C$3:$C$500,$B167)/1000</f>
        <v>10130</v>
      </c>
      <c r="G167" s="50" t="n">
        <f aca="false">SUMIFS(Costs!$D$3:$D$500,Costs!$C$3:$C$500,$A167,Costs!$B$3:$B$500,"&gt;="&amp;DATE($B167,1,1),Costs!$B$3:$B$500,"&lt;="&amp;DATE($B167,12,31))/1000</f>
        <v>0</v>
      </c>
      <c r="H167" s="50" t="n">
        <f aca="false">SUMIFS('Partial Sales'!$D$3:$D$500,'Partial Sales'!$C$3:$C$500,$A167,'Partial Sales'!$B$3:$B$500,"&gt;="&amp;DATE($B167,1,1),'Partial Sales'!$B$3:$B$500,"&lt;="&amp;DATE($B167,12,31))/1000</f>
        <v>0</v>
      </c>
      <c r="I167" s="50" t="n">
        <f aca="false">SUMIFS('Partial Purchases'!$D$3:$D$500,'Partial Purchases'!$C$3:$C$500,$A167,'Partial Purchases'!$B$3:$B$500,"&gt;="&amp;DATE($B167,1,1),'Partial Purchases'!$B$3:$B$500,"&lt;="&amp;DATE($B167,12,31))/1000</f>
        <v>0</v>
      </c>
      <c r="J167" s="50" t="n">
        <f aca="false">C167*(D167+0.5*(G167-H167+I167-F167))</f>
        <v>178031</v>
      </c>
      <c r="K167" s="50" t="n">
        <f aca="false">C167*(E167-D167+H167-G167-I167)</f>
        <v>4504</v>
      </c>
      <c r="L167" s="44" t="n">
        <f aca="false">IF(J167=0,"",C167*F167/J167)</f>
        <v>0.0569002027736743</v>
      </c>
      <c r="M167" s="44" t="n">
        <f aca="false">IF(J167=0,"",K167/J167)</f>
        <v>0.0252989647870315</v>
      </c>
      <c r="N167" s="44" t="n">
        <f aca="false">IF(J167=0,"",L167+M167)</f>
        <v>0.0821991675607057</v>
      </c>
    </row>
    <row r="168" customFormat="false" ht="15" hidden="false" customHeight="false" outlineLevel="0" collapsed="false">
      <c r="A168" s="8" t="s">
        <v>25</v>
      </c>
      <c r="B168" s="46" t="n">
        <v>2008</v>
      </c>
      <c r="C168" s="10" t="n">
        <f aca="false">IF(D168&gt;0,1,0)</f>
        <v>0</v>
      </c>
      <c r="D168" s="9" t="n">
        <f aca="false">IF(SUMIFS(Sales!$D$3:$D$500,Sales!$C$3:$C$500,$A168,Sales!$B$3:$B$500,"&lt;="&amp;DATE($B168-1,12,31))&gt;0,0,SUMIFS('Asset Value'!$F$4:$F$500,'Asset Value'!$C$4:$C$500,$A168,'Asset Value'!$B$4:$B$500,$B168-1)/1000)</f>
        <v>0</v>
      </c>
      <c r="E168" s="9" t="n">
        <f aca="false">IF(SUMIFS(Sales!$D$3:$D$500,Sales!$C$3:$C$500,$A168,Sales!$B$3:$B$500,"&gt;="&amp;DATE($B168,1,1),Sales!$B$3:$B$500,"&lt;="&amp;DATE($B168,12,31))&gt;0,SUMIFS(Sales!$D$3:$D$500,Sales!$C$3:$C$500,$A168,Sales!$B$3:$B$500,"&gt;="&amp;DATE($B168,1,1),Sales!$B$3:$B$500,"&lt;="&amp;DATE($B168,12,31))/1000,SUMIFS('Asset Value'!$F$4:$F$500,'Asset Value'!$C$4:$C$500,$A168,'Asset Value'!$B$4:$B$500,$B168)/1000)</f>
        <v>156660</v>
      </c>
      <c r="F168" s="9" t="n">
        <f aca="false">SUMIFS(Rent!$E$3:$E$500,Rent!$D$3:$D$500,$A168,Rent!$C$3:$C$500,$B168)/1000</f>
        <v>0</v>
      </c>
      <c r="G168" s="9" t="n">
        <f aca="false">SUMIFS(Costs!$D$3:$D$500,Costs!$C$3:$C$500,$A168,Costs!$B$3:$B$500,"&gt;="&amp;DATE($B168,1,1),Costs!$B$3:$B$500,"&lt;="&amp;DATE($B168,12,31))/1000</f>
        <v>0</v>
      </c>
      <c r="H168" s="9" t="n">
        <f aca="false">SUMIFS('Partial Sales'!$D$3:$D$500,'Partial Sales'!$C$3:$C$500,$A168,'Partial Sales'!$B$3:$B$500,"&gt;="&amp;DATE($B168,1,1),'Partial Sales'!$B$3:$B$500,"&lt;="&amp;DATE($B168,12,31))/1000</f>
        <v>0</v>
      </c>
      <c r="I168" s="9" t="n">
        <f aca="false">SUMIFS('Partial Purchases'!$D$3:$D$500,'Partial Purchases'!$C$3:$C$500,$A168,'Partial Purchases'!$B$3:$B$500,"&gt;="&amp;DATE($B168,1,1),'Partial Purchases'!$B$3:$B$500,"&lt;="&amp;DATE($B168,12,31))/1000</f>
        <v>0</v>
      </c>
      <c r="J168" s="9" t="n">
        <f aca="false">C168*(D168+0.5*(G168-H168+I168-F168))</f>
        <v>0</v>
      </c>
      <c r="K168" s="9" t="n">
        <f aca="false">C168*(E168-D168+H168-G168-I168)</f>
        <v>0</v>
      </c>
      <c r="L168" s="13" t="str">
        <f aca="false">IF(J168=0,"",C168*F168/J168)</f>
        <v/>
      </c>
      <c r="M168" s="13" t="str">
        <f aca="false">IF(J168=0,"",K168/J168)</f>
        <v/>
      </c>
      <c r="N168" s="13" t="str">
        <f aca="false">IF(J168=0,"",L168+M168)</f>
        <v/>
      </c>
    </row>
    <row r="169" customFormat="false" ht="15" hidden="false" customHeight="false" outlineLevel="0" collapsed="false">
      <c r="A169" s="8" t="s">
        <v>25</v>
      </c>
      <c r="B169" s="46" t="n">
        <v>2009</v>
      </c>
      <c r="C169" s="10" t="n">
        <f aca="false">IF(D169&gt;0,1,0)</f>
        <v>1</v>
      </c>
      <c r="D169" s="9" t="n">
        <f aca="false">IF(SUMIFS(Sales!$D$3:$D$500,Sales!$C$3:$C$500,$A169,Sales!$B$3:$B$500,"&lt;="&amp;DATE($B169-1,12,31))&gt;0,0,SUMIFS('Asset Value'!$F$4:$F$500,'Asset Value'!$C$4:$C$500,$A169,'Asset Value'!$B$4:$B$500,$B169-1)/1000)</f>
        <v>156660</v>
      </c>
      <c r="E169" s="9" t="n">
        <f aca="false">IF(SUMIFS(Sales!$D$3:$D$500,Sales!$C$3:$C$500,$A169,Sales!$B$3:$B$500,"&gt;="&amp;DATE($B169,1,1),Sales!$B$3:$B$500,"&lt;="&amp;DATE($B169,12,31))&gt;0,SUMIFS(Sales!$D$3:$D$500,Sales!$C$3:$C$500,$A169,Sales!$B$3:$B$500,"&gt;="&amp;DATE($B169,1,1),Sales!$B$3:$B$500,"&lt;="&amp;DATE($B169,12,31))/1000,SUMIFS('Asset Value'!$F$4:$F$500,'Asset Value'!$C$4:$C$500,$A169,'Asset Value'!$B$4:$B$500,$B169)/1000)</f>
        <v>207350</v>
      </c>
      <c r="F169" s="9" t="n">
        <f aca="false">SUMIFS(Rent!$E$3:$E$500,Rent!$D$3:$D$500,$A169,Rent!$C$3:$C$500,$B169)/1000</f>
        <v>0</v>
      </c>
      <c r="G169" s="9" t="n">
        <f aca="false">SUMIFS(Costs!$D$3:$D$500,Costs!$C$3:$C$500,$A169,Costs!$B$3:$B$500,"&gt;="&amp;DATE($B169,1,1),Costs!$B$3:$B$500,"&lt;="&amp;DATE($B169,12,31))/1000</f>
        <v>0</v>
      </c>
      <c r="H169" s="9" t="n">
        <f aca="false">SUMIFS('Partial Sales'!$D$3:$D$500,'Partial Sales'!$C$3:$C$500,$A169,'Partial Sales'!$B$3:$B$500,"&gt;="&amp;DATE($B169,1,1),'Partial Sales'!$B$3:$B$500,"&lt;="&amp;DATE($B169,12,31))/1000</f>
        <v>0</v>
      </c>
      <c r="I169" s="9" t="n">
        <f aca="false">SUMIFS('Partial Purchases'!$D$3:$D$500,'Partial Purchases'!$C$3:$C$500,$A169,'Partial Purchases'!$B$3:$B$500,"&gt;="&amp;DATE($B169,1,1),'Partial Purchases'!$B$3:$B$500,"&lt;="&amp;DATE($B169,12,31))/1000</f>
        <v>0</v>
      </c>
      <c r="J169" s="9" t="n">
        <f aca="false">C169*(D169+0.5*(G169-H169+I169-F169))</f>
        <v>156660</v>
      </c>
      <c r="K169" s="9" t="n">
        <f aca="false">C169*(E169-D169+H169-G169-I169)</f>
        <v>50690</v>
      </c>
      <c r="L169" s="13" t="n">
        <f aca="false">IF(J169=0,"",C169*F169/J169)</f>
        <v>0</v>
      </c>
      <c r="M169" s="13" t="n">
        <f aca="false">IF(J169=0,"",K169/J169)</f>
        <v>0.323566960296183</v>
      </c>
      <c r="N169" s="13" t="n">
        <f aca="false">IF(J169=0,"",L169+M169)</f>
        <v>0.323566960296183</v>
      </c>
    </row>
    <row r="170" customFormat="false" ht="15" hidden="false" customHeight="false" outlineLevel="0" collapsed="false">
      <c r="A170" s="8" t="s">
        <v>25</v>
      </c>
      <c r="B170" s="46" t="n">
        <v>2010</v>
      </c>
      <c r="C170" s="10" t="n">
        <f aca="false">IF(D170&gt;0,1,0)</f>
        <v>1</v>
      </c>
      <c r="D170" s="9" t="n">
        <f aca="false">IF(SUMIFS(Sales!$D$3:$D$500,Sales!$C$3:$C$500,$A170,Sales!$B$3:$B$500,"&lt;="&amp;DATE($B170-1,12,31))&gt;0,0,SUMIFS('Asset Value'!$F$4:$F$500,'Asset Value'!$C$4:$C$500,$A170,'Asset Value'!$B$4:$B$500,$B170-1)/1000)</f>
        <v>207350</v>
      </c>
      <c r="E170" s="9" t="n">
        <f aca="false">IF(SUMIFS(Sales!$D$3:$D$500,Sales!$C$3:$C$500,$A170,Sales!$B$3:$B$500,"&gt;="&amp;DATE($B170,1,1),Sales!$B$3:$B$500,"&lt;="&amp;DATE($B170,12,31))&gt;0,SUMIFS(Sales!$D$3:$D$500,Sales!$C$3:$C$500,$A170,Sales!$B$3:$B$500,"&gt;="&amp;DATE($B170,1,1),Sales!$B$3:$B$500,"&lt;="&amp;DATE($B170,12,31))/1000,SUMIFS('Asset Value'!$F$4:$F$500,'Asset Value'!$C$4:$C$500,$A170,'Asset Value'!$B$4:$B$500,$B170)/1000)</f>
        <v>199850</v>
      </c>
      <c r="F170" s="9" t="n">
        <f aca="false">SUMIFS(Rent!$E$3:$E$500,Rent!$D$3:$D$500,$A170,Rent!$C$3:$C$500,$B170)/1000</f>
        <v>0</v>
      </c>
      <c r="G170" s="9" t="n">
        <f aca="false">SUMIFS(Costs!$D$3:$D$500,Costs!$C$3:$C$500,$A170,Costs!$B$3:$B$500,"&gt;="&amp;DATE($B170,1,1),Costs!$B$3:$B$500,"&lt;="&amp;DATE($B170,12,31))/1000</f>
        <v>0</v>
      </c>
      <c r="H170" s="9" t="n">
        <f aca="false">SUMIFS('Partial Sales'!$D$3:$D$500,'Partial Sales'!$C$3:$C$500,$A170,'Partial Sales'!$B$3:$B$500,"&gt;="&amp;DATE($B170,1,1),'Partial Sales'!$B$3:$B$500,"&lt;="&amp;DATE($B170,12,31))/1000</f>
        <v>0</v>
      </c>
      <c r="I170" s="9" t="n">
        <f aca="false">SUMIFS('Partial Purchases'!$D$3:$D$500,'Partial Purchases'!$C$3:$C$500,$A170,'Partial Purchases'!$B$3:$B$500,"&gt;="&amp;DATE($B170,1,1),'Partial Purchases'!$B$3:$B$500,"&lt;="&amp;DATE($B170,12,31))/1000</f>
        <v>0</v>
      </c>
      <c r="J170" s="9" t="n">
        <f aca="false">C170*(D170+0.5*(G170-H170+I170-F170))</f>
        <v>207350</v>
      </c>
      <c r="K170" s="9" t="n">
        <f aca="false">C170*(E170-D170+H170-G170-I170)</f>
        <v>-7500</v>
      </c>
      <c r="L170" s="13" t="n">
        <f aca="false">IF(J170=0,"",C170*F170/J170)</f>
        <v>0</v>
      </c>
      <c r="M170" s="13" t="n">
        <f aca="false">IF(J170=0,"",K170/J170)</f>
        <v>-0.0361707258258982</v>
      </c>
      <c r="N170" s="13" t="n">
        <f aca="false">IF(J170=0,"",L170+M170)</f>
        <v>-0.0361707258258982</v>
      </c>
    </row>
    <row r="171" customFormat="false" ht="15" hidden="false" customHeight="false" outlineLevel="0" collapsed="false">
      <c r="A171" s="8" t="s">
        <v>25</v>
      </c>
      <c r="B171" s="46" t="n">
        <v>2011</v>
      </c>
      <c r="C171" s="10" t="n">
        <f aca="false">IF(D171&gt;0,1,0)</f>
        <v>1</v>
      </c>
      <c r="D171" s="9" t="n">
        <f aca="false">IF(SUMIFS(Sales!$D$3:$D$500,Sales!$C$3:$C$500,$A171,Sales!$B$3:$B$500,"&lt;="&amp;DATE($B171-1,12,31))&gt;0,0,SUMIFS('Asset Value'!$F$4:$F$500,'Asset Value'!$C$4:$C$500,$A171,'Asset Value'!$B$4:$B$500,$B171-1)/1000)</f>
        <v>199850</v>
      </c>
      <c r="E171" s="9" t="n">
        <f aca="false">IF(SUMIFS(Sales!$D$3:$D$500,Sales!$C$3:$C$500,$A171,Sales!$B$3:$B$500,"&gt;="&amp;DATE($B171,1,1),Sales!$B$3:$B$500,"&lt;="&amp;DATE($B171,12,31))&gt;0,SUMIFS(Sales!$D$3:$D$500,Sales!$C$3:$C$500,$A171,Sales!$B$3:$B$500,"&gt;="&amp;DATE($B171,1,1),Sales!$B$3:$B$500,"&lt;="&amp;DATE($B171,12,31))/1000,SUMIFS('Asset Value'!$F$4:$F$500,'Asset Value'!$C$4:$C$500,$A171,'Asset Value'!$B$4:$B$500,$B171)/1000)</f>
        <v>222570</v>
      </c>
      <c r="F171" s="9" t="n">
        <f aca="false">SUMIFS(Rent!$E$3:$E$500,Rent!$D$3:$D$500,$A171,Rent!$C$3:$C$500,$B171)/1000</f>
        <v>0</v>
      </c>
      <c r="G171" s="9" t="n">
        <f aca="false">SUMIFS(Costs!$D$3:$D$500,Costs!$C$3:$C$500,$A171,Costs!$B$3:$B$500,"&gt;="&amp;DATE($B171,1,1),Costs!$B$3:$B$500,"&lt;="&amp;DATE($B171,12,31))/1000</f>
        <v>0</v>
      </c>
      <c r="H171" s="9" t="n">
        <f aca="false">SUMIFS('Partial Sales'!$D$3:$D$500,'Partial Sales'!$C$3:$C$500,$A171,'Partial Sales'!$B$3:$B$500,"&gt;="&amp;DATE($B171,1,1),'Partial Sales'!$B$3:$B$500,"&lt;="&amp;DATE($B171,12,31))/1000</f>
        <v>0</v>
      </c>
      <c r="I171" s="9" t="n">
        <f aca="false">SUMIFS('Partial Purchases'!$D$3:$D$500,'Partial Purchases'!$C$3:$C$500,$A171,'Partial Purchases'!$B$3:$B$500,"&gt;="&amp;DATE($B171,1,1),'Partial Purchases'!$B$3:$B$500,"&lt;="&amp;DATE($B171,12,31))/1000</f>
        <v>0</v>
      </c>
      <c r="J171" s="9" t="n">
        <f aca="false">C171*(D171+0.5*(G171-H171+I171-F171))</f>
        <v>199850</v>
      </c>
      <c r="K171" s="9" t="n">
        <f aca="false">C171*(E171-D171+H171-G171-I171)</f>
        <v>22720</v>
      </c>
      <c r="L171" s="13" t="n">
        <f aca="false">IF(J171=0,"",C171*F171/J171)</f>
        <v>0</v>
      </c>
      <c r="M171" s="13" t="n">
        <f aca="false">IF(J171=0,"",K171/J171)</f>
        <v>0.113685263947961</v>
      </c>
      <c r="N171" s="13" t="n">
        <f aca="false">IF(J171=0,"",L171+M171)</f>
        <v>0.113685263947961</v>
      </c>
    </row>
    <row r="172" customFormat="false" ht="15" hidden="false" customHeight="false" outlineLevel="0" collapsed="false">
      <c r="A172" s="8" t="s">
        <v>25</v>
      </c>
      <c r="B172" s="46" t="n">
        <v>2012</v>
      </c>
      <c r="C172" s="10" t="n">
        <f aca="false">IF(D172&gt;0,1,0)</f>
        <v>1</v>
      </c>
      <c r="D172" s="9" t="n">
        <f aca="false">IF(SUMIFS(Sales!$D$3:$D$500,Sales!$C$3:$C$500,$A172,Sales!$B$3:$B$500,"&lt;="&amp;DATE($B172-1,12,31))&gt;0,0,SUMIFS('Asset Value'!$F$4:$F$500,'Asset Value'!$C$4:$C$500,$A172,'Asset Value'!$B$4:$B$500,$B172-1)/1000)</f>
        <v>222570</v>
      </c>
      <c r="E172" s="9" t="n">
        <f aca="false">IF(SUMIFS(Sales!$D$3:$D$500,Sales!$C$3:$C$500,$A172,Sales!$B$3:$B$500,"&gt;="&amp;DATE($B172,1,1),Sales!$B$3:$B$500,"&lt;="&amp;DATE($B172,12,31))&gt;0,SUMIFS(Sales!$D$3:$D$500,Sales!$C$3:$C$500,$A172,Sales!$B$3:$B$500,"&gt;="&amp;DATE($B172,1,1),Sales!$B$3:$B$500,"&lt;="&amp;DATE($B172,12,31))/1000,SUMIFS('Asset Value'!$F$4:$F$500,'Asset Value'!$C$4:$C$500,$A172,'Asset Value'!$B$4:$B$500,$B172)/1000)</f>
        <v>262140</v>
      </c>
      <c r="F172" s="9" t="n">
        <f aca="false">SUMIFS(Rent!$E$3:$E$500,Rent!$D$3:$D$500,$A172,Rent!$C$3:$C$500,$B172)/1000</f>
        <v>0</v>
      </c>
      <c r="G172" s="9" t="n">
        <f aca="false">SUMIFS(Costs!$D$3:$D$500,Costs!$C$3:$C$500,$A172,Costs!$B$3:$B$500,"&gt;="&amp;DATE($B172,1,1),Costs!$B$3:$B$500,"&lt;="&amp;DATE($B172,12,31))/1000</f>
        <v>0</v>
      </c>
      <c r="H172" s="9" t="n">
        <f aca="false">SUMIFS('Partial Sales'!$D$3:$D$500,'Partial Sales'!$C$3:$C$500,$A172,'Partial Sales'!$B$3:$B$500,"&gt;="&amp;DATE($B172,1,1),'Partial Sales'!$B$3:$B$500,"&lt;="&amp;DATE($B172,12,31))/1000</f>
        <v>0</v>
      </c>
      <c r="I172" s="9" t="n">
        <f aca="false">SUMIFS('Partial Purchases'!$D$3:$D$500,'Partial Purchases'!$C$3:$C$500,$A172,'Partial Purchases'!$B$3:$B$500,"&gt;="&amp;DATE($B172,1,1),'Partial Purchases'!$B$3:$B$500,"&lt;="&amp;DATE($B172,12,31))/1000</f>
        <v>0</v>
      </c>
      <c r="J172" s="9" t="n">
        <f aca="false">C172*(D172+0.5*(G172-H172+I172-F172))</f>
        <v>222570</v>
      </c>
      <c r="K172" s="9" t="n">
        <f aca="false">C172*(E172-D172+H172-G172-I172)</f>
        <v>39570</v>
      </c>
      <c r="L172" s="13" t="n">
        <f aca="false">IF(J172=0,"",C172*F172/J172)</f>
        <v>0</v>
      </c>
      <c r="M172" s="13" t="n">
        <f aca="false">IF(J172=0,"",K172/J172)</f>
        <v>0.177786763714786</v>
      </c>
      <c r="N172" s="13" t="n">
        <f aca="false">IF(J172=0,"",L172+M172)</f>
        <v>0.177786763714786</v>
      </c>
    </row>
    <row r="173" customFormat="false" ht="15" hidden="false" customHeight="false" outlineLevel="0" collapsed="false">
      <c r="A173" s="8" t="s">
        <v>25</v>
      </c>
      <c r="B173" s="46" t="n">
        <v>2013</v>
      </c>
      <c r="C173" s="10" t="n">
        <f aca="false">IF(D173&gt;0,1,0)</f>
        <v>1</v>
      </c>
      <c r="D173" s="9" t="n">
        <f aca="false">IF(SUMIFS(Sales!$D$3:$D$500,Sales!$C$3:$C$500,$A173,Sales!$B$3:$B$500,"&lt;="&amp;DATE($B173-1,12,31))&gt;0,0,SUMIFS('Asset Value'!$F$4:$F$500,'Asset Value'!$C$4:$C$500,$A173,'Asset Value'!$B$4:$B$500,$B173-1)/1000)</f>
        <v>262140</v>
      </c>
      <c r="E173" s="9" t="n">
        <f aca="false">IF(SUMIFS(Sales!$D$3:$D$500,Sales!$C$3:$C$500,$A173,Sales!$B$3:$B$500,"&gt;="&amp;DATE($B173,1,1),Sales!$B$3:$B$500,"&lt;="&amp;DATE($B173,12,31))&gt;0,SUMIFS(Sales!$D$3:$D$500,Sales!$C$3:$C$500,$A173,Sales!$B$3:$B$500,"&gt;="&amp;DATE($B173,1,1),Sales!$B$3:$B$500,"&lt;="&amp;DATE($B173,12,31))/1000,SUMIFS('Asset Value'!$F$4:$F$500,'Asset Value'!$C$4:$C$500,$A173,'Asset Value'!$B$4:$B$500,$B173)/1000)</f>
        <v>305364</v>
      </c>
      <c r="F173" s="9" t="n">
        <f aca="false">SUMIFS(Rent!$E$3:$E$500,Rent!$D$3:$D$500,$A173,Rent!$C$3:$C$500,$B173)/1000</f>
        <v>0</v>
      </c>
      <c r="G173" s="9" t="n">
        <f aca="false">SUMIFS(Costs!$D$3:$D$500,Costs!$C$3:$C$500,$A173,Costs!$B$3:$B$500,"&gt;="&amp;DATE($B173,1,1),Costs!$B$3:$B$500,"&lt;="&amp;DATE($B173,12,31))/1000</f>
        <v>0</v>
      </c>
      <c r="H173" s="9" t="n">
        <f aca="false">SUMIFS('Partial Sales'!$D$3:$D$500,'Partial Sales'!$C$3:$C$500,$A173,'Partial Sales'!$B$3:$B$500,"&gt;="&amp;DATE($B173,1,1),'Partial Sales'!$B$3:$B$500,"&lt;="&amp;DATE($B173,12,31))/1000</f>
        <v>0</v>
      </c>
      <c r="I173" s="9" t="n">
        <f aca="false">SUMIFS('Partial Purchases'!$D$3:$D$500,'Partial Purchases'!$C$3:$C$500,$A173,'Partial Purchases'!$B$3:$B$500,"&gt;="&amp;DATE($B173,1,1),'Partial Purchases'!$B$3:$B$500,"&lt;="&amp;DATE($B173,12,31))/1000</f>
        <v>0</v>
      </c>
      <c r="J173" s="9" t="n">
        <f aca="false">C173*(D173+0.5*(G173-H173+I173-F173))</f>
        <v>262140</v>
      </c>
      <c r="K173" s="9" t="n">
        <f aca="false">C173*(E173-D173+H173-G173-I173)</f>
        <v>43224</v>
      </c>
      <c r="L173" s="13" t="n">
        <f aca="false">IF(J173=0,"",C173*F173/J173)</f>
        <v>0</v>
      </c>
      <c r="M173" s="13" t="n">
        <f aca="false">IF(J173=0,"",K173/J173)</f>
        <v>0.164888990615702</v>
      </c>
      <c r="N173" s="13" t="n">
        <f aca="false">IF(J173=0,"",L173+M173)</f>
        <v>0.164888990615702</v>
      </c>
    </row>
    <row r="174" customFormat="false" ht="15" hidden="false" customHeight="false" outlineLevel="0" collapsed="false">
      <c r="A174" s="8" t="s">
        <v>25</v>
      </c>
      <c r="B174" s="46" t="n">
        <v>2014</v>
      </c>
      <c r="C174" s="10" t="n">
        <f aca="false">IF(D174&gt;0,1,0)</f>
        <v>1</v>
      </c>
      <c r="D174" s="9" t="n">
        <f aca="false">IF(SUMIFS(Sales!$D$3:$D$500,Sales!$C$3:$C$500,$A174,Sales!$B$3:$B$500,"&lt;="&amp;DATE($B174-1,12,31))&gt;0,0,SUMIFS('Asset Value'!$F$4:$F$500,'Asset Value'!$C$4:$C$500,$A174,'Asset Value'!$B$4:$B$500,$B174-1)/1000)</f>
        <v>305364</v>
      </c>
      <c r="E174" s="9" t="n">
        <f aca="false">IF(SUMIFS(Sales!$D$3:$D$500,Sales!$C$3:$C$500,$A174,Sales!$B$3:$B$500,"&gt;="&amp;DATE($B174,1,1),Sales!$B$3:$B$500,"&lt;="&amp;DATE($B174,12,31))&gt;0,SUMIFS(Sales!$D$3:$D$500,Sales!$C$3:$C$500,$A174,Sales!$B$3:$B$500,"&gt;="&amp;DATE($B174,1,1),Sales!$B$3:$B$500,"&lt;="&amp;DATE($B174,12,31))/1000,SUMIFS('Asset Value'!$F$4:$F$500,'Asset Value'!$C$4:$C$500,$A174,'Asset Value'!$B$4:$B$500,$B174)/1000)</f>
        <v>346990</v>
      </c>
      <c r="F174" s="9" t="n">
        <f aca="false">SUMIFS(Rent!$E$3:$E$500,Rent!$D$3:$D$500,$A174,Rent!$C$3:$C$500,$B174)/1000</f>
        <v>151</v>
      </c>
      <c r="G174" s="9" t="n">
        <f aca="false">SUMIFS(Costs!$D$3:$D$500,Costs!$C$3:$C$500,$A174,Costs!$B$3:$B$500,"&gt;="&amp;DATE($B174,1,1),Costs!$B$3:$B$500,"&lt;="&amp;DATE($B174,12,31))/1000</f>
        <v>0</v>
      </c>
      <c r="H174" s="9" t="n">
        <f aca="false">SUMIFS('Partial Sales'!$D$3:$D$500,'Partial Sales'!$C$3:$C$500,$A174,'Partial Sales'!$B$3:$B$500,"&gt;="&amp;DATE($B174,1,1),'Partial Sales'!$B$3:$B$500,"&lt;="&amp;DATE($B174,12,31))/1000</f>
        <v>0</v>
      </c>
      <c r="I174" s="9" t="n">
        <f aca="false">SUMIFS('Partial Purchases'!$D$3:$D$500,'Partial Purchases'!$C$3:$C$500,$A174,'Partial Purchases'!$B$3:$B$500,"&gt;="&amp;DATE($B174,1,1),'Partial Purchases'!$B$3:$B$500,"&lt;="&amp;DATE($B174,12,31))/1000</f>
        <v>0</v>
      </c>
      <c r="J174" s="9" t="n">
        <f aca="false">C174*(D174+0.5*(G174-H174+I174-F174))</f>
        <v>305288.5</v>
      </c>
      <c r="K174" s="9" t="n">
        <f aca="false">C174*(E174-D174+H174-G174-I174)</f>
        <v>41626</v>
      </c>
      <c r="L174" s="13" t="n">
        <f aca="false">IF(J174=0,"",C174*F174/J174)</f>
        <v>0.000494614110914758</v>
      </c>
      <c r="M174" s="13" t="n">
        <f aca="false">IF(J174=0,"",K174/J174)</f>
        <v>0.136349715105548</v>
      </c>
      <c r="N174" s="13" t="n">
        <f aca="false">IF(J174=0,"",L174+M174)</f>
        <v>0.136844329216462</v>
      </c>
    </row>
    <row r="175" customFormat="false" ht="15" hidden="false" customHeight="false" outlineLevel="0" collapsed="false">
      <c r="A175" s="47" t="s">
        <v>25</v>
      </c>
      <c r="B175" s="48" t="n">
        <v>2015</v>
      </c>
      <c r="C175" s="49" t="n">
        <f aca="false">IF(D175&gt;0,1,0)</f>
        <v>1</v>
      </c>
      <c r="D175" s="50" t="n">
        <f aca="false">IF(SUMIFS(Sales!$D$3:$D$500,Sales!$C$3:$C$500,$A175,Sales!$B$3:$B$500,"&lt;="&amp;DATE($B175-1,12,31))&gt;0,0,SUMIFS('Asset Value'!$F$4:$F$500,'Asset Value'!$C$4:$C$500,$A175,'Asset Value'!$B$4:$B$500,$B175-1)/1000)</f>
        <v>346990</v>
      </c>
      <c r="E175" s="50" t="n">
        <f aca="false">IF(SUMIFS(Sales!$D$3:$D$500,Sales!$C$3:$C$500,$A175,Sales!$B$3:$B$500,"&gt;="&amp;DATE($B175,1,1),Sales!$B$3:$B$500,"&lt;="&amp;DATE($B175,12,31))&gt;0,SUMIFS(Sales!$D$3:$D$500,Sales!$C$3:$C$500,$A175,Sales!$B$3:$B$500,"&gt;="&amp;DATE($B175,1,1),Sales!$B$3:$B$500,"&lt;="&amp;DATE($B175,12,31))/1000,SUMIFS('Asset Value'!$F$4:$F$500,'Asset Value'!$C$4:$C$500,$A175,'Asset Value'!$B$4:$B$500,$B175)/1000)</f>
        <v>412090</v>
      </c>
      <c r="F175" s="50" t="n">
        <f aca="false">SUMIFS(Rent!$E$3:$E$500,Rent!$D$3:$D$500,$A175,Rent!$C$3:$C$500,$B175)/1000</f>
        <v>159</v>
      </c>
      <c r="G175" s="50" t="n">
        <f aca="false">SUMIFS(Costs!$D$3:$D$500,Costs!$C$3:$C$500,$A175,Costs!$B$3:$B$500,"&gt;="&amp;DATE($B175,1,1),Costs!$B$3:$B$500,"&lt;="&amp;DATE($B175,12,31))/1000</f>
        <v>0</v>
      </c>
      <c r="H175" s="50" t="n">
        <f aca="false">SUMIFS('Partial Sales'!$D$3:$D$500,'Partial Sales'!$C$3:$C$500,$A175,'Partial Sales'!$B$3:$B$500,"&gt;="&amp;DATE($B175,1,1),'Partial Sales'!$B$3:$B$500,"&lt;="&amp;DATE($B175,12,31))/1000</f>
        <v>0</v>
      </c>
      <c r="I175" s="50" t="n">
        <f aca="false">SUMIFS('Partial Purchases'!$D$3:$D$500,'Partial Purchases'!$C$3:$C$500,$A175,'Partial Purchases'!$B$3:$B$500,"&gt;="&amp;DATE($B175,1,1),'Partial Purchases'!$B$3:$B$500,"&lt;="&amp;DATE($B175,12,31))/1000</f>
        <v>0</v>
      </c>
      <c r="J175" s="50" t="n">
        <f aca="false">C175*(D175+0.5*(G175-H175+I175-F175))</f>
        <v>346910.5</v>
      </c>
      <c r="K175" s="50" t="n">
        <f aca="false">C175*(E175-D175+H175-G175-I175)</f>
        <v>65100</v>
      </c>
      <c r="L175" s="44" t="n">
        <f aca="false">IF(J175=0,"",C175*F175/J175)</f>
        <v>0.000458331471661999</v>
      </c>
      <c r="M175" s="44" t="n">
        <f aca="false">IF(J175=0,"",K175/J175)</f>
        <v>0.187656470472932</v>
      </c>
      <c r="N175" s="44" t="n">
        <f aca="false">IF(J175=0,"",L175+M175)</f>
        <v>0.188114801944594</v>
      </c>
    </row>
    <row r="176" customFormat="false" ht="15" hidden="false" customHeight="false" outlineLevel="0" collapsed="false">
      <c r="A176" s="8" t="s">
        <v>26</v>
      </c>
      <c r="B176" s="46" t="n">
        <v>2008</v>
      </c>
      <c r="C176" s="10" t="n">
        <f aca="false">IF(D176&gt;0,1,0)</f>
        <v>0</v>
      </c>
      <c r="D176" s="9" t="n">
        <f aca="false">IF(SUMIFS(Sales!$D$3:$D$500,Sales!$C$3:$C$500,$A176,Sales!$B$3:$B$500,"&lt;="&amp;DATE($B176-1,12,31))&gt;0,0,SUMIFS('Asset Value'!$F$4:$F$500,'Asset Value'!$C$4:$C$500,$A176,'Asset Value'!$B$4:$B$500,$B176-1)/1000)</f>
        <v>0</v>
      </c>
      <c r="E176" s="9" t="n">
        <f aca="false">IF(SUMIFS(Sales!$D$3:$D$500,Sales!$C$3:$C$500,$A176,Sales!$B$3:$B$500,"&gt;="&amp;DATE($B176,1,1),Sales!$B$3:$B$500,"&lt;="&amp;DATE($B176,12,31))&gt;0,SUMIFS(Sales!$D$3:$D$500,Sales!$C$3:$C$500,$A176,Sales!$B$3:$B$500,"&gt;="&amp;DATE($B176,1,1),Sales!$B$3:$B$500,"&lt;="&amp;DATE($B176,12,31))/1000,SUMIFS('Asset Value'!$F$4:$F$500,'Asset Value'!$C$4:$C$500,$A176,'Asset Value'!$B$4:$B$500,$B176)/1000)</f>
        <v>218840</v>
      </c>
      <c r="F176" s="9" t="n">
        <f aca="false">SUMIFS(Rent!$E$3:$E$500,Rent!$D$3:$D$500,$A176,Rent!$C$3:$C$500,$B176)/1000</f>
        <v>7507.249555</v>
      </c>
      <c r="G176" s="9" t="n">
        <f aca="false">SUMIFS(Costs!$D$3:$D$500,Costs!$C$3:$C$500,$A176,Costs!$B$3:$B$500,"&gt;="&amp;DATE($B176,1,1),Costs!$B$3:$B$500,"&lt;="&amp;DATE($B176,12,31))/1000</f>
        <v>0</v>
      </c>
      <c r="H176" s="9" t="n">
        <f aca="false">SUMIFS('Partial Sales'!$D$3:$D$500,'Partial Sales'!$C$3:$C$500,$A176,'Partial Sales'!$B$3:$B$500,"&gt;="&amp;DATE($B176,1,1),'Partial Sales'!$B$3:$B$500,"&lt;="&amp;DATE($B176,12,31))/1000</f>
        <v>0</v>
      </c>
      <c r="I176" s="9" t="n">
        <f aca="false">SUMIFS('Partial Purchases'!$D$3:$D$500,'Partial Purchases'!$C$3:$C$500,$A176,'Partial Purchases'!$B$3:$B$500,"&gt;="&amp;DATE($B176,1,1),'Partial Purchases'!$B$3:$B$500,"&lt;="&amp;DATE($B176,12,31))/1000</f>
        <v>0</v>
      </c>
      <c r="J176" s="9" t="n">
        <f aca="false">C176*(D176+0.5*(G176-H176+I176-F176))</f>
        <v>-0</v>
      </c>
      <c r="K176" s="9" t="n">
        <f aca="false">C176*(E176-D176+H176-G176-I176)</f>
        <v>0</v>
      </c>
      <c r="L176" s="13" t="str">
        <f aca="false">IF(J176=0,"",C176*F176/J176)</f>
        <v/>
      </c>
      <c r="M176" s="13" t="str">
        <f aca="false">IF(J176=0,"",K176/J176)</f>
        <v/>
      </c>
      <c r="N176" s="13" t="str">
        <f aca="false">IF(J176=0,"",L176+M176)</f>
        <v/>
      </c>
    </row>
    <row r="177" customFormat="false" ht="15" hidden="false" customHeight="false" outlineLevel="0" collapsed="false">
      <c r="A177" s="8" t="s">
        <v>26</v>
      </c>
      <c r="B177" s="46" t="n">
        <v>2009</v>
      </c>
      <c r="C177" s="10" t="n">
        <f aca="false">IF(D177&gt;0,1,0)</f>
        <v>1</v>
      </c>
      <c r="D177" s="9" t="n">
        <f aca="false">IF(SUMIFS(Sales!$D$3:$D$500,Sales!$C$3:$C$500,$A177,Sales!$B$3:$B$500,"&lt;="&amp;DATE($B177-1,12,31))&gt;0,0,SUMIFS('Asset Value'!$F$4:$F$500,'Asset Value'!$C$4:$C$500,$A177,'Asset Value'!$B$4:$B$500,$B177-1)/1000)</f>
        <v>218840</v>
      </c>
      <c r="E177" s="9" t="n">
        <f aca="false">IF(SUMIFS(Sales!$D$3:$D$500,Sales!$C$3:$C$500,$A177,Sales!$B$3:$B$500,"&gt;="&amp;DATE($B177,1,1),Sales!$B$3:$B$500,"&lt;="&amp;DATE($B177,12,31))&gt;0,SUMIFS(Sales!$D$3:$D$500,Sales!$C$3:$C$500,$A177,Sales!$B$3:$B$500,"&gt;="&amp;DATE($B177,1,1),Sales!$B$3:$B$500,"&lt;="&amp;DATE($B177,12,31))/1000,SUMIFS('Asset Value'!$F$4:$F$500,'Asset Value'!$C$4:$C$500,$A177,'Asset Value'!$B$4:$B$500,$B177)/1000)</f>
        <v>265050</v>
      </c>
      <c r="F177" s="9" t="n">
        <f aca="false">SUMIFS(Rent!$E$3:$E$500,Rent!$D$3:$D$500,$A177,Rent!$C$3:$C$500,$B177)/1000</f>
        <v>7007.61131</v>
      </c>
      <c r="G177" s="9" t="n">
        <f aca="false">SUMIFS(Costs!$D$3:$D$500,Costs!$C$3:$C$500,$A177,Costs!$B$3:$B$500,"&gt;="&amp;DATE($B177,1,1),Costs!$B$3:$B$500,"&lt;="&amp;DATE($B177,12,31))/1000</f>
        <v>0</v>
      </c>
      <c r="H177" s="9" t="n">
        <f aca="false">SUMIFS('Partial Sales'!$D$3:$D$500,'Partial Sales'!$C$3:$C$500,$A177,'Partial Sales'!$B$3:$B$500,"&gt;="&amp;DATE($B177,1,1),'Partial Sales'!$B$3:$B$500,"&lt;="&amp;DATE($B177,12,31))/1000</f>
        <v>0</v>
      </c>
      <c r="I177" s="9" t="n">
        <f aca="false">SUMIFS('Partial Purchases'!$D$3:$D$500,'Partial Purchases'!$C$3:$C$500,$A177,'Partial Purchases'!$B$3:$B$500,"&gt;="&amp;DATE($B177,1,1),'Partial Purchases'!$B$3:$B$500,"&lt;="&amp;DATE($B177,12,31))/1000</f>
        <v>0</v>
      </c>
      <c r="J177" s="9" t="n">
        <f aca="false">C177*(D177+0.5*(G177-H177+I177-F177))</f>
        <v>215336.194345</v>
      </c>
      <c r="K177" s="9" t="n">
        <f aca="false">C177*(E177-D177+H177-G177-I177)</f>
        <v>46210</v>
      </c>
      <c r="L177" s="13" t="n">
        <f aca="false">IF(J177=0,"",C177*F177/J177)</f>
        <v>0.0325426542031888</v>
      </c>
      <c r="M177" s="13" t="n">
        <f aca="false">IF(J177=0,"",K177/J177)</f>
        <v>0.214594672022321</v>
      </c>
      <c r="N177" s="13" t="n">
        <f aca="false">IF(J177=0,"",L177+M177)</f>
        <v>0.24713732622551</v>
      </c>
    </row>
    <row r="178" customFormat="false" ht="15" hidden="false" customHeight="false" outlineLevel="0" collapsed="false">
      <c r="A178" s="8" t="s">
        <v>26</v>
      </c>
      <c r="B178" s="46" t="n">
        <v>2010</v>
      </c>
      <c r="C178" s="10" t="n">
        <f aca="false">IF(D178&gt;0,1,0)</f>
        <v>1</v>
      </c>
      <c r="D178" s="9" t="n">
        <f aca="false">IF(SUMIFS(Sales!$D$3:$D$500,Sales!$C$3:$C$500,$A178,Sales!$B$3:$B$500,"&lt;="&amp;DATE($B178-1,12,31))&gt;0,0,SUMIFS('Asset Value'!$F$4:$F$500,'Asset Value'!$C$4:$C$500,$A178,'Asset Value'!$B$4:$B$500,$B178-1)/1000)</f>
        <v>265050</v>
      </c>
      <c r="E178" s="9" t="n">
        <f aca="false">IF(SUMIFS(Sales!$D$3:$D$500,Sales!$C$3:$C$500,$A178,Sales!$B$3:$B$500,"&gt;="&amp;DATE($B178,1,1),Sales!$B$3:$B$500,"&lt;="&amp;DATE($B178,12,31))&gt;0,SUMIFS(Sales!$D$3:$D$500,Sales!$C$3:$C$500,$A178,Sales!$B$3:$B$500,"&gt;="&amp;DATE($B178,1,1),Sales!$B$3:$B$500,"&lt;="&amp;DATE($B178,12,31))/1000,SUMIFS('Asset Value'!$F$4:$F$500,'Asset Value'!$C$4:$C$500,$A178,'Asset Value'!$B$4:$B$500,$B178)/1000)</f>
        <v>243950</v>
      </c>
      <c r="F178" s="9" t="n">
        <f aca="false">SUMIFS(Rent!$E$3:$E$500,Rent!$D$3:$D$500,$A178,Rent!$C$3:$C$500,$B178)/1000</f>
        <v>8841.9566235</v>
      </c>
      <c r="G178" s="9" t="n">
        <f aca="false">SUMIFS(Costs!$D$3:$D$500,Costs!$C$3:$C$500,$A178,Costs!$B$3:$B$500,"&gt;="&amp;DATE($B178,1,1),Costs!$B$3:$B$500,"&lt;="&amp;DATE($B178,12,31))/1000</f>
        <v>0</v>
      </c>
      <c r="H178" s="9" t="n">
        <f aca="false">SUMIFS('Partial Sales'!$D$3:$D$500,'Partial Sales'!$C$3:$C$500,$A178,'Partial Sales'!$B$3:$B$500,"&gt;="&amp;DATE($B178,1,1),'Partial Sales'!$B$3:$B$500,"&lt;="&amp;DATE($B178,12,31))/1000</f>
        <v>0</v>
      </c>
      <c r="I178" s="9" t="n">
        <f aca="false">SUMIFS('Partial Purchases'!$D$3:$D$500,'Partial Purchases'!$C$3:$C$500,$A178,'Partial Purchases'!$B$3:$B$500,"&gt;="&amp;DATE($B178,1,1),'Partial Purchases'!$B$3:$B$500,"&lt;="&amp;DATE($B178,12,31))/1000</f>
        <v>0</v>
      </c>
      <c r="J178" s="9" t="n">
        <f aca="false">C178*(D178+0.5*(G178-H178+I178-F178))</f>
        <v>260629.02168825</v>
      </c>
      <c r="K178" s="9" t="n">
        <f aca="false">C178*(E178-D178+H178-G178-I178)</f>
        <v>-21100</v>
      </c>
      <c r="L178" s="13" t="n">
        <f aca="false">IF(J178=0,"",C178*F178/J178)</f>
        <v>0.0339254491546082</v>
      </c>
      <c r="M178" s="13" t="n">
        <f aca="false">IF(J178=0,"",K178/J178)</f>
        <v>-0.0809579833562766</v>
      </c>
      <c r="N178" s="13" t="n">
        <f aca="false">IF(J178=0,"",L178+M178)</f>
        <v>-0.0470325342016684</v>
      </c>
    </row>
    <row r="179" customFormat="false" ht="15" hidden="false" customHeight="false" outlineLevel="0" collapsed="false">
      <c r="A179" s="8" t="s">
        <v>26</v>
      </c>
      <c r="B179" s="46" t="n">
        <v>2011</v>
      </c>
      <c r="C179" s="10" t="n">
        <f aca="false">IF(D179&gt;0,1,0)</f>
        <v>1</v>
      </c>
      <c r="D179" s="9" t="n">
        <f aca="false">IF(SUMIFS(Sales!$D$3:$D$500,Sales!$C$3:$C$500,$A179,Sales!$B$3:$B$500,"&lt;="&amp;DATE($B179-1,12,31))&gt;0,0,SUMIFS('Asset Value'!$F$4:$F$500,'Asset Value'!$C$4:$C$500,$A179,'Asset Value'!$B$4:$B$500,$B179-1)/1000)</f>
        <v>243950</v>
      </c>
      <c r="E179" s="9" t="n">
        <f aca="false">IF(SUMIFS(Sales!$D$3:$D$500,Sales!$C$3:$C$500,$A179,Sales!$B$3:$B$500,"&gt;="&amp;DATE($B179,1,1),Sales!$B$3:$B$500,"&lt;="&amp;DATE($B179,12,31))&gt;0,SUMIFS(Sales!$D$3:$D$500,Sales!$C$3:$C$500,$A179,Sales!$B$3:$B$500,"&gt;="&amp;DATE($B179,1,1),Sales!$B$3:$B$500,"&lt;="&amp;DATE($B179,12,31))/1000,SUMIFS('Asset Value'!$F$4:$F$500,'Asset Value'!$C$4:$C$500,$A179,'Asset Value'!$B$4:$B$500,$B179)/1000)</f>
        <v>279570</v>
      </c>
      <c r="F179" s="9" t="n">
        <f aca="false">SUMIFS(Rent!$E$3:$E$500,Rent!$D$3:$D$500,$A179,Rent!$C$3:$C$500,$B179)/1000</f>
        <v>4976.6418</v>
      </c>
      <c r="G179" s="9" t="n">
        <f aca="false">SUMIFS(Costs!$D$3:$D$500,Costs!$C$3:$C$500,$A179,Costs!$B$3:$B$500,"&gt;="&amp;DATE($B179,1,1),Costs!$B$3:$B$500,"&lt;="&amp;DATE($B179,12,31))/1000</f>
        <v>0</v>
      </c>
      <c r="H179" s="9" t="n">
        <f aca="false">SUMIFS('Partial Sales'!$D$3:$D$500,'Partial Sales'!$C$3:$C$500,$A179,'Partial Sales'!$B$3:$B$500,"&gt;="&amp;DATE($B179,1,1),'Partial Sales'!$B$3:$B$500,"&lt;="&amp;DATE($B179,12,31))/1000</f>
        <v>0</v>
      </c>
      <c r="I179" s="9" t="n">
        <f aca="false">SUMIFS('Partial Purchases'!$D$3:$D$500,'Partial Purchases'!$C$3:$C$500,$A179,'Partial Purchases'!$B$3:$B$500,"&gt;="&amp;DATE($B179,1,1),'Partial Purchases'!$B$3:$B$500,"&lt;="&amp;DATE($B179,12,31))/1000</f>
        <v>0</v>
      </c>
      <c r="J179" s="9" t="n">
        <f aca="false">C179*(D179+0.5*(G179-H179+I179-F179))</f>
        <v>241461.6791</v>
      </c>
      <c r="K179" s="9" t="n">
        <f aca="false">C179*(E179-D179+H179-G179-I179)</f>
        <v>35620</v>
      </c>
      <c r="L179" s="13" t="n">
        <f aca="false">IF(J179=0,"",C179*F179/J179)</f>
        <v>0.0206104828664715</v>
      </c>
      <c r="M179" s="13" t="n">
        <f aca="false">IF(J179=0,"",K179/J179)</f>
        <v>0.14751823201415</v>
      </c>
      <c r="N179" s="13" t="n">
        <f aca="false">IF(J179=0,"",L179+M179)</f>
        <v>0.168128714880621</v>
      </c>
    </row>
    <row r="180" customFormat="false" ht="15" hidden="false" customHeight="false" outlineLevel="0" collapsed="false">
      <c r="A180" s="8" t="s">
        <v>26</v>
      </c>
      <c r="B180" s="46" t="n">
        <v>2012</v>
      </c>
      <c r="C180" s="10" t="n">
        <f aca="false">IF(D180&gt;0,1,0)</f>
        <v>1</v>
      </c>
      <c r="D180" s="9" t="n">
        <f aca="false">IF(SUMIFS(Sales!$D$3:$D$500,Sales!$C$3:$C$500,$A180,Sales!$B$3:$B$500,"&lt;="&amp;DATE($B180-1,12,31))&gt;0,0,SUMIFS('Asset Value'!$F$4:$F$500,'Asset Value'!$C$4:$C$500,$A180,'Asset Value'!$B$4:$B$500,$B180-1)/1000)</f>
        <v>279570</v>
      </c>
      <c r="E180" s="9" t="n">
        <f aca="false">IF(SUMIFS(Sales!$D$3:$D$500,Sales!$C$3:$C$500,$A180,Sales!$B$3:$B$500,"&gt;="&amp;DATE($B180,1,1),Sales!$B$3:$B$500,"&lt;="&amp;DATE($B180,12,31))&gt;0,SUMIFS(Sales!$D$3:$D$500,Sales!$C$3:$C$500,$A180,Sales!$B$3:$B$500,"&gt;="&amp;DATE($B180,1,1),Sales!$B$3:$B$500,"&lt;="&amp;DATE($B180,12,31))/1000,SUMIFS('Asset Value'!$F$4:$F$500,'Asset Value'!$C$4:$C$500,$A180,'Asset Value'!$B$4:$B$500,$B180)/1000)</f>
        <v>290580</v>
      </c>
      <c r="F180" s="9" t="n">
        <f aca="false">SUMIFS(Rent!$E$3:$E$500,Rent!$D$3:$D$500,$A180,Rent!$C$3:$C$500,$B180)/1000</f>
        <v>9251</v>
      </c>
      <c r="G180" s="9" t="n">
        <f aca="false">SUMIFS(Costs!$D$3:$D$500,Costs!$C$3:$C$500,$A180,Costs!$B$3:$B$500,"&gt;="&amp;DATE($B180,1,1),Costs!$B$3:$B$500,"&lt;="&amp;DATE($B180,12,31))/1000</f>
        <v>0</v>
      </c>
      <c r="H180" s="9" t="n">
        <f aca="false">SUMIFS('Partial Sales'!$D$3:$D$500,'Partial Sales'!$C$3:$C$500,$A180,'Partial Sales'!$B$3:$B$500,"&gt;="&amp;DATE($B180,1,1),'Partial Sales'!$B$3:$B$500,"&lt;="&amp;DATE($B180,12,31))/1000</f>
        <v>0</v>
      </c>
      <c r="I180" s="9" t="n">
        <f aca="false">SUMIFS('Partial Purchases'!$D$3:$D$500,'Partial Purchases'!$C$3:$C$500,$A180,'Partial Purchases'!$B$3:$B$500,"&gt;="&amp;DATE($B180,1,1),'Partial Purchases'!$B$3:$B$500,"&lt;="&amp;DATE($B180,12,31))/1000</f>
        <v>0</v>
      </c>
      <c r="J180" s="9" t="n">
        <f aca="false">C180*(D180+0.5*(G180-H180+I180-F180))</f>
        <v>274944.5</v>
      </c>
      <c r="K180" s="9" t="n">
        <f aca="false">C180*(E180-D180+H180-G180-I180)</f>
        <v>11010</v>
      </c>
      <c r="L180" s="13" t="n">
        <f aca="false">IF(J180=0,"",C180*F180/J180)</f>
        <v>0.0336467905340896</v>
      </c>
      <c r="M180" s="13" t="n">
        <f aca="false">IF(J180=0,"",K180/J180)</f>
        <v>0.0400444453335128</v>
      </c>
      <c r="N180" s="13" t="n">
        <f aca="false">IF(J180=0,"",L180+M180)</f>
        <v>0.0736912358676024</v>
      </c>
    </row>
    <row r="181" customFormat="false" ht="15" hidden="false" customHeight="false" outlineLevel="0" collapsed="false">
      <c r="A181" s="8" t="s">
        <v>26</v>
      </c>
      <c r="B181" s="46" t="n">
        <v>2013</v>
      </c>
      <c r="C181" s="10" t="n">
        <f aca="false">IF(D181&gt;0,1,0)</f>
        <v>1</v>
      </c>
      <c r="D181" s="9" t="n">
        <f aca="false">IF(SUMIFS(Sales!$D$3:$D$500,Sales!$C$3:$C$500,$A181,Sales!$B$3:$B$500,"&lt;="&amp;DATE($B181-1,12,31))&gt;0,0,SUMIFS('Asset Value'!$F$4:$F$500,'Asset Value'!$C$4:$C$500,$A181,'Asset Value'!$B$4:$B$500,$B181-1)/1000)</f>
        <v>290580</v>
      </c>
      <c r="E181" s="9" t="n">
        <f aca="false">IF(SUMIFS(Sales!$D$3:$D$500,Sales!$C$3:$C$500,$A181,Sales!$B$3:$B$500,"&gt;="&amp;DATE($B181,1,1),Sales!$B$3:$B$500,"&lt;="&amp;DATE($B181,12,31))&gt;0,SUMIFS(Sales!$D$3:$D$500,Sales!$C$3:$C$500,$A181,Sales!$B$3:$B$500,"&gt;="&amp;DATE($B181,1,1),Sales!$B$3:$B$500,"&lt;="&amp;DATE($B181,12,31))/1000,SUMIFS('Asset Value'!$F$4:$F$500,'Asset Value'!$C$4:$C$500,$A181,'Asset Value'!$B$4:$B$500,$B181)/1000)</f>
        <v>298605</v>
      </c>
      <c r="F181" s="9" t="n">
        <f aca="false">SUMIFS(Rent!$E$3:$E$500,Rent!$D$3:$D$500,$A181,Rent!$C$3:$C$500,$B181)/1000</f>
        <v>8677</v>
      </c>
      <c r="G181" s="9" t="n">
        <f aca="false">SUMIFS(Costs!$D$3:$D$500,Costs!$C$3:$C$500,$A181,Costs!$B$3:$B$500,"&gt;="&amp;DATE($B181,1,1),Costs!$B$3:$B$500,"&lt;="&amp;DATE($B181,12,31))/1000</f>
        <v>0</v>
      </c>
      <c r="H181" s="9" t="n">
        <f aca="false">SUMIFS('Partial Sales'!$D$3:$D$500,'Partial Sales'!$C$3:$C$500,$A181,'Partial Sales'!$B$3:$B$500,"&gt;="&amp;DATE($B181,1,1),'Partial Sales'!$B$3:$B$500,"&lt;="&amp;DATE($B181,12,31))/1000</f>
        <v>0</v>
      </c>
      <c r="I181" s="9" t="n">
        <f aca="false">SUMIFS('Partial Purchases'!$D$3:$D$500,'Partial Purchases'!$C$3:$C$500,$A181,'Partial Purchases'!$B$3:$B$500,"&gt;="&amp;DATE($B181,1,1),'Partial Purchases'!$B$3:$B$500,"&lt;="&amp;DATE($B181,12,31))/1000</f>
        <v>0</v>
      </c>
      <c r="J181" s="9" t="n">
        <f aca="false">C181*(D181+0.5*(G181-H181+I181-F181))</f>
        <v>286241.5</v>
      </c>
      <c r="K181" s="9" t="n">
        <f aca="false">C181*(E181-D181+H181-G181-I181)</f>
        <v>8025</v>
      </c>
      <c r="L181" s="13" t="n">
        <f aca="false">IF(J181=0,"",C181*F181/J181)</f>
        <v>0.0303135638962205</v>
      </c>
      <c r="M181" s="13" t="n">
        <f aca="false">IF(J181=0,"",K181/J181)</f>
        <v>0.0280357670009415</v>
      </c>
      <c r="N181" s="13" t="n">
        <f aca="false">IF(J181=0,"",L181+M181)</f>
        <v>0.058349330897162</v>
      </c>
    </row>
    <row r="182" customFormat="false" ht="15" hidden="false" customHeight="false" outlineLevel="0" collapsed="false">
      <c r="A182" s="8" t="s">
        <v>26</v>
      </c>
      <c r="B182" s="46" t="n">
        <v>2014</v>
      </c>
      <c r="C182" s="10" t="n">
        <f aca="false">IF(D182&gt;0,1,0)</f>
        <v>1</v>
      </c>
      <c r="D182" s="9" t="n">
        <f aca="false">IF(SUMIFS(Sales!$D$3:$D$500,Sales!$C$3:$C$500,$A182,Sales!$B$3:$B$500,"&lt;="&amp;DATE($B182-1,12,31))&gt;0,0,SUMIFS('Asset Value'!$F$4:$F$500,'Asset Value'!$C$4:$C$500,$A182,'Asset Value'!$B$4:$B$500,$B182-1)/1000)</f>
        <v>298605</v>
      </c>
      <c r="E182" s="9" t="n">
        <f aca="false">IF(SUMIFS(Sales!$D$3:$D$500,Sales!$C$3:$C$500,$A182,Sales!$B$3:$B$500,"&gt;="&amp;DATE($B182,1,1),Sales!$B$3:$B$500,"&lt;="&amp;DATE($B182,12,31))&gt;0,SUMIFS(Sales!$D$3:$D$500,Sales!$C$3:$C$500,$A182,Sales!$B$3:$B$500,"&gt;="&amp;DATE($B182,1,1),Sales!$B$3:$B$500,"&lt;="&amp;DATE($B182,12,31))/1000,SUMIFS('Asset Value'!$F$4:$F$500,'Asset Value'!$C$4:$C$500,$A182,'Asset Value'!$B$4:$B$500,$B182)/1000)</f>
        <v>420555</v>
      </c>
      <c r="F182" s="9" t="n">
        <f aca="false">SUMIFS(Rent!$E$3:$E$500,Rent!$D$3:$D$500,$A182,Rent!$C$3:$C$500,$B182)/1000</f>
        <v>15146</v>
      </c>
      <c r="G182" s="9" t="n">
        <f aca="false">SUMIFS(Costs!$D$3:$D$500,Costs!$C$3:$C$500,$A182,Costs!$B$3:$B$500,"&gt;="&amp;DATE($B182,1,1),Costs!$B$3:$B$500,"&lt;="&amp;DATE($B182,12,31))/1000</f>
        <v>0</v>
      </c>
      <c r="H182" s="9" t="n">
        <f aca="false">SUMIFS('Partial Sales'!$D$3:$D$500,'Partial Sales'!$C$3:$C$500,$A182,'Partial Sales'!$B$3:$B$500,"&gt;="&amp;DATE($B182,1,1),'Partial Sales'!$B$3:$B$500,"&lt;="&amp;DATE($B182,12,31))/1000</f>
        <v>0</v>
      </c>
      <c r="I182" s="9" t="n">
        <f aca="false">SUMIFS('Partial Purchases'!$D$3:$D$500,'Partial Purchases'!$C$3:$C$500,$A182,'Partial Purchases'!$B$3:$B$500,"&gt;="&amp;DATE($B182,1,1),'Partial Purchases'!$B$3:$B$500,"&lt;="&amp;DATE($B182,12,31))/1000</f>
        <v>0</v>
      </c>
      <c r="J182" s="9" t="n">
        <f aca="false">C182*(D182+0.5*(G182-H182+I182-F182))</f>
        <v>291032</v>
      </c>
      <c r="K182" s="9" t="n">
        <f aca="false">C182*(E182-D182+H182-G182-I182)</f>
        <v>121950</v>
      </c>
      <c r="L182" s="13" t="n">
        <f aca="false">IF(J182=0,"",C182*F182/J182)</f>
        <v>0.0520423870914539</v>
      </c>
      <c r="M182" s="13" t="n">
        <f aca="false">IF(J182=0,"",K182/J182)</f>
        <v>0.419026086478463</v>
      </c>
      <c r="N182" s="13" t="n">
        <f aca="false">IF(J182=0,"",L182+M182)</f>
        <v>0.471068473569917</v>
      </c>
    </row>
    <row r="183" customFormat="false" ht="15" hidden="false" customHeight="false" outlineLevel="0" collapsed="false">
      <c r="A183" s="47" t="s">
        <v>26</v>
      </c>
      <c r="B183" s="48" t="n">
        <v>2015</v>
      </c>
      <c r="C183" s="49" t="n">
        <f aca="false">IF(D183&gt;0,1,0)</f>
        <v>1</v>
      </c>
      <c r="D183" s="50" t="n">
        <f aca="false">IF(SUMIFS(Sales!$D$3:$D$500,Sales!$C$3:$C$500,$A183,Sales!$B$3:$B$500,"&lt;="&amp;DATE($B183-1,12,31))&gt;0,0,SUMIFS('Asset Value'!$F$4:$F$500,'Asset Value'!$C$4:$C$500,$A183,'Asset Value'!$B$4:$B$500,$B183-1)/1000)</f>
        <v>420555</v>
      </c>
      <c r="E183" s="50" t="n">
        <f aca="false">IF(SUMIFS(Sales!$D$3:$D$500,Sales!$C$3:$C$500,$A183,Sales!$B$3:$B$500,"&gt;="&amp;DATE($B183,1,1),Sales!$B$3:$B$500,"&lt;="&amp;DATE($B183,12,31))&gt;0,SUMIFS(Sales!$D$3:$D$500,Sales!$C$3:$C$500,$A183,Sales!$B$3:$B$500,"&gt;="&amp;DATE($B183,1,1),Sales!$B$3:$B$500,"&lt;="&amp;DATE($B183,12,31))/1000,SUMIFS('Asset Value'!$F$4:$F$500,'Asset Value'!$C$4:$C$500,$A183,'Asset Value'!$B$4:$B$500,$B183)/1000)</f>
        <v>450910</v>
      </c>
      <c r="F183" s="50" t="n">
        <f aca="false">SUMIFS(Rent!$E$3:$E$500,Rent!$D$3:$D$500,$A183,Rent!$C$3:$C$500,$B183)/1000</f>
        <v>17733</v>
      </c>
      <c r="G183" s="50" t="n">
        <f aca="false">SUMIFS(Costs!$D$3:$D$500,Costs!$C$3:$C$500,$A183,Costs!$B$3:$B$500,"&gt;="&amp;DATE($B183,1,1),Costs!$B$3:$B$500,"&lt;="&amp;DATE($B183,12,31))/1000</f>
        <v>0</v>
      </c>
      <c r="H183" s="50" t="n">
        <f aca="false">SUMIFS('Partial Sales'!$D$3:$D$500,'Partial Sales'!$C$3:$C$500,$A183,'Partial Sales'!$B$3:$B$500,"&gt;="&amp;DATE($B183,1,1),'Partial Sales'!$B$3:$B$500,"&lt;="&amp;DATE($B183,12,31))/1000</f>
        <v>0</v>
      </c>
      <c r="I183" s="50" t="n">
        <f aca="false">SUMIFS('Partial Purchases'!$D$3:$D$500,'Partial Purchases'!$C$3:$C$500,$A183,'Partial Purchases'!$B$3:$B$500,"&gt;="&amp;DATE($B183,1,1),'Partial Purchases'!$B$3:$B$500,"&lt;="&amp;DATE($B183,12,31))/1000</f>
        <v>0</v>
      </c>
      <c r="J183" s="50" t="n">
        <f aca="false">C183*(D183+0.5*(G183-H183+I183-F183))</f>
        <v>411688.5</v>
      </c>
      <c r="K183" s="50" t="n">
        <f aca="false">C183*(E183-D183+H183-G183-I183)</f>
        <v>30355</v>
      </c>
      <c r="L183" s="44" t="n">
        <f aca="false">IF(J183=0,"",C183*F183/J183)</f>
        <v>0.0430738288779016</v>
      </c>
      <c r="M183" s="44" t="n">
        <f aca="false">IF(J183=0,"",K183/J183)</f>
        <v>0.0737329315732647</v>
      </c>
      <c r="N183" s="44" t="n">
        <f aca="false">IF(J183=0,"",L183+M183)</f>
        <v>0.116806760451166</v>
      </c>
    </row>
    <row r="184" customFormat="false" ht="15" hidden="false" customHeight="false" outlineLevel="0" collapsed="false">
      <c r="A184" s="8" t="s">
        <v>27</v>
      </c>
      <c r="B184" s="46" t="n">
        <v>2008</v>
      </c>
      <c r="C184" s="10" t="n">
        <f aca="false">IF(D184&gt;0,1,0)</f>
        <v>0</v>
      </c>
      <c r="D184" s="9" t="n">
        <f aca="false">IF(SUMIFS(Sales!$D$3:$D$500,Sales!$C$3:$C$500,$A184,Sales!$B$3:$B$500,"&lt;="&amp;DATE($B184-1,12,31))&gt;0,0,SUMIFS('Asset Value'!$F$4:$F$500,'Asset Value'!$C$4:$C$500,$A184,'Asset Value'!$B$4:$B$500,$B184-1)/1000)</f>
        <v>0</v>
      </c>
      <c r="E184" s="9" t="n">
        <f aca="false">IF(SUMIFS(Sales!$D$3:$D$500,Sales!$C$3:$C$500,$A184,Sales!$B$3:$B$500,"&gt;="&amp;DATE($B184,1,1),Sales!$B$3:$B$500,"&lt;="&amp;DATE($B184,12,31))&gt;0,SUMIFS(Sales!$D$3:$D$500,Sales!$C$3:$C$500,$A184,Sales!$B$3:$B$500,"&gt;="&amp;DATE($B184,1,1),Sales!$B$3:$B$500,"&lt;="&amp;DATE($B184,12,31))/1000,SUMIFS('Asset Value'!$F$4:$F$500,'Asset Value'!$C$4:$C$500,$A184,'Asset Value'!$B$4:$B$500,$B184)/1000)</f>
        <v>0</v>
      </c>
      <c r="F184" s="9" t="n">
        <f aca="false">SUMIFS(Rent!$E$3:$E$500,Rent!$D$3:$D$500,$A184,Rent!$C$3:$C$500,$B184)/1000</f>
        <v>0</v>
      </c>
      <c r="G184" s="9" t="n">
        <f aca="false">SUMIFS(Costs!$D$3:$D$500,Costs!$C$3:$C$500,$A184,Costs!$B$3:$B$500,"&gt;="&amp;DATE($B184,1,1),Costs!$B$3:$B$500,"&lt;="&amp;DATE($B184,12,31))/1000</f>
        <v>0</v>
      </c>
      <c r="H184" s="9" t="n">
        <f aca="false">SUMIFS('Partial Sales'!$D$3:$D$500,'Partial Sales'!$C$3:$C$500,$A184,'Partial Sales'!$B$3:$B$500,"&gt;="&amp;DATE($B184,1,1),'Partial Sales'!$B$3:$B$500,"&lt;="&amp;DATE($B184,12,31))/1000</f>
        <v>0</v>
      </c>
      <c r="I184" s="9" t="n">
        <f aca="false">SUMIFS('Partial Purchases'!$D$3:$D$500,'Partial Purchases'!$C$3:$C$500,$A184,'Partial Purchases'!$B$3:$B$500,"&gt;="&amp;DATE($B184,1,1),'Partial Purchases'!$B$3:$B$500,"&lt;="&amp;DATE($B184,12,31))/1000</f>
        <v>0</v>
      </c>
      <c r="J184" s="9" t="n">
        <f aca="false">C184*(D184+0.5*(G184-H184+I184-F184))</f>
        <v>0</v>
      </c>
      <c r="K184" s="9" t="n">
        <f aca="false">C184*(E184-D184+H184-G184-I184)</f>
        <v>0</v>
      </c>
      <c r="L184" s="13" t="str">
        <f aca="false">IF(J184=0,"",C184*F184/J184)</f>
        <v/>
      </c>
      <c r="M184" s="13" t="str">
        <f aca="false">IF(J184=0,"",K184/J184)</f>
        <v/>
      </c>
      <c r="N184" s="13" t="str">
        <f aca="false">IF(J184=0,"",L184+M184)</f>
        <v/>
      </c>
    </row>
    <row r="185" customFormat="false" ht="15" hidden="false" customHeight="false" outlineLevel="0" collapsed="false">
      <c r="A185" s="8" t="s">
        <v>27</v>
      </c>
      <c r="B185" s="46" t="n">
        <v>2009</v>
      </c>
      <c r="C185" s="10" t="n">
        <f aca="false">IF(D185&gt;0,1,0)</f>
        <v>0</v>
      </c>
      <c r="D185" s="9" t="n">
        <f aca="false">IF(SUMIFS(Sales!$D$3:$D$500,Sales!$C$3:$C$500,$A185,Sales!$B$3:$B$500,"&lt;="&amp;DATE($B185-1,12,31))&gt;0,0,SUMIFS('Asset Value'!$F$4:$F$500,'Asset Value'!$C$4:$C$500,$A185,'Asset Value'!$B$4:$B$500,$B185-1)/1000)</f>
        <v>0</v>
      </c>
      <c r="E185" s="9" t="n">
        <f aca="false">IF(SUMIFS(Sales!$D$3:$D$500,Sales!$C$3:$C$500,$A185,Sales!$B$3:$B$500,"&gt;="&amp;DATE($B185,1,1),Sales!$B$3:$B$500,"&lt;="&amp;DATE($B185,12,31))&gt;0,SUMIFS(Sales!$D$3:$D$500,Sales!$C$3:$C$500,$A185,Sales!$B$3:$B$500,"&gt;="&amp;DATE($B185,1,1),Sales!$B$3:$B$500,"&lt;="&amp;DATE($B185,12,31))/1000,SUMIFS('Asset Value'!$F$4:$F$500,'Asset Value'!$C$4:$C$500,$A185,'Asset Value'!$B$4:$B$500,$B185)/1000)</f>
        <v>0</v>
      </c>
      <c r="F185" s="9" t="n">
        <f aca="false">SUMIFS(Rent!$E$3:$E$500,Rent!$D$3:$D$500,$A185,Rent!$C$3:$C$500,$B185)/1000</f>
        <v>0</v>
      </c>
      <c r="G185" s="9" t="n">
        <f aca="false">SUMIFS(Costs!$D$3:$D$500,Costs!$C$3:$C$500,$A185,Costs!$B$3:$B$500,"&gt;="&amp;DATE($B185,1,1),Costs!$B$3:$B$500,"&lt;="&amp;DATE($B185,12,31))/1000</f>
        <v>0</v>
      </c>
      <c r="H185" s="9" t="n">
        <f aca="false">SUMIFS('Partial Sales'!$D$3:$D$500,'Partial Sales'!$C$3:$C$500,$A185,'Partial Sales'!$B$3:$B$500,"&gt;="&amp;DATE($B185,1,1),'Partial Sales'!$B$3:$B$500,"&lt;="&amp;DATE($B185,12,31))/1000</f>
        <v>0</v>
      </c>
      <c r="I185" s="9" t="n">
        <f aca="false">SUMIFS('Partial Purchases'!$D$3:$D$500,'Partial Purchases'!$C$3:$C$500,$A185,'Partial Purchases'!$B$3:$B$500,"&gt;="&amp;DATE($B185,1,1),'Partial Purchases'!$B$3:$B$500,"&lt;="&amp;DATE($B185,12,31))/1000</f>
        <v>0</v>
      </c>
      <c r="J185" s="9" t="n">
        <f aca="false">C185*(D185+0.5*(G185-H185+I185-F185))</f>
        <v>0</v>
      </c>
      <c r="K185" s="9" t="n">
        <f aca="false">C185*(E185-D185+H185-G185-I185)</f>
        <v>0</v>
      </c>
      <c r="L185" s="13" t="str">
        <f aca="false">IF(J185=0,"",C185*F185/J185)</f>
        <v/>
      </c>
      <c r="M185" s="13" t="str">
        <f aca="false">IF(J185=0,"",K185/J185)</f>
        <v/>
      </c>
      <c r="N185" s="13" t="str">
        <f aca="false">IF(J185=0,"",L185+M185)</f>
        <v/>
      </c>
    </row>
    <row r="186" customFormat="false" ht="15" hidden="false" customHeight="false" outlineLevel="0" collapsed="false">
      <c r="A186" s="8" t="s">
        <v>27</v>
      </c>
      <c r="B186" s="46" t="n">
        <v>2010</v>
      </c>
      <c r="C186" s="10" t="n">
        <f aca="false">IF(D186&gt;0,1,0)</f>
        <v>0</v>
      </c>
      <c r="D186" s="9" t="n">
        <f aca="false">IF(SUMIFS(Sales!$D$3:$D$500,Sales!$C$3:$C$500,$A186,Sales!$B$3:$B$500,"&lt;="&amp;DATE($B186-1,12,31))&gt;0,0,SUMIFS('Asset Value'!$F$4:$F$500,'Asset Value'!$C$4:$C$500,$A186,'Asset Value'!$B$4:$B$500,$B186-1)/1000)</f>
        <v>0</v>
      </c>
      <c r="E186" s="9" t="n">
        <f aca="false">IF(SUMIFS(Sales!$D$3:$D$500,Sales!$C$3:$C$500,$A186,Sales!$B$3:$B$500,"&gt;="&amp;DATE($B186,1,1),Sales!$B$3:$B$500,"&lt;="&amp;DATE($B186,12,31))&gt;0,SUMIFS(Sales!$D$3:$D$500,Sales!$C$3:$C$500,$A186,Sales!$B$3:$B$500,"&gt;="&amp;DATE($B186,1,1),Sales!$B$3:$B$500,"&lt;="&amp;DATE($B186,12,31))/1000,SUMIFS('Asset Value'!$F$4:$F$500,'Asset Value'!$C$4:$C$500,$A186,'Asset Value'!$B$4:$B$500,$B186)/1000)</f>
        <v>0</v>
      </c>
      <c r="F186" s="9" t="n">
        <f aca="false">SUMIFS(Rent!$E$3:$E$500,Rent!$D$3:$D$500,$A186,Rent!$C$3:$C$500,$B186)/1000</f>
        <v>0</v>
      </c>
      <c r="G186" s="9" t="n">
        <f aca="false">SUMIFS(Costs!$D$3:$D$500,Costs!$C$3:$C$500,$A186,Costs!$B$3:$B$500,"&gt;="&amp;DATE($B186,1,1),Costs!$B$3:$B$500,"&lt;="&amp;DATE($B186,12,31))/1000</f>
        <v>0</v>
      </c>
      <c r="H186" s="9" t="n">
        <f aca="false">SUMIFS('Partial Sales'!$D$3:$D$500,'Partial Sales'!$C$3:$C$500,$A186,'Partial Sales'!$B$3:$B$500,"&gt;="&amp;DATE($B186,1,1),'Partial Sales'!$B$3:$B$500,"&lt;="&amp;DATE($B186,12,31))/1000</f>
        <v>0</v>
      </c>
      <c r="I186" s="9" t="n">
        <f aca="false">SUMIFS('Partial Purchases'!$D$3:$D$500,'Partial Purchases'!$C$3:$C$500,$A186,'Partial Purchases'!$B$3:$B$500,"&gt;="&amp;DATE($B186,1,1),'Partial Purchases'!$B$3:$B$500,"&lt;="&amp;DATE($B186,12,31))/1000</f>
        <v>0</v>
      </c>
      <c r="J186" s="9" t="n">
        <f aca="false">C186*(D186+0.5*(G186-H186+I186-F186))</f>
        <v>0</v>
      </c>
      <c r="K186" s="9" t="n">
        <f aca="false">C186*(E186-D186+H186-G186-I186)</f>
        <v>0</v>
      </c>
      <c r="L186" s="13" t="str">
        <f aca="false">IF(J186=0,"",C186*F186/J186)</f>
        <v/>
      </c>
      <c r="M186" s="13" t="str">
        <f aca="false">IF(J186=0,"",K186/J186)</f>
        <v/>
      </c>
      <c r="N186" s="13" t="str">
        <f aca="false">IF(J186=0,"",L186+M186)</f>
        <v/>
      </c>
    </row>
    <row r="187" customFormat="false" ht="15" hidden="false" customHeight="false" outlineLevel="0" collapsed="false">
      <c r="A187" s="8" t="s">
        <v>27</v>
      </c>
      <c r="B187" s="46" t="n">
        <v>2011</v>
      </c>
      <c r="C187" s="10" t="n">
        <f aca="false">IF(D187&gt;0,1,0)</f>
        <v>0</v>
      </c>
      <c r="D187" s="9" t="n">
        <f aca="false">IF(SUMIFS(Sales!$D$3:$D$500,Sales!$C$3:$C$500,$A187,Sales!$B$3:$B$500,"&lt;="&amp;DATE($B187-1,12,31))&gt;0,0,SUMIFS('Asset Value'!$F$4:$F$500,'Asset Value'!$C$4:$C$500,$A187,'Asset Value'!$B$4:$B$500,$B187-1)/1000)</f>
        <v>0</v>
      </c>
      <c r="E187" s="9" t="n">
        <f aca="false">IF(SUMIFS(Sales!$D$3:$D$500,Sales!$C$3:$C$500,$A187,Sales!$B$3:$B$500,"&gt;="&amp;DATE($B187,1,1),Sales!$B$3:$B$500,"&lt;="&amp;DATE($B187,12,31))&gt;0,SUMIFS(Sales!$D$3:$D$500,Sales!$C$3:$C$500,$A187,Sales!$B$3:$B$500,"&gt;="&amp;DATE($B187,1,1),Sales!$B$3:$B$500,"&lt;="&amp;DATE($B187,12,31))/1000,SUMIFS('Asset Value'!$F$4:$F$500,'Asset Value'!$C$4:$C$500,$A187,'Asset Value'!$B$4:$B$500,$B187)/1000)</f>
        <v>0</v>
      </c>
      <c r="F187" s="9" t="n">
        <f aca="false">SUMIFS(Rent!$E$3:$E$500,Rent!$D$3:$D$500,$A187,Rent!$C$3:$C$500,$B187)/1000</f>
        <v>0</v>
      </c>
      <c r="G187" s="9" t="n">
        <f aca="false">SUMIFS(Costs!$D$3:$D$500,Costs!$C$3:$C$500,$A187,Costs!$B$3:$B$500,"&gt;="&amp;DATE($B187,1,1),Costs!$B$3:$B$500,"&lt;="&amp;DATE($B187,12,31))/1000</f>
        <v>0</v>
      </c>
      <c r="H187" s="9" t="n">
        <f aca="false">SUMIFS('Partial Sales'!$D$3:$D$500,'Partial Sales'!$C$3:$C$500,$A187,'Partial Sales'!$B$3:$B$500,"&gt;="&amp;DATE($B187,1,1),'Partial Sales'!$B$3:$B$500,"&lt;="&amp;DATE($B187,12,31))/1000</f>
        <v>0</v>
      </c>
      <c r="I187" s="9" t="n">
        <f aca="false">SUMIFS('Partial Purchases'!$D$3:$D$500,'Partial Purchases'!$C$3:$C$500,$A187,'Partial Purchases'!$B$3:$B$500,"&gt;="&amp;DATE($B187,1,1),'Partial Purchases'!$B$3:$B$500,"&lt;="&amp;DATE($B187,12,31))/1000</f>
        <v>0</v>
      </c>
      <c r="J187" s="9" t="n">
        <f aca="false">C187*(D187+0.5*(G187-H187+I187-F187))</f>
        <v>0</v>
      </c>
      <c r="K187" s="9" t="n">
        <f aca="false">C187*(E187-D187+H187-G187-I187)</f>
        <v>0</v>
      </c>
      <c r="L187" s="13" t="str">
        <f aca="false">IF(J187=0,"",C187*F187/J187)</f>
        <v/>
      </c>
      <c r="M187" s="13" t="str">
        <f aca="false">IF(J187=0,"",K187/J187)</f>
        <v/>
      </c>
      <c r="N187" s="13" t="str">
        <f aca="false">IF(J187=0,"",L187+M187)</f>
        <v/>
      </c>
    </row>
    <row r="188" customFormat="false" ht="15" hidden="false" customHeight="false" outlineLevel="0" collapsed="false">
      <c r="A188" s="8" t="s">
        <v>27</v>
      </c>
      <c r="B188" s="46" t="n">
        <v>2012</v>
      </c>
      <c r="C188" s="10" t="n">
        <f aca="false">IF(D188&gt;0,1,0)</f>
        <v>0</v>
      </c>
      <c r="D188" s="9" t="n">
        <f aca="false">IF(SUMIFS(Sales!$D$3:$D$500,Sales!$C$3:$C$500,$A188,Sales!$B$3:$B$500,"&lt;="&amp;DATE($B188-1,12,31))&gt;0,0,SUMIFS('Asset Value'!$F$4:$F$500,'Asset Value'!$C$4:$C$500,$A188,'Asset Value'!$B$4:$B$500,$B188-1)/1000)</f>
        <v>0</v>
      </c>
      <c r="E188" s="9" t="n">
        <f aca="false">IF(SUMIFS(Sales!$D$3:$D$500,Sales!$C$3:$C$500,$A188,Sales!$B$3:$B$500,"&gt;="&amp;DATE($B188,1,1),Sales!$B$3:$B$500,"&lt;="&amp;DATE($B188,12,31))&gt;0,SUMIFS(Sales!$D$3:$D$500,Sales!$C$3:$C$500,$A188,Sales!$B$3:$B$500,"&gt;="&amp;DATE($B188,1,1),Sales!$B$3:$B$500,"&lt;="&amp;DATE($B188,12,31))/1000,SUMIFS('Asset Value'!$F$4:$F$500,'Asset Value'!$C$4:$C$500,$A188,'Asset Value'!$B$4:$B$500,$B188)/1000)</f>
        <v>41600</v>
      </c>
      <c r="F188" s="9" t="n">
        <f aca="false">SUMIFS(Rent!$E$3:$E$500,Rent!$D$3:$D$500,$A188,Rent!$C$3:$C$500,$B188)/1000</f>
        <v>1287</v>
      </c>
      <c r="G188" s="9" t="n">
        <f aca="false">SUMIFS(Costs!$D$3:$D$500,Costs!$C$3:$C$500,$A188,Costs!$B$3:$B$500,"&gt;="&amp;DATE($B188,1,1),Costs!$B$3:$B$500,"&lt;="&amp;DATE($B188,12,31))/1000</f>
        <v>0</v>
      </c>
      <c r="H188" s="9" t="n">
        <f aca="false">SUMIFS('Partial Sales'!$D$3:$D$500,'Partial Sales'!$C$3:$C$500,$A188,'Partial Sales'!$B$3:$B$500,"&gt;="&amp;DATE($B188,1,1),'Partial Sales'!$B$3:$B$500,"&lt;="&amp;DATE($B188,12,31))/1000</f>
        <v>0</v>
      </c>
      <c r="I188" s="9" t="n">
        <f aca="false">SUMIFS('Partial Purchases'!$D$3:$D$500,'Partial Purchases'!$C$3:$C$500,$A188,'Partial Purchases'!$B$3:$B$500,"&gt;="&amp;DATE($B188,1,1),'Partial Purchases'!$B$3:$B$500,"&lt;="&amp;DATE($B188,12,31))/1000</f>
        <v>0</v>
      </c>
      <c r="J188" s="9" t="n">
        <f aca="false">C188*(D188+0.5*(G188-H188+I188-F188))</f>
        <v>-0</v>
      </c>
      <c r="K188" s="9" t="n">
        <f aca="false">C188*(E188-D188+H188-G188-I188)</f>
        <v>0</v>
      </c>
      <c r="L188" s="13" t="str">
        <f aca="false">IF(J188=0,"",C188*F188/J188)</f>
        <v/>
      </c>
      <c r="M188" s="13" t="str">
        <f aca="false">IF(J188=0,"",K188/J188)</f>
        <v/>
      </c>
      <c r="N188" s="13" t="str">
        <f aca="false">IF(J188=0,"",L188+M188)</f>
        <v/>
      </c>
    </row>
    <row r="189" customFormat="false" ht="15" hidden="false" customHeight="false" outlineLevel="0" collapsed="false">
      <c r="A189" s="8" t="s">
        <v>27</v>
      </c>
      <c r="B189" s="46" t="n">
        <v>2013</v>
      </c>
      <c r="C189" s="10" t="n">
        <f aca="false">IF(D189&gt;0,1,0)</f>
        <v>1</v>
      </c>
      <c r="D189" s="9" t="n">
        <f aca="false">IF(SUMIFS(Sales!$D$3:$D$500,Sales!$C$3:$C$500,$A189,Sales!$B$3:$B$500,"&lt;="&amp;DATE($B189-1,12,31))&gt;0,0,SUMIFS('Asset Value'!$F$4:$F$500,'Asset Value'!$C$4:$C$500,$A189,'Asset Value'!$B$4:$B$500,$B189-1)/1000)</f>
        <v>41600</v>
      </c>
      <c r="E189" s="9" t="n">
        <f aca="false">IF(SUMIFS(Sales!$D$3:$D$500,Sales!$C$3:$C$500,$A189,Sales!$B$3:$B$500,"&gt;="&amp;DATE($B189,1,1),Sales!$B$3:$B$500,"&lt;="&amp;DATE($B189,12,31))&gt;0,SUMIFS(Sales!$D$3:$D$500,Sales!$C$3:$C$500,$A189,Sales!$B$3:$B$500,"&gt;="&amp;DATE($B189,1,1),Sales!$B$3:$B$500,"&lt;="&amp;DATE($B189,12,31))/1000,SUMIFS('Asset Value'!$F$4:$F$500,'Asset Value'!$C$4:$C$500,$A189,'Asset Value'!$B$4:$B$500,$B189)/1000)</f>
        <v>42627</v>
      </c>
      <c r="F189" s="9" t="n">
        <f aca="false">SUMIFS(Rent!$E$3:$E$500,Rent!$D$3:$D$500,$A189,Rent!$C$3:$C$500,$B189)/1000</f>
        <v>1207</v>
      </c>
      <c r="G189" s="9" t="n">
        <f aca="false">SUMIFS(Costs!$D$3:$D$500,Costs!$C$3:$C$500,$A189,Costs!$B$3:$B$500,"&gt;="&amp;DATE($B189,1,1),Costs!$B$3:$B$500,"&lt;="&amp;DATE($B189,12,31))/1000</f>
        <v>0</v>
      </c>
      <c r="H189" s="9" t="n">
        <f aca="false">SUMIFS('Partial Sales'!$D$3:$D$500,'Partial Sales'!$C$3:$C$500,$A189,'Partial Sales'!$B$3:$B$500,"&gt;="&amp;DATE($B189,1,1),'Partial Sales'!$B$3:$B$500,"&lt;="&amp;DATE($B189,12,31))/1000</f>
        <v>0</v>
      </c>
      <c r="I189" s="9" t="n">
        <f aca="false">SUMIFS('Partial Purchases'!$D$3:$D$500,'Partial Purchases'!$C$3:$C$500,$A189,'Partial Purchases'!$B$3:$B$500,"&gt;="&amp;DATE($B189,1,1),'Partial Purchases'!$B$3:$B$500,"&lt;="&amp;DATE($B189,12,31))/1000</f>
        <v>0</v>
      </c>
      <c r="J189" s="9" t="n">
        <f aca="false">C189*(D189+0.5*(G189-H189+I189-F189))</f>
        <v>40996.5</v>
      </c>
      <c r="K189" s="9" t="n">
        <f aca="false">C189*(E189-D189+H189-G189-I189)</f>
        <v>1027</v>
      </c>
      <c r="L189" s="13" t="n">
        <f aca="false">IF(J189=0,"",C189*F189/J189)</f>
        <v>0.029441537692242</v>
      </c>
      <c r="M189" s="13" t="n">
        <f aca="false">IF(J189=0,"",K189/J189)</f>
        <v>0.0250509189808886</v>
      </c>
      <c r="N189" s="13" t="n">
        <f aca="false">IF(J189=0,"",L189+M189)</f>
        <v>0.0544924566731306</v>
      </c>
    </row>
    <row r="190" customFormat="false" ht="15" hidden="false" customHeight="false" outlineLevel="0" collapsed="false">
      <c r="A190" s="8" t="s">
        <v>27</v>
      </c>
      <c r="B190" s="46" t="n">
        <v>2014</v>
      </c>
      <c r="C190" s="10" t="n">
        <f aca="false">IF(D190&gt;0,1,0)</f>
        <v>1</v>
      </c>
      <c r="D190" s="9" t="n">
        <f aca="false">IF(SUMIFS(Sales!$D$3:$D$500,Sales!$C$3:$C$500,$A190,Sales!$B$3:$B$500,"&lt;="&amp;DATE($B190-1,12,31))&gt;0,0,SUMIFS('Asset Value'!$F$4:$F$500,'Asset Value'!$C$4:$C$500,$A190,'Asset Value'!$B$4:$B$500,$B190-1)/1000)</f>
        <v>42627</v>
      </c>
      <c r="E190" s="9" t="n">
        <f aca="false">IF(SUMIFS(Sales!$D$3:$D$500,Sales!$C$3:$C$500,$A190,Sales!$B$3:$B$500,"&gt;="&amp;DATE($B190,1,1),Sales!$B$3:$B$500,"&lt;="&amp;DATE($B190,12,31))&gt;0,SUMIFS(Sales!$D$3:$D$500,Sales!$C$3:$C$500,$A190,Sales!$B$3:$B$500,"&gt;="&amp;DATE($B190,1,1),Sales!$B$3:$B$500,"&lt;="&amp;DATE($B190,12,31))/1000,SUMIFS('Asset Value'!$F$4:$F$500,'Asset Value'!$C$4:$C$500,$A190,'Asset Value'!$B$4:$B$500,$B190)/1000)</f>
        <v>0</v>
      </c>
      <c r="F190" s="9" t="n">
        <f aca="false">SUMIFS(Rent!$E$3:$E$500,Rent!$D$3:$D$500,$A190,Rent!$C$3:$C$500,$B190)/1000</f>
        <v>0</v>
      </c>
      <c r="G190" s="9" t="n">
        <f aca="false">SUMIFS(Costs!$D$3:$D$500,Costs!$C$3:$C$500,$A190,Costs!$B$3:$B$500,"&gt;="&amp;DATE($B190,1,1),Costs!$B$3:$B$500,"&lt;="&amp;DATE($B190,12,31))/1000</f>
        <v>0</v>
      </c>
      <c r="H190" s="9" t="n">
        <f aca="false">SUMIFS('Partial Sales'!$D$3:$D$500,'Partial Sales'!$C$3:$C$500,$A190,'Partial Sales'!$B$3:$B$500,"&gt;="&amp;DATE($B190,1,1),'Partial Sales'!$B$3:$B$500,"&lt;="&amp;DATE($B190,12,31))/1000</f>
        <v>0</v>
      </c>
      <c r="I190" s="9" t="n">
        <f aca="false">SUMIFS('Partial Purchases'!$D$3:$D$500,'Partial Purchases'!$C$3:$C$500,$A190,'Partial Purchases'!$B$3:$B$500,"&gt;="&amp;DATE($B190,1,1),'Partial Purchases'!$B$3:$B$500,"&lt;="&amp;DATE($B190,12,31))/1000</f>
        <v>0</v>
      </c>
      <c r="J190" s="9" t="n">
        <f aca="false">C190*(D190+0.5*(G190-H190+I190-F190))</f>
        <v>42627</v>
      </c>
      <c r="K190" s="9" t="n">
        <f aca="false">C190*(E190-D190+H190-G190-I190)</f>
        <v>-42627</v>
      </c>
      <c r="L190" s="13" t="n">
        <f aca="false">IF(J190=0,"",C190*F190/J190)</f>
        <v>0</v>
      </c>
      <c r="M190" s="13" t="n">
        <f aca="false">IF(J190=0,"",K190/J190)</f>
        <v>-1</v>
      </c>
      <c r="N190" s="13" t="n">
        <f aca="false">IF(J190=0,"",L190+M190)</f>
        <v>-1</v>
      </c>
    </row>
    <row r="191" customFormat="false" ht="15" hidden="false" customHeight="false" outlineLevel="0" collapsed="false">
      <c r="A191" s="47" t="s">
        <v>27</v>
      </c>
      <c r="B191" s="48" t="n">
        <v>2015</v>
      </c>
      <c r="C191" s="49" t="n">
        <f aca="false">IF(D191&gt;0,1,0)</f>
        <v>0</v>
      </c>
      <c r="D191" s="50" t="n">
        <f aca="false">IF(SUMIFS(Sales!$D$3:$D$500,Sales!$C$3:$C$500,$A191,Sales!$B$3:$B$500,"&lt;="&amp;DATE($B191-1,12,31))&gt;0,0,SUMIFS('Asset Value'!$F$4:$F$500,'Asset Value'!$C$4:$C$500,$A191,'Asset Value'!$B$4:$B$500,$B191-1)/1000)</f>
        <v>0</v>
      </c>
      <c r="E191" s="50" t="n">
        <f aca="false">IF(SUMIFS(Sales!$D$3:$D$500,Sales!$C$3:$C$500,$A191,Sales!$B$3:$B$500,"&gt;="&amp;DATE($B191,1,1),Sales!$B$3:$B$500,"&lt;="&amp;DATE($B191,12,31))&gt;0,SUMIFS(Sales!$D$3:$D$500,Sales!$C$3:$C$500,$A191,Sales!$B$3:$B$500,"&gt;="&amp;DATE($B191,1,1),Sales!$B$3:$B$500,"&lt;="&amp;DATE($B191,12,31))/1000,SUMIFS('Asset Value'!$F$4:$F$500,'Asset Value'!$C$4:$C$500,$A191,'Asset Value'!$B$4:$B$500,$B191)/1000)</f>
        <v>0</v>
      </c>
      <c r="F191" s="50" t="n">
        <f aca="false">SUMIFS(Rent!$E$3:$E$500,Rent!$D$3:$D$500,$A191,Rent!$C$3:$C$500,$B191)/1000</f>
        <v>0</v>
      </c>
      <c r="G191" s="50" t="n">
        <f aca="false">SUMIFS(Costs!$D$3:$D$500,Costs!$C$3:$C$500,$A191,Costs!$B$3:$B$500,"&gt;="&amp;DATE($B191,1,1),Costs!$B$3:$B$500,"&lt;="&amp;DATE($B191,12,31))/1000</f>
        <v>0</v>
      </c>
      <c r="H191" s="50" t="n">
        <f aca="false">SUMIFS('Partial Sales'!$D$3:$D$500,'Partial Sales'!$C$3:$C$500,$A191,'Partial Sales'!$B$3:$B$500,"&gt;="&amp;DATE($B191,1,1),'Partial Sales'!$B$3:$B$500,"&lt;="&amp;DATE($B191,12,31))/1000</f>
        <v>0</v>
      </c>
      <c r="I191" s="50" t="n">
        <f aca="false">SUMIFS('Partial Purchases'!$D$3:$D$500,'Partial Purchases'!$C$3:$C$500,$A191,'Partial Purchases'!$B$3:$B$500,"&gt;="&amp;DATE($B191,1,1),'Partial Purchases'!$B$3:$B$500,"&lt;="&amp;DATE($B191,12,31))/1000</f>
        <v>0</v>
      </c>
      <c r="J191" s="50" t="n">
        <f aca="false">C191*(D191+0.5*(G191-H191+I191-F191))</f>
        <v>0</v>
      </c>
      <c r="K191" s="50" t="n">
        <f aca="false">C191*(E191-D191+H191-G191-I191)</f>
        <v>0</v>
      </c>
      <c r="L191" s="44" t="str">
        <f aca="false">IF(J191=0,"",C191*F191/J191)</f>
        <v/>
      </c>
      <c r="M191" s="44" t="str">
        <f aca="false">IF(J191=0,"",K191/J191)</f>
        <v/>
      </c>
      <c r="N191" s="44" t="str">
        <f aca="false">IF(J191=0,"",L191+M191)</f>
        <v/>
      </c>
    </row>
    <row r="192" customFormat="false" ht="15" hidden="false" customHeight="false" outlineLevel="0" collapsed="false">
      <c r="A192" s="8" t="s">
        <v>28</v>
      </c>
      <c r="B192" s="46" t="n">
        <v>2008</v>
      </c>
      <c r="C192" s="10" t="n">
        <f aca="false">IF(D192&gt;0,1,0)</f>
        <v>0</v>
      </c>
      <c r="D192" s="9" t="n">
        <f aca="false">IF(SUMIFS(Sales!$D$3:$D$500,Sales!$C$3:$C$500,$A192,Sales!$B$3:$B$500,"&lt;="&amp;DATE($B192-1,12,31))&gt;0,0,SUMIFS('Asset Value'!$F$4:$F$500,'Asset Value'!$C$4:$C$500,$A192,'Asset Value'!$B$4:$B$500,$B192-1)/1000)</f>
        <v>0</v>
      </c>
      <c r="E192" s="9" t="n">
        <f aca="false">IF(SUMIFS(Sales!$D$3:$D$500,Sales!$C$3:$C$500,$A192,Sales!$B$3:$B$500,"&gt;="&amp;DATE($B192,1,1),Sales!$B$3:$B$500,"&lt;="&amp;DATE($B192,12,31))&gt;0,SUMIFS(Sales!$D$3:$D$500,Sales!$C$3:$C$500,$A192,Sales!$B$3:$B$500,"&gt;="&amp;DATE($B192,1,1),Sales!$B$3:$B$500,"&lt;="&amp;DATE($B192,12,31))/1000,SUMIFS('Asset Value'!$F$4:$F$500,'Asset Value'!$C$4:$C$500,$A192,'Asset Value'!$B$4:$B$500,$B192)/1000)</f>
        <v>0</v>
      </c>
      <c r="F192" s="9" t="n">
        <f aca="false">SUMIFS(Rent!$E$3:$E$500,Rent!$D$3:$D$500,$A192,Rent!$C$3:$C$500,$B192)/1000</f>
        <v>0</v>
      </c>
      <c r="G192" s="9" t="n">
        <f aca="false">SUMIFS(Costs!$D$3:$D$500,Costs!$C$3:$C$500,$A192,Costs!$B$3:$B$500,"&gt;="&amp;DATE($B192,1,1),Costs!$B$3:$B$500,"&lt;="&amp;DATE($B192,12,31))/1000</f>
        <v>0</v>
      </c>
      <c r="H192" s="9" t="n">
        <f aca="false">SUMIFS('Partial Sales'!$D$3:$D$500,'Partial Sales'!$C$3:$C$500,$A192,'Partial Sales'!$B$3:$B$500,"&gt;="&amp;DATE($B192,1,1),'Partial Sales'!$B$3:$B$500,"&lt;="&amp;DATE($B192,12,31))/1000</f>
        <v>0</v>
      </c>
      <c r="I192" s="9" t="n">
        <f aca="false">SUMIFS('Partial Purchases'!$D$3:$D$500,'Partial Purchases'!$C$3:$C$500,$A192,'Partial Purchases'!$B$3:$B$500,"&gt;="&amp;DATE($B192,1,1),'Partial Purchases'!$B$3:$B$500,"&lt;="&amp;DATE($B192,12,31))/1000</f>
        <v>0</v>
      </c>
      <c r="J192" s="9" t="n">
        <f aca="false">C192*(D192+0.5*(G192-H192+I192-F192))</f>
        <v>0</v>
      </c>
      <c r="K192" s="9" t="n">
        <f aca="false">C192*(E192-D192+H192-G192-I192)</f>
        <v>0</v>
      </c>
      <c r="L192" s="13" t="str">
        <f aca="false">IF(J192=0,"",C192*F192/J192)</f>
        <v/>
      </c>
      <c r="M192" s="13" t="str">
        <f aca="false">IF(J192=0,"",K192/J192)</f>
        <v/>
      </c>
      <c r="N192" s="13" t="str">
        <f aca="false">IF(J192=0,"",L192+M192)</f>
        <v/>
      </c>
    </row>
    <row r="193" customFormat="false" ht="15" hidden="false" customHeight="false" outlineLevel="0" collapsed="false">
      <c r="A193" s="8" t="s">
        <v>28</v>
      </c>
      <c r="B193" s="46" t="n">
        <v>2009</v>
      </c>
      <c r="C193" s="10" t="n">
        <f aca="false">IF(D193&gt;0,1,0)</f>
        <v>0</v>
      </c>
      <c r="D193" s="9" t="n">
        <f aca="false">IF(SUMIFS(Sales!$D$3:$D$500,Sales!$C$3:$C$500,$A193,Sales!$B$3:$B$500,"&lt;="&amp;DATE($B193-1,12,31))&gt;0,0,SUMIFS('Asset Value'!$F$4:$F$500,'Asset Value'!$C$4:$C$500,$A193,'Asset Value'!$B$4:$B$500,$B193-1)/1000)</f>
        <v>0</v>
      </c>
      <c r="E193" s="9" t="n">
        <f aca="false">IF(SUMIFS(Sales!$D$3:$D$500,Sales!$C$3:$C$500,$A193,Sales!$B$3:$B$500,"&gt;="&amp;DATE($B193,1,1),Sales!$B$3:$B$500,"&lt;="&amp;DATE($B193,12,31))&gt;0,SUMIFS(Sales!$D$3:$D$500,Sales!$C$3:$C$500,$A193,Sales!$B$3:$B$500,"&gt;="&amp;DATE($B193,1,1),Sales!$B$3:$B$500,"&lt;="&amp;DATE($B193,12,31))/1000,SUMIFS('Asset Value'!$F$4:$F$500,'Asset Value'!$C$4:$C$500,$A193,'Asset Value'!$B$4:$B$500,$B193)/1000)</f>
        <v>0</v>
      </c>
      <c r="F193" s="9" t="n">
        <f aca="false">SUMIFS(Rent!$E$3:$E$500,Rent!$D$3:$D$500,$A193,Rent!$C$3:$C$500,$B193)/1000</f>
        <v>0</v>
      </c>
      <c r="G193" s="9" t="n">
        <f aca="false">SUMIFS(Costs!$D$3:$D$500,Costs!$C$3:$C$500,$A193,Costs!$B$3:$B$500,"&gt;="&amp;DATE($B193,1,1),Costs!$B$3:$B$500,"&lt;="&amp;DATE($B193,12,31))/1000</f>
        <v>0</v>
      </c>
      <c r="H193" s="9" t="n">
        <f aca="false">SUMIFS('Partial Sales'!$D$3:$D$500,'Partial Sales'!$C$3:$C$500,$A193,'Partial Sales'!$B$3:$B$500,"&gt;="&amp;DATE($B193,1,1),'Partial Sales'!$B$3:$B$500,"&lt;="&amp;DATE($B193,12,31))/1000</f>
        <v>0</v>
      </c>
      <c r="I193" s="9" t="n">
        <f aca="false">SUMIFS('Partial Purchases'!$D$3:$D$500,'Partial Purchases'!$C$3:$C$500,$A193,'Partial Purchases'!$B$3:$B$500,"&gt;="&amp;DATE($B193,1,1),'Partial Purchases'!$B$3:$B$500,"&lt;="&amp;DATE($B193,12,31))/1000</f>
        <v>0</v>
      </c>
      <c r="J193" s="9" t="n">
        <f aca="false">C193*(D193+0.5*(G193-H193+I193-F193))</f>
        <v>0</v>
      </c>
      <c r="K193" s="9" t="n">
        <f aca="false">C193*(E193-D193+H193-G193-I193)</f>
        <v>0</v>
      </c>
      <c r="L193" s="13" t="str">
        <f aca="false">IF(J193=0,"",C193*F193/J193)</f>
        <v/>
      </c>
      <c r="M193" s="13" t="str">
        <f aca="false">IF(J193=0,"",K193/J193)</f>
        <v/>
      </c>
      <c r="N193" s="13" t="str">
        <f aca="false">IF(J193=0,"",L193+M193)</f>
        <v/>
      </c>
    </row>
    <row r="194" customFormat="false" ht="15" hidden="false" customHeight="false" outlineLevel="0" collapsed="false">
      <c r="A194" s="8" t="s">
        <v>28</v>
      </c>
      <c r="B194" s="46" t="n">
        <v>2010</v>
      </c>
      <c r="C194" s="10" t="n">
        <f aca="false">IF(D194&gt;0,1,0)</f>
        <v>0</v>
      </c>
      <c r="D194" s="9" t="n">
        <f aca="false">IF(SUMIFS(Sales!$D$3:$D$500,Sales!$C$3:$C$500,$A194,Sales!$B$3:$B$500,"&lt;="&amp;DATE($B194-1,12,31))&gt;0,0,SUMIFS('Asset Value'!$F$4:$F$500,'Asset Value'!$C$4:$C$500,$A194,'Asset Value'!$B$4:$B$500,$B194-1)/1000)</f>
        <v>0</v>
      </c>
      <c r="E194" s="9" t="n">
        <f aca="false">IF(SUMIFS(Sales!$D$3:$D$500,Sales!$C$3:$C$500,$A194,Sales!$B$3:$B$500,"&gt;="&amp;DATE($B194,1,1),Sales!$B$3:$B$500,"&lt;="&amp;DATE($B194,12,31))&gt;0,SUMIFS(Sales!$D$3:$D$500,Sales!$C$3:$C$500,$A194,Sales!$B$3:$B$500,"&gt;="&amp;DATE($B194,1,1),Sales!$B$3:$B$500,"&lt;="&amp;DATE($B194,12,31))/1000,SUMIFS('Asset Value'!$F$4:$F$500,'Asset Value'!$C$4:$C$500,$A194,'Asset Value'!$B$4:$B$500,$B194)/1000)</f>
        <v>0</v>
      </c>
      <c r="F194" s="9" t="n">
        <f aca="false">SUMIFS(Rent!$E$3:$E$500,Rent!$D$3:$D$500,$A194,Rent!$C$3:$C$500,$B194)/1000</f>
        <v>0</v>
      </c>
      <c r="G194" s="9" t="n">
        <f aca="false">SUMIFS(Costs!$D$3:$D$500,Costs!$C$3:$C$500,$A194,Costs!$B$3:$B$500,"&gt;="&amp;DATE($B194,1,1),Costs!$B$3:$B$500,"&lt;="&amp;DATE($B194,12,31))/1000</f>
        <v>0</v>
      </c>
      <c r="H194" s="9" t="n">
        <f aca="false">SUMIFS('Partial Sales'!$D$3:$D$500,'Partial Sales'!$C$3:$C$500,$A194,'Partial Sales'!$B$3:$B$500,"&gt;="&amp;DATE($B194,1,1),'Partial Sales'!$B$3:$B$500,"&lt;="&amp;DATE($B194,12,31))/1000</f>
        <v>0</v>
      </c>
      <c r="I194" s="9" t="n">
        <f aca="false">SUMIFS('Partial Purchases'!$D$3:$D$500,'Partial Purchases'!$C$3:$C$500,$A194,'Partial Purchases'!$B$3:$B$500,"&gt;="&amp;DATE($B194,1,1),'Partial Purchases'!$B$3:$B$500,"&lt;="&amp;DATE($B194,12,31))/1000</f>
        <v>0</v>
      </c>
      <c r="J194" s="9" t="n">
        <f aca="false">C194*(D194+0.5*(G194-H194+I194-F194))</f>
        <v>0</v>
      </c>
      <c r="K194" s="9" t="n">
        <f aca="false">C194*(E194-D194+H194-G194-I194)</f>
        <v>0</v>
      </c>
      <c r="L194" s="13" t="str">
        <f aca="false">IF(J194=0,"",C194*F194/J194)</f>
        <v/>
      </c>
      <c r="M194" s="13" t="str">
        <f aca="false">IF(J194=0,"",K194/J194)</f>
        <v/>
      </c>
      <c r="N194" s="13" t="str">
        <f aca="false">IF(J194=0,"",L194+M194)</f>
        <v/>
      </c>
    </row>
    <row r="195" customFormat="false" ht="15" hidden="false" customHeight="false" outlineLevel="0" collapsed="false">
      <c r="A195" s="8" t="s">
        <v>28</v>
      </c>
      <c r="B195" s="46" t="n">
        <v>2011</v>
      </c>
      <c r="C195" s="10" t="n">
        <f aca="false">IF(D195&gt;0,1,0)</f>
        <v>0</v>
      </c>
      <c r="D195" s="9" t="n">
        <f aca="false">IF(SUMIFS(Sales!$D$3:$D$500,Sales!$C$3:$C$500,$A195,Sales!$B$3:$B$500,"&lt;="&amp;DATE($B195-1,12,31))&gt;0,0,SUMIFS('Asset Value'!$F$4:$F$500,'Asset Value'!$C$4:$C$500,$A195,'Asset Value'!$B$4:$B$500,$B195-1)/1000)</f>
        <v>0</v>
      </c>
      <c r="E195" s="9" t="n">
        <f aca="false">IF(SUMIFS(Sales!$D$3:$D$500,Sales!$C$3:$C$500,$A195,Sales!$B$3:$B$500,"&gt;="&amp;DATE($B195,1,1),Sales!$B$3:$B$500,"&lt;="&amp;DATE($B195,12,31))&gt;0,SUMIFS(Sales!$D$3:$D$500,Sales!$C$3:$C$500,$A195,Sales!$B$3:$B$500,"&gt;="&amp;DATE($B195,1,1),Sales!$B$3:$B$500,"&lt;="&amp;DATE($B195,12,31))/1000,SUMIFS('Asset Value'!$F$4:$F$500,'Asset Value'!$C$4:$C$500,$A195,'Asset Value'!$B$4:$B$500,$B195)/1000)</f>
        <v>0</v>
      </c>
      <c r="F195" s="9" t="n">
        <f aca="false">SUMIFS(Rent!$E$3:$E$500,Rent!$D$3:$D$500,$A195,Rent!$C$3:$C$500,$B195)/1000</f>
        <v>0</v>
      </c>
      <c r="G195" s="9" t="n">
        <f aca="false">SUMIFS(Costs!$D$3:$D$500,Costs!$C$3:$C$500,$A195,Costs!$B$3:$B$500,"&gt;="&amp;DATE($B195,1,1),Costs!$B$3:$B$500,"&lt;="&amp;DATE($B195,12,31))/1000</f>
        <v>0</v>
      </c>
      <c r="H195" s="9" t="n">
        <f aca="false">SUMIFS('Partial Sales'!$D$3:$D$500,'Partial Sales'!$C$3:$C$500,$A195,'Partial Sales'!$B$3:$B$500,"&gt;="&amp;DATE($B195,1,1),'Partial Sales'!$B$3:$B$500,"&lt;="&amp;DATE($B195,12,31))/1000</f>
        <v>0</v>
      </c>
      <c r="I195" s="9" t="n">
        <f aca="false">SUMIFS('Partial Purchases'!$D$3:$D$500,'Partial Purchases'!$C$3:$C$500,$A195,'Partial Purchases'!$B$3:$B$500,"&gt;="&amp;DATE($B195,1,1),'Partial Purchases'!$B$3:$B$500,"&lt;="&amp;DATE($B195,12,31))/1000</f>
        <v>0</v>
      </c>
      <c r="J195" s="9" t="n">
        <f aca="false">C195*(D195+0.5*(G195-H195+I195-F195))</f>
        <v>0</v>
      </c>
      <c r="K195" s="9" t="n">
        <f aca="false">C195*(E195-D195+H195-G195-I195)</f>
        <v>0</v>
      </c>
      <c r="L195" s="13" t="str">
        <f aca="false">IF(J195=0,"",C195*F195/J195)</f>
        <v/>
      </c>
      <c r="M195" s="13" t="str">
        <f aca="false">IF(J195=0,"",K195/J195)</f>
        <v/>
      </c>
      <c r="N195" s="13" t="str">
        <f aca="false">IF(J195=0,"",L195+M195)</f>
        <v/>
      </c>
    </row>
    <row r="196" customFormat="false" ht="15" hidden="false" customHeight="false" outlineLevel="0" collapsed="false">
      <c r="A196" s="8" t="s">
        <v>28</v>
      </c>
      <c r="B196" s="46" t="n">
        <v>2012</v>
      </c>
      <c r="C196" s="10" t="n">
        <f aca="false">IF(D196&gt;0,1,0)</f>
        <v>0</v>
      </c>
      <c r="D196" s="9" t="n">
        <f aca="false">IF(SUMIFS(Sales!$D$3:$D$500,Sales!$C$3:$C$500,$A196,Sales!$B$3:$B$500,"&lt;="&amp;DATE($B196-1,12,31))&gt;0,0,SUMIFS('Asset Value'!$F$4:$F$500,'Asset Value'!$C$4:$C$500,$A196,'Asset Value'!$B$4:$B$500,$B196-1)/1000)</f>
        <v>0</v>
      </c>
      <c r="E196" s="9" t="n">
        <f aca="false">IF(SUMIFS(Sales!$D$3:$D$500,Sales!$C$3:$C$500,$A196,Sales!$B$3:$B$500,"&gt;="&amp;DATE($B196,1,1),Sales!$B$3:$B$500,"&lt;="&amp;DATE($B196,12,31))&gt;0,SUMIFS(Sales!$D$3:$D$500,Sales!$C$3:$C$500,$A196,Sales!$B$3:$B$500,"&gt;="&amp;DATE($B196,1,1),Sales!$B$3:$B$500,"&lt;="&amp;DATE($B196,12,31))/1000,SUMIFS('Asset Value'!$F$4:$F$500,'Asset Value'!$C$4:$C$500,$A196,'Asset Value'!$B$4:$B$500,$B196)/1000)</f>
        <v>114366</v>
      </c>
      <c r="F196" s="9" t="n">
        <f aca="false">SUMIFS(Rent!$E$3:$E$500,Rent!$D$3:$D$500,$A196,Rent!$C$3:$C$500,$B196)/1000</f>
        <v>2962</v>
      </c>
      <c r="G196" s="9" t="n">
        <f aca="false">SUMIFS(Costs!$D$3:$D$500,Costs!$C$3:$C$500,$A196,Costs!$B$3:$B$500,"&gt;="&amp;DATE($B196,1,1),Costs!$B$3:$B$500,"&lt;="&amp;DATE($B196,12,31))/1000</f>
        <v>0</v>
      </c>
      <c r="H196" s="9" t="n">
        <f aca="false">SUMIFS('Partial Sales'!$D$3:$D$500,'Partial Sales'!$C$3:$C$500,$A196,'Partial Sales'!$B$3:$B$500,"&gt;="&amp;DATE($B196,1,1),'Partial Sales'!$B$3:$B$500,"&lt;="&amp;DATE($B196,12,31))/1000</f>
        <v>0</v>
      </c>
      <c r="I196" s="9" t="n">
        <f aca="false">SUMIFS('Partial Purchases'!$D$3:$D$500,'Partial Purchases'!$C$3:$C$500,$A196,'Partial Purchases'!$B$3:$B$500,"&gt;="&amp;DATE($B196,1,1),'Partial Purchases'!$B$3:$B$500,"&lt;="&amp;DATE($B196,12,31))/1000</f>
        <v>0</v>
      </c>
      <c r="J196" s="9" t="n">
        <f aca="false">C196*(D196+0.5*(G196-H196+I196-F196))</f>
        <v>-0</v>
      </c>
      <c r="K196" s="9" t="n">
        <f aca="false">C196*(E196-D196+H196-G196-I196)</f>
        <v>0</v>
      </c>
      <c r="L196" s="13" t="str">
        <f aca="false">IF(J196=0,"",C196*F196/J196)</f>
        <v/>
      </c>
      <c r="M196" s="13" t="str">
        <f aca="false">IF(J196=0,"",K196/J196)</f>
        <v/>
      </c>
      <c r="N196" s="13" t="str">
        <f aca="false">IF(J196=0,"",L196+M196)</f>
        <v/>
      </c>
    </row>
    <row r="197" customFormat="false" ht="15" hidden="false" customHeight="false" outlineLevel="0" collapsed="false">
      <c r="A197" s="8" t="s">
        <v>28</v>
      </c>
      <c r="B197" s="46" t="n">
        <v>2013</v>
      </c>
      <c r="C197" s="10" t="n">
        <f aca="false">IF(D197&gt;0,1,0)</f>
        <v>1</v>
      </c>
      <c r="D197" s="9" t="n">
        <f aca="false">IF(SUMIFS(Sales!$D$3:$D$500,Sales!$C$3:$C$500,$A197,Sales!$B$3:$B$500,"&lt;="&amp;DATE($B197-1,12,31))&gt;0,0,SUMIFS('Asset Value'!$F$4:$F$500,'Asset Value'!$C$4:$C$500,$A197,'Asset Value'!$B$4:$B$500,$B197-1)/1000)</f>
        <v>114366</v>
      </c>
      <c r="E197" s="9" t="n">
        <f aca="false">IF(SUMIFS(Sales!$D$3:$D$500,Sales!$C$3:$C$500,$A197,Sales!$B$3:$B$500,"&gt;="&amp;DATE($B197,1,1),Sales!$B$3:$B$500,"&lt;="&amp;DATE($B197,12,31))&gt;0,SUMIFS(Sales!$D$3:$D$500,Sales!$C$3:$C$500,$A197,Sales!$B$3:$B$500,"&gt;="&amp;DATE($B197,1,1),Sales!$B$3:$B$500,"&lt;="&amp;DATE($B197,12,31))/1000,SUMIFS('Asset Value'!$F$4:$F$500,'Asset Value'!$C$4:$C$500,$A197,'Asset Value'!$B$4:$B$500,$B197)/1000)</f>
        <v>168079</v>
      </c>
      <c r="F197" s="9" t="n">
        <f aca="false">SUMIFS(Rent!$E$3:$E$500,Rent!$D$3:$D$500,$A197,Rent!$C$3:$C$500,$B197)/1000</f>
        <v>2245</v>
      </c>
      <c r="G197" s="9" t="n">
        <f aca="false">SUMIFS(Costs!$D$3:$D$500,Costs!$C$3:$C$500,$A197,Costs!$B$3:$B$500,"&gt;="&amp;DATE($B197,1,1),Costs!$B$3:$B$500,"&lt;="&amp;DATE($B197,12,31))/1000</f>
        <v>0</v>
      </c>
      <c r="H197" s="9" t="n">
        <f aca="false">SUMIFS('Partial Sales'!$D$3:$D$500,'Partial Sales'!$C$3:$C$500,$A197,'Partial Sales'!$B$3:$B$500,"&gt;="&amp;DATE($B197,1,1),'Partial Sales'!$B$3:$B$500,"&lt;="&amp;DATE($B197,12,31))/1000</f>
        <v>0</v>
      </c>
      <c r="I197" s="9" t="n">
        <f aca="false">SUMIFS('Partial Purchases'!$D$3:$D$500,'Partial Purchases'!$C$3:$C$500,$A197,'Partial Purchases'!$B$3:$B$500,"&gt;="&amp;DATE($B197,1,1),'Partial Purchases'!$B$3:$B$500,"&lt;="&amp;DATE($B197,12,31))/1000</f>
        <v>0</v>
      </c>
      <c r="J197" s="9" t="n">
        <f aca="false">C197*(D197+0.5*(G197-H197+I197-F197))</f>
        <v>113243.5</v>
      </c>
      <c r="K197" s="9" t="n">
        <f aca="false">C197*(E197-D197+H197-G197-I197)</f>
        <v>53713</v>
      </c>
      <c r="L197" s="13" t="n">
        <f aca="false">IF(J197=0,"",C197*F197/J197)</f>
        <v>0.019824537390667</v>
      </c>
      <c r="M197" s="13" t="n">
        <f aca="false">IF(J197=0,"",K197/J197)</f>
        <v>0.474314199048952</v>
      </c>
      <c r="N197" s="13" t="n">
        <f aca="false">IF(J197=0,"",L197+M197)</f>
        <v>0.494138736439619</v>
      </c>
    </row>
    <row r="198" customFormat="false" ht="15" hidden="false" customHeight="false" outlineLevel="0" collapsed="false">
      <c r="A198" s="8" t="s">
        <v>28</v>
      </c>
      <c r="B198" s="46" t="n">
        <v>2014</v>
      </c>
      <c r="C198" s="10" t="n">
        <f aca="false">IF(D198&gt;0,1,0)</f>
        <v>1</v>
      </c>
      <c r="D198" s="9" t="n">
        <f aca="false">IF(SUMIFS(Sales!$D$3:$D$500,Sales!$C$3:$C$500,$A198,Sales!$B$3:$B$500,"&lt;="&amp;DATE($B198-1,12,31))&gt;0,0,SUMIFS('Asset Value'!$F$4:$F$500,'Asset Value'!$C$4:$C$500,$A198,'Asset Value'!$B$4:$B$500,$B198-1)/1000)</f>
        <v>168079</v>
      </c>
      <c r="E198" s="9" t="n">
        <f aca="false">IF(SUMIFS(Sales!$D$3:$D$500,Sales!$C$3:$C$500,$A198,Sales!$B$3:$B$500,"&gt;="&amp;DATE($B198,1,1),Sales!$B$3:$B$500,"&lt;="&amp;DATE($B198,12,31))&gt;0,SUMIFS(Sales!$D$3:$D$500,Sales!$C$3:$C$500,$A198,Sales!$B$3:$B$500,"&gt;="&amp;DATE($B198,1,1),Sales!$B$3:$B$500,"&lt;="&amp;DATE($B198,12,31))/1000,SUMIFS('Asset Value'!$F$4:$F$500,'Asset Value'!$C$4:$C$500,$A198,'Asset Value'!$B$4:$B$500,$B198)/1000)</f>
        <v>226665</v>
      </c>
      <c r="F198" s="9" t="n">
        <f aca="false">SUMIFS(Rent!$E$3:$E$500,Rent!$D$3:$D$500,$A198,Rent!$C$3:$C$500,$B198)/1000</f>
        <v>657</v>
      </c>
      <c r="G198" s="9" t="n">
        <f aca="false">SUMIFS(Costs!$D$3:$D$500,Costs!$C$3:$C$500,$A198,Costs!$B$3:$B$500,"&gt;="&amp;DATE($B198,1,1),Costs!$B$3:$B$500,"&lt;="&amp;DATE($B198,12,31))/1000</f>
        <v>0</v>
      </c>
      <c r="H198" s="9" t="n">
        <f aca="false">SUMIFS('Partial Sales'!$D$3:$D$500,'Partial Sales'!$C$3:$C$500,$A198,'Partial Sales'!$B$3:$B$500,"&gt;="&amp;DATE($B198,1,1),'Partial Sales'!$B$3:$B$500,"&lt;="&amp;DATE($B198,12,31))/1000</f>
        <v>0</v>
      </c>
      <c r="I198" s="9" t="n">
        <f aca="false">SUMIFS('Partial Purchases'!$D$3:$D$500,'Partial Purchases'!$C$3:$C$500,$A198,'Partial Purchases'!$B$3:$B$500,"&gt;="&amp;DATE($B198,1,1),'Partial Purchases'!$B$3:$B$500,"&lt;="&amp;DATE($B198,12,31))/1000</f>
        <v>0</v>
      </c>
      <c r="J198" s="9" t="n">
        <f aca="false">C198*(D198+0.5*(G198-H198+I198-F198))</f>
        <v>167750.5</v>
      </c>
      <c r="K198" s="9" t="n">
        <f aca="false">C198*(E198-D198+H198-G198-I198)</f>
        <v>58586</v>
      </c>
      <c r="L198" s="13" t="n">
        <f aca="false">IF(J198=0,"",C198*F198/J198)</f>
        <v>0.00391653080020626</v>
      </c>
      <c r="M198" s="13" t="n">
        <f aca="false">IF(J198=0,"",K198/J198)</f>
        <v>0.349244860671056</v>
      </c>
      <c r="N198" s="13" t="n">
        <f aca="false">IF(J198=0,"",L198+M198)</f>
        <v>0.353161391471262</v>
      </c>
    </row>
    <row r="199" customFormat="false" ht="15" hidden="false" customHeight="false" outlineLevel="0" collapsed="false">
      <c r="A199" s="47" t="s">
        <v>28</v>
      </c>
      <c r="B199" s="48" t="n">
        <v>2015</v>
      </c>
      <c r="C199" s="49" t="n">
        <f aca="false">IF(D199&gt;0,1,0)</f>
        <v>1</v>
      </c>
      <c r="D199" s="50" t="n">
        <f aca="false">IF(SUMIFS(Sales!$D$3:$D$500,Sales!$C$3:$C$500,$A199,Sales!$B$3:$B$500,"&lt;="&amp;DATE($B199-1,12,31))&gt;0,0,SUMIFS('Asset Value'!$F$4:$F$500,'Asset Value'!$C$4:$C$500,$A199,'Asset Value'!$B$4:$B$500,$B199-1)/1000)</f>
        <v>226665</v>
      </c>
      <c r="E199" s="50" t="n">
        <f aca="false">IF(SUMIFS(Sales!$D$3:$D$500,Sales!$C$3:$C$500,$A199,Sales!$B$3:$B$500,"&gt;="&amp;DATE($B199,1,1),Sales!$B$3:$B$500,"&lt;="&amp;DATE($B199,12,31))&gt;0,SUMIFS(Sales!$D$3:$D$500,Sales!$C$3:$C$500,$A199,Sales!$B$3:$B$500,"&gt;="&amp;DATE($B199,1,1),Sales!$B$3:$B$500,"&lt;="&amp;DATE($B199,12,31))/1000,SUMIFS('Asset Value'!$F$4:$F$500,'Asset Value'!$C$4:$C$500,$A199,'Asset Value'!$B$4:$B$500,$B199)/1000)</f>
        <v>234990</v>
      </c>
      <c r="F199" s="50" t="n">
        <f aca="false">SUMIFS(Rent!$E$3:$E$500,Rent!$D$3:$D$500,$A199,Rent!$C$3:$C$500,$B199)/1000</f>
        <v>1217</v>
      </c>
      <c r="G199" s="50" t="n">
        <f aca="false">SUMIFS(Costs!$D$3:$D$500,Costs!$C$3:$C$500,$A199,Costs!$B$3:$B$500,"&gt;="&amp;DATE($B199,1,1),Costs!$B$3:$B$500,"&lt;="&amp;DATE($B199,12,31))/1000</f>
        <v>0</v>
      </c>
      <c r="H199" s="50" t="n">
        <f aca="false">SUMIFS('Partial Sales'!$D$3:$D$500,'Partial Sales'!$C$3:$C$500,$A199,'Partial Sales'!$B$3:$B$500,"&gt;="&amp;DATE($B199,1,1),'Partial Sales'!$B$3:$B$500,"&lt;="&amp;DATE($B199,12,31))/1000</f>
        <v>0</v>
      </c>
      <c r="I199" s="50" t="n">
        <f aca="false">SUMIFS('Partial Purchases'!$D$3:$D$500,'Partial Purchases'!$C$3:$C$500,$A199,'Partial Purchases'!$B$3:$B$500,"&gt;="&amp;DATE($B199,1,1),'Partial Purchases'!$B$3:$B$500,"&lt;="&amp;DATE($B199,12,31))/1000</f>
        <v>0</v>
      </c>
      <c r="J199" s="50" t="n">
        <f aca="false">C199*(D199+0.5*(G199-H199+I199-F199))</f>
        <v>226056.5</v>
      </c>
      <c r="K199" s="50" t="n">
        <f aca="false">C199*(E199-D199+H199-G199-I199)</f>
        <v>8325</v>
      </c>
      <c r="L199" s="44" t="n">
        <f aca="false">IF(J199=0,"",C199*F199/J199)</f>
        <v>0.00538360984974995</v>
      </c>
      <c r="M199" s="44" t="n">
        <f aca="false">IF(J199=0,"",K199/J199)</f>
        <v>0.0368270764167365</v>
      </c>
      <c r="N199" s="44" t="n">
        <f aca="false">IF(J199=0,"",L199+M199)</f>
        <v>0.0422106862664865</v>
      </c>
    </row>
    <row r="200" customFormat="false" ht="15" hidden="false" customHeight="false" outlineLevel="0" collapsed="false">
      <c r="A200" s="8" t="s">
        <v>29</v>
      </c>
      <c r="B200" s="46" t="n">
        <v>2008</v>
      </c>
      <c r="C200" s="10" t="n">
        <f aca="false">IF(D200&gt;0,1,0)</f>
        <v>0</v>
      </c>
      <c r="D200" s="9" t="n">
        <f aca="false">IF(SUMIFS(Sales!$D$3:$D$500,Sales!$C$3:$C$500,$A200,Sales!$B$3:$B$500,"&lt;="&amp;DATE($B200-1,12,31))&gt;0,0,SUMIFS('Asset Value'!$F$4:$F$500,'Asset Value'!$C$4:$C$500,$A200,'Asset Value'!$B$4:$B$500,$B200-1)/1000)</f>
        <v>0</v>
      </c>
      <c r="E200" s="9" t="n">
        <f aca="false">IF(SUMIFS(Sales!$D$3:$D$500,Sales!$C$3:$C$500,$A200,Sales!$B$3:$B$500,"&gt;="&amp;DATE($B200,1,1),Sales!$B$3:$B$500,"&lt;="&amp;DATE($B200,12,31))&gt;0,SUMIFS(Sales!$D$3:$D$500,Sales!$C$3:$C$500,$A200,Sales!$B$3:$B$500,"&gt;="&amp;DATE($B200,1,1),Sales!$B$3:$B$500,"&lt;="&amp;DATE($B200,12,31))/1000,SUMIFS('Asset Value'!$F$4:$F$500,'Asset Value'!$C$4:$C$500,$A200,'Asset Value'!$B$4:$B$500,$B200)/1000)</f>
        <v>0</v>
      </c>
      <c r="F200" s="9" t="n">
        <f aca="false">SUMIFS(Rent!$E$3:$E$500,Rent!$D$3:$D$500,$A200,Rent!$C$3:$C$500,$B200)/1000</f>
        <v>0</v>
      </c>
      <c r="G200" s="9" t="n">
        <f aca="false">SUMIFS(Costs!$D$3:$D$500,Costs!$C$3:$C$500,$A200,Costs!$B$3:$B$500,"&gt;="&amp;DATE($B200,1,1),Costs!$B$3:$B$500,"&lt;="&amp;DATE($B200,12,31))/1000</f>
        <v>0</v>
      </c>
      <c r="H200" s="9" t="n">
        <f aca="false">SUMIFS('Partial Sales'!$D$3:$D$500,'Partial Sales'!$C$3:$C$500,$A200,'Partial Sales'!$B$3:$B$500,"&gt;="&amp;DATE($B200,1,1),'Partial Sales'!$B$3:$B$500,"&lt;="&amp;DATE($B200,12,31))/1000</f>
        <v>0</v>
      </c>
      <c r="I200" s="9" t="n">
        <f aca="false">SUMIFS('Partial Purchases'!$D$3:$D$500,'Partial Purchases'!$C$3:$C$500,$A200,'Partial Purchases'!$B$3:$B$500,"&gt;="&amp;DATE($B200,1,1),'Partial Purchases'!$B$3:$B$500,"&lt;="&amp;DATE($B200,12,31))/1000</f>
        <v>0</v>
      </c>
      <c r="J200" s="9" t="n">
        <f aca="false">C200*(D200+0.5*(G200-H200+I200-F200))</f>
        <v>0</v>
      </c>
      <c r="K200" s="9" t="n">
        <f aca="false">C200*(E200-D200+H200-G200-I200)</f>
        <v>0</v>
      </c>
      <c r="L200" s="13" t="str">
        <f aca="false">IF(J200=0,"",C200*F200/J200)</f>
        <v/>
      </c>
      <c r="M200" s="13" t="str">
        <f aca="false">IF(J200=0,"",K200/J200)</f>
        <v/>
      </c>
      <c r="N200" s="13" t="str">
        <f aca="false">IF(J200=0,"",L200+M200)</f>
        <v/>
      </c>
    </row>
    <row r="201" customFormat="false" ht="15" hidden="false" customHeight="false" outlineLevel="0" collapsed="false">
      <c r="A201" s="8" t="s">
        <v>29</v>
      </c>
      <c r="B201" s="46" t="n">
        <v>2009</v>
      </c>
      <c r="C201" s="10" t="n">
        <f aca="false">IF(D201&gt;0,1,0)</f>
        <v>0</v>
      </c>
      <c r="D201" s="9" t="n">
        <f aca="false">IF(SUMIFS(Sales!$D$3:$D$500,Sales!$C$3:$C$500,$A201,Sales!$B$3:$B$500,"&lt;="&amp;DATE($B201-1,12,31))&gt;0,0,SUMIFS('Asset Value'!$F$4:$F$500,'Asset Value'!$C$4:$C$500,$A201,'Asset Value'!$B$4:$B$500,$B201-1)/1000)</f>
        <v>0</v>
      </c>
      <c r="E201" s="9" t="n">
        <f aca="false">IF(SUMIFS(Sales!$D$3:$D$500,Sales!$C$3:$C$500,$A201,Sales!$B$3:$B$500,"&gt;="&amp;DATE($B201,1,1),Sales!$B$3:$B$500,"&lt;="&amp;DATE($B201,12,31))&gt;0,SUMIFS(Sales!$D$3:$D$500,Sales!$C$3:$C$500,$A201,Sales!$B$3:$B$500,"&gt;="&amp;DATE($B201,1,1),Sales!$B$3:$B$500,"&lt;="&amp;DATE($B201,12,31))/1000,SUMIFS('Asset Value'!$F$4:$F$500,'Asset Value'!$C$4:$C$500,$A201,'Asset Value'!$B$4:$B$500,$B201)/1000)</f>
        <v>0</v>
      </c>
      <c r="F201" s="9" t="n">
        <f aca="false">SUMIFS(Rent!$E$3:$E$500,Rent!$D$3:$D$500,$A201,Rent!$C$3:$C$500,$B201)/1000</f>
        <v>0</v>
      </c>
      <c r="G201" s="9" t="n">
        <f aca="false">SUMIFS(Costs!$D$3:$D$500,Costs!$C$3:$C$500,$A201,Costs!$B$3:$B$500,"&gt;="&amp;DATE($B201,1,1),Costs!$B$3:$B$500,"&lt;="&amp;DATE($B201,12,31))/1000</f>
        <v>0</v>
      </c>
      <c r="H201" s="9" t="n">
        <f aca="false">SUMIFS('Partial Sales'!$D$3:$D$500,'Partial Sales'!$C$3:$C$500,$A201,'Partial Sales'!$B$3:$B$500,"&gt;="&amp;DATE($B201,1,1),'Partial Sales'!$B$3:$B$500,"&lt;="&amp;DATE($B201,12,31))/1000</f>
        <v>0</v>
      </c>
      <c r="I201" s="9" t="n">
        <f aca="false">SUMIFS('Partial Purchases'!$D$3:$D$500,'Partial Purchases'!$C$3:$C$500,$A201,'Partial Purchases'!$B$3:$B$500,"&gt;="&amp;DATE($B201,1,1),'Partial Purchases'!$B$3:$B$500,"&lt;="&amp;DATE($B201,12,31))/1000</f>
        <v>0</v>
      </c>
      <c r="J201" s="9" t="n">
        <f aca="false">C201*(D201+0.5*(G201-H201+I201-F201))</f>
        <v>0</v>
      </c>
      <c r="K201" s="9" t="n">
        <f aca="false">C201*(E201-D201+H201-G201-I201)</f>
        <v>0</v>
      </c>
      <c r="L201" s="13" t="str">
        <f aca="false">IF(J201=0,"",C201*F201/J201)</f>
        <v/>
      </c>
      <c r="M201" s="13" t="str">
        <f aca="false">IF(J201=0,"",K201/J201)</f>
        <v/>
      </c>
      <c r="N201" s="13" t="str">
        <f aca="false">IF(J201=0,"",L201+M201)</f>
        <v/>
      </c>
    </row>
    <row r="202" customFormat="false" ht="15" hidden="false" customHeight="false" outlineLevel="0" collapsed="false">
      <c r="A202" s="8" t="s">
        <v>29</v>
      </c>
      <c r="B202" s="46" t="n">
        <v>2010</v>
      </c>
      <c r="C202" s="10" t="n">
        <f aca="false">IF(D202&gt;0,1,0)</f>
        <v>0</v>
      </c>
      <c r="D202" s="9" t="n">
        <f aca="false">IF(SUMIFS(Sales!$D$3:$D$500,Sales!$C$3:$C$500,$A202,Sales!$B$3:$B$500,"&lt;="&amp;DATE($B202-1,12,31))&gt;0,0,SUMIFS('Asset Value'!$F$4:$F$500,'Asset Value'!$C$4:$C$500,$A202,'Asset Value'!$B$4:$B$500,$B202-1)/1000)</f>
        <v>0</v>
      </c>
      <c r="E202" s="9" t="n">
        <f aca="false">IF(SUMIFS(Sales!$D$3:$D$500,Sales!$C$3:$C$500,$A202,Sales!$B$3:$B$500,"&gt;="&amp;DATE($B202,1,1),Sales!$B$3:$B$500,"&lt;="&amp;DATE($B202,12,31))&gt;0,SUMIFS(Sales!$D$3:$D$500,Sales!$C$3:$C$500,$A202,Sales!$B$3:$B$500,"&gt;="&amp;DATE($B202,1,1),Sales!$B$3:$B$500,"&lt;="&amp;DATE($B202,12,31))/1000,SUMIFS('Asset Value'!$F$4:$F$500,'Asset Value'!$C$4:$C$500,$A202,'Asset Value'!$B$4:$B$500,$B202)/1000)</f>
        <v>0</v>
      </c>
      <c r="F202" s="9" t="n">
        <f aca="false">SUMIFS(Rent!$E$3:$E$500,Rent!$D$3:$D$500,$A202,Rent!$C$3:$C$500,$B202)/1000</f>
        <v>0</v>
      </c>
      <c r="G202" s="9" t="n">
        <f aca="false">SUMIFS(Costs!$D$3:$D$500,Costs!$C$3:$C$500,$A202,Costs!$B$3:$B$500,"&gt;="&amp;DATE($B202,1,1),Costs!$B$3:$B$500,"&lt;="&amp;DATE($B202,12,31))/1000</f>
        <v>0</v>
      </c>
      <c r="H202" s="9" t="n">
        <f aca="false">SUMIFS('Partial Sales'!$D$3:$D$500,'Partial Sales'!$C$3:$C$500,$A202,'Partial Sales'!$B$3:$B$500,"&gt;="&amp;DATE($B202,1,1),'Partial Sales'!$B$3:$B$500,"&lt;="&amp;DATE($B202,12,31))/1000</f>
        <v>0</v>
      </c>
      <c r="I202" s="9" t="n">
        <f aca="false">SUMIFS('Partial Purchases'!$D$3:$D$500,'Partial Purchases'!$C$3:$C$500,$A202,'Partial Purchases'!$B$3:$B$500,"&gt;="&amp;DATE($B202,1,1),'Partial Purchases'!$B$3:$B$500,"&lt;="&amp;DATE($B202,12,31))/1000</f>
        <v>0</v>
      </c>
      <c r="J202" s="9" t="n">
        <f aca="false">C202*(D202+0.5*(G202-H202+I202-F202))</f>
        <v>0</v>
      </c>
      <c r="K202" s="9" t="n">
        <f aca="false">C202*(E202-D202+H202-G202-I202)</f>
        <v>0</v>
      </c>
      <c r="L202" s="13" t="str">
        <f aca="false">IF(J202=0,"",C202*F202/J202)</f>
        <v/>
      </c>
      <c r="M202" s="13" t="str">
        <f aca="false">IF(J202=0,"",K202/J202)</f>
        <v/>
      </c>
      <c r="N202" s="13" t="str">
        <f aca="false">IF(J202=0,"",L202+M202)</f>
        <v/>
      </c>
    </row>
    <row r="203" customFormat="false" ht="15" hidden="false" customHeight="false" outlineLevel="0" collapsed="false">
      <c r="A203" s="8" t="s">
        <v>29</v>
      </c>
      <c r="B203" s="46" t="n">
        <v>2011</v>
      </c>
      <c r="C203" s="10" t="n">
        <f aca="false">IF(D203&gt;0,1,0)</f>
        <v>0</v>
      </c>
      <c r="D203" s="9" t="n">
        <f aca="false">IF(SUMIFS(Sales!$D$3:$D$500,Sales!$C$3:$C$500,$A203,Sales!$B$3:$B$500,"&lt;="&amp;DATE($B203-1,12,31))&gt;0,0,SUMIFS('Asset Value'!$F$4:$F$500,'Asset Value'!$C$4:$C$500,$A203,'Asset Value'!$B$4:$B$500,$B203-1)/1000)</f>
        <v>0</v>
      </c>
      <c r="E203" s="9" t="n">
        <f aca="false">IF(SUMIFS(Sales!$D$3:$D$500,Sales!$C$3:$C$500,$A203,Sales!$B$3:$B$500,"&gt;="&amp;DATE($B203,1,1),Sales!$B$3:$B$500,"&lt;="&amp;DATE($B203,12,31))&gt;0,SUMIFS(Sales!$D$3:$D$500,Sales!$C$3:$C$500,$A203,Sales!$B$3:$B$500,"&gt;="&amp;DATE($B203,1,1),Sales!$B$3:$B$500,"&lt;="&amp;DATE($B203,12,31))/1000,SUMIFS('Asset Value'!$F$4:$F$500,'Asset Value'!$C$4:$C$500,$A203,'Asset Value'!$B$4:$B$500,$B203)/1000)</f>
        <v>0</v>
      </c>
      <c r="F203" s="9" t="n">
        <f aca="false">SUMIFS(Rent!$E$3:$E$500,Rent!$D$3:$D$500,$A203,Rent!$C$3:$C$500,$B203)/1000</f>
        <v>0</v>
      </c>
      <c r="G203" s="9" t="n">
        <f aca="false">SUMIFS(Costs!$D$3:$D$500,Costs!$C$3:$C$500,$A203,Costs!$B$3:$B$500,"&gt;="&amp;DATE($B203,1,1),Costs!$B$3:$B$500,"&lt;="&amp;DATE($B203,12,31))/1000</f>
        <v>0</v>
      </c>
      <c r="H203" s="9" t="n">
        <f aca="false">SUMIFS('Partial Sales'!$D$3:$D$500,'Partial Sales'!$C$3:$C$500,$A203,'Partial Sales'!$B$3:$B$500,"&gt;="&amp;DATE($B203,1,1),'Partial Sales'!$B$3:$B$500,"&lt;="&amp;DATE($B203,12,31))/1000</f>
        <v>0</v>
      </c>
      <c r="I203" s="9" t="n">
        <f aca="false">SUMIFS('Partial Purchases'!$D$3:$D$500,'Partial Purchases'!$C$3:$C$500,$A203,'Partial Purchases'!$B$3:$B$500,"&gt;="&amp;DATE($B203,1,1),'Partial Purchases'!$B$3:$B$500,"&lt;="&amp;DATE($B203,12,31))/1000</f>
        <v>0</v>
      </c>
      <c r="J203" s="9" t="n">
        <f aca="false">C203*(D203+0.5*(G203-H203+I203-F203))</f>
        <v>0</v>
      </c>
      <c r="K203" s="9" t="n">
        <f aca="false">C203*(E203-D203+H203-G203-I203)</f>
        <v>0</v>
      </c>
      <c r="L203" s="13" t="str">
        <f aca="false">IF(J203=0,"",C203*F203/J203)</f>
        <v/>
      </c>
      <c r="M203" s="13" t="str">
        <f aca="false">IF(J203=0,"",K203/J203)</f>
        <v/>
      </c>
      <c r="N203" s="13" t="str">
        <f aca="false">IF(J203=0,"",L203+M203)</f>
        <v/>
      </c>
    </row>
    <row r="204" customFormat="false" ht="15" hidden="false" customHeight="false" outlineLevel="0" collapsed="false">
      <c r="A204" s="8" t="s">
        <v>29</v>
      </c>
      <c r="B204" s="46" t="n">
        <v>2012</v>
      </c>
      <c r="C204" s="10" t="n">
        <f aca="false">IF(D204&gt;0,1,0)</f>
        <v>0</v>
      </c>
      <c r="D204" s="9" t="n">
        <f aca="false">IF(SUMIFS(Sales!$D$3:$D$500,Sales!$C$3:$C$500,$A204,Sales!$B$3:$B$500,"&lt;="&amp;DATE($B204-1,12,31))&gt;0,0,SUMIFS('Asset Value'!$F$4:$F$500,'Asset Value'!$C$4:$C$500,$A204,'Asset Value'!$B$4:$B$500,$B204-1)/1000)</f>
        <v>0</v>
      </c>
      <c r="E204" s="9" t="n">
        <f aca="false">IF(SUMIFS(Sales!$D$3:$D$500,Sales!$C$3:$C$500,$A204,Sales!$B$3:$B$500,"&gt;="&amp;DATE($B204,1,1),Sales!$B$3:$B$500,"&lt;="&amp;DATE($B204,12,31))&gt;0,SUMIFS(Sales!$D$3:$D$500,Sales!$C$3:$C$500,$A204,Sales!$B$3:$B$500,"&gt;="&amp;DATE($B204,1,1),Sales!$B$3:$B$500,"&lt;="&amp;DATE($B204,12,31))/1000,SUMIFS('Asset Value'!$F$4:$F$500,'Asset Value'!$C$4:$C$500,$A204,'Asset Value'!$B$4:$B$500,$B204)/1000)</f>
        <v>84185</v>
      </c>
      <c r="F204" s="9" t="n">
        <f aca="false">SUMIFS(Rent!$E$3:$E$500,Rent!$D$3:$D$500,$A204,Rent!$C$3:$C$500,$B204)/1000</f>
        <v>5276</v>
      </c>
      <c r="G204" s="9" t="n">
        <f aca="false">SUMIFS(Costs!$D$3:$D$500,Costs!$C$3:$C$500,$A204,Costs!$B$3:$B$500,"&gt;="&amp;DATE($B204,1,1),Costs!$B$3:$B$500,"&lt;="&amp;DATE($B204,12,31))/1000</f>
        <v>0</v>
      </c>
      <c r="H204" s="9" t="n">
        <f aca="false">SUMIFS('Partial Sales'!$D$3:$D$500,'Partial Sales'!$C$3:$C$500,$A204,'Partial Sales'!$B$3:$B$500,"&gt;="&amp;DATE($B204,1,1),'Partial Sales'!$B$3:$B$500,"&lt;="&amp;DATE($B204,12,31))/1000</f>
        <v>0</v>
      </c>
      <c r="I204" s="9" t="n">
        <f aca="false">SUMIFS('Partial Purchases'!$D$3:$D$500,'Partial Purchases'!$C$3:$C$500,$A204,'Partial Purchases'!$B$3:$B$500,"&gt;="&amp;DATE($B204,1,1),'Partial Purchases'!$B$3:$B$500,"&lt;="&amp;DATE($B204,12,31))/1000</f>
        <v>0</v>
      </c>
      <c r="J204" s="9" t="n">
        <f aca="false">C204*(D204+0.5*(G204-H204+I204-F204))</f>
        <v>-0</v>
      </c>
      <c r="K204" s="9" t="n">
        <f aca="false">C204*(E204-D204+H204-G204-I204)</f>
        <v>0</v>
      </c>
      <c r="L204" s="13" t="str">
        <f aca="false">IF(J204=0,"",C204*F204/J204)</f>
        <v/>
      </c>
      <c r="M204" s="13" t="str">
        <f aca="false">IF(J204=0,"",K204/J204)</f>
        <v/>
      </c>
      <c r="N204" s="13" t="str">
        <f aca="false">IF(J204=0,"",L204+M204)</f>
        <v/>
      </c>
    </row>
    <row r="205" customFormat="false" ht="15" hidden="false" customHeight="false" outlineLevel="0" collapsed="false">
      <c r="A205" s="8" t="s">
        <v>29</v>
      </c>
      <c r="B205" s="46" t="n">
        <v>2013</v>
      </c>
      <c r="C205" s="10" t="n">
        <f aca="false">IF(D205&gt;0,1,0)</f>
        <v>1</v>
      </c>
      <c r="D205" s="9" t="n">
        <f aca="false">IF(SUMIFS(Sales!$D$3:$D$500,Sales!$C$3:$C$500,$A205,Sales!$B$3:$B$500,"&lt;="&amp;DATE($B205-1,12,31))&gt;0,0,SUMIFS('Asset Value'!$F$4:$F$500,'Asset Value'!$C$4:$C$500,$A205,'Asset Value'!$B$4:$B$500,$B205-1)/1000)</f>
        <v>84185</v>
      </c>
      <c r="E205" s="9" t="n">
        <f aca="false">IF(SUMIFS(Sales!$D$3:$D$500,Sales!$C$3:$C$500,$A205,Sales!$B$3:$B$500,"&gt;="&amp;DATE($B205,1,1),Sales!$B$3:$B$500,"&lt;="&amp;DATE($B205,12,31))&gt;0,SUMIFS(Sales!$D$3:$D$500,Sales!$C$3:$C$500,$A205,Sales!$B$3:$B$500,"&gt;="&amp;DATE($B205,1,1),Sales!$B$3:$B$500,"&lt;="&amp;DATE($B205,12,31))/1000,SUMIFS('Asset Value'!$F$4:$F$500,'Asset Value'!$C$4:$C$500,$A205,'Asset Value'!$B$4:$B$500,$B205)/1000)</f>
        <v>165731</v>
      </c>
      <c r="F205" s="9" t="n">
        <f aca="false">SUMIFS(Rent!$E$3:$E$500,Rent!$D$3:$D$500,$A205,Rent!$C$3:$C$500,$B205)/1000</f>
        <v>4830</v>
      </c>
      <c r="G205" s="9" t="n">
        <f aca="false">SUMIFS(Costs!$D$3:$D$500,Costs!$C$3:$C$500,$A205,Costs!$B$3:$B$500,"&gt;="&amp;DATE($B205,1,1),Costs!$B$3:$B$500,"&lt;="&amp;DATE($B205,12,31))/1000</f>
        <v>0</v>
      </c>
      <c r="H205" s="9" t="n">
        <f aca="false">SUMIFS('Partial Sales'!$D$3:$D$500,'Partial Sales'!$C$3:$C$500,$A205,'Partial Sales'!$B$3:$B$500,"&gt;="&amp;DATE($B205,1,1),'Partial Sales'!$B$3:$B$500,"&lt;="&amp;DATE($B205,12,31))/1000</f>
        <v>0</v>
      </c>
      <c r="I205" s="9" t="n">
        <f aca="false">SUMIFS('Partial Purchases'!$D$3:$D$500,'Partial Purchases'!$C$3:$C$500,$A205,'Partial Purchases'!$B$3:$B$500,"&gt;="&amp;DATE($B205,1,1),'Partial Purchases'!$B$3:$B$500,"&lt;="&amp;DATE($B205,12,31))/1000</f>
        <v>0</v>
      </c>
      <c r="J205" s="9" t="n">
        <f aca="false">C205*(D205+0.5*(G205-H205+I205-F205))</f>
        <v>81770</v>
      </c>
      <c r="K205" s="9" t="n">
        <f aca="false">C205*(E205-D205+H205-G205-I205)</f>
        <v>81546</v>
      </c>
      <c r="L205" s="13" t="n">
        <f aca="false">IF(J205=0,"",C205*F205/J205)</f>
        <v>0.0590681178916473</v>
      </c>
      <c r="M205" s="13" t="n">
        <f aca="false">IF(J205=0,"",K205/J205)</f>
        <v>0.997260609025315</v>
      </c>
      <c r="N205" s="13" t="n">
        <f aca="false">IF(J205=0,"",L205+M205)</f>
        <v>1.05632872691696</v>
      </c>
    </row>
    <row r="206" customFormat="false" ht="15" hidden="false" customHeight="false" outlineLevel="0" collapsed="false">
      <c r="A206" s="8" t="s">
        <v>29</v>
      </c>
      <c r="B206" s="46" t="n">
        <v>2014</v>
      </c>
      <c r="C206" s="10" t="n">
        <f aca="false">IF(D206&gt;0,1,0)</f>
        <v>1</v>
      </c>
      <c r="D206" s="9" t="n">
        <f aca="false">IF(SUMIFS(Sales!$D$3:$D$500,Sales!$C$3:$C$500,$A206,Sales!$B$3:$B$500,"&lt;="&amp;DATE($B206-1,12,31))&gt;0,0,SUMIFS('Asset Value'!$F$4:$F$500,'Asset Value'!$C$4:$C$500,$A206,'Asset Value'!$B$4:$B$500,$B206-1)/1000)</f>
        <v>165731</v>
      </c>
      <c r="E206" s="9" t="n">
        <f aca="false">IF(SUMIFS(Sales!$D$3:$D$500,Sales!$C$3:$C$500,$A206,Sales!$B$3:$B$500,"&gt;="&amp;DATE($B206,1,1),Sales!$B$3:$B$500,"&lt;="&amp;DATE($B206,12,31))&gt;0,SUMIFS(Sales!$D$3:$D$500,Sales!$C$3:$C$500,$A206,Sales!$B$3:$B$500,"&gt;="&amp;DATE($B206,1,1),Sales!$B$3:$B$500,"&lt;="&amp;DATE($B206,12,31))/1000,SUMIFS('Asset Value'!$F$4:$F$500,'Asset Value'!$C$4:$C$500,$A206,'Asset Value'!$B$4:$B$500,$B206)/1000)</f>
        <v>170931</v>
      </c>
      <c r="F206" s="9" t="n">
        <f aca="false">SUMIFS(Rent!$E$3:$E$500,Rent!$D$3:$D$500,$A206,Rent!$C$3:$C$500,$B206)/1000</f>
        <v>5172</v>
      </c>
      <c r="G206" s="9" t="n">
        <f aca="false">SUMIFS(Costs!$D$3:$D$500,Costs!$C$3:$C$500,$A206,Costs!$B$3:$B$500,"&gt;="&amp;DATE($B206,1,1),Costs!$B$3:$B$500,"&lt;="&amp;DATE($B206,12,31))/1000</f>
        <v>0</v>
      </c>
      <c r="H206" s="9" t="n">
        <f aca="false">SUMIFS('Partial Sales'!$D$3:$D$500,'Partial Sales'!$C$3:$C$500,$A206,'Partial Sales'!$B$3:$B$500,"&gt;="&amp;DATE($B206,1,1),'Partial Sales'!$B$3:$B$500,"&lt;="&amp;DATE($B206,12,31))/1000</f>
        <v>0</v>
      </c>
      <c r="I206" s="9" t="n">
        <f aca="false">SUMIFS('Partial Purchases'!$D$3:$D$500,'Partial Purchases'!$C$3:$C$500,$A206,'Partial Purchases'!$B$3:$B$500,"&gt;="&amp;DATE($B206,1,1),'Partial Purchases'!$B$3:$B$500,"&lt;="&amp;DATE($B206,12,31))/1000</f>
        <v>0</v>
      </c>
      <c r="J206" s="9" t="n">
        <f aca="false">C206*(D206+0.5*(G206-H206+I206-F206))</f>
        <v>163145</v>
      </c>
      <c r="K206" s="9" t="n">
        <f aca="false">C206*(E206-D206+H206-G206-I206)</f>
        <v>5200</v>
      </c>
      <c r="L206" s="13" t="n">
        <f aca="false">IF(J206=0,"",C206*F206/J206)</f>
        <v>0.0317018603083147</v>
      </c>
      <c r="M206" s="13" t="n">
        <f aca="false">IF(J206=0,"",K206/J206)</f>
        <v>0.0318734867755678</v>
      </c>
      <c r="N206" s="13" t="n">
        <f aca="false">IF(J206=0,"",L206+M206)</f>
        <v>0.0635753470838824</v>
      </c>
    </row>
    <row r="207" customFormat="false" ht="15" hidden="false" customHeight="false" outlineLevel="0" collapsed="false">
      <c r="A207" s="47" t="s">
        <v>29</v>
      </c>
      <c r="B207" s="48" t="n">
        <v>2015</v>
      </c>
      <c r="C207" s="49" t="n">
        <f aca="false">IF(D207&gt;0,1,0)</f>
        <v>1</v>
      </c>
      <c r="D207" s="50" t="n">
        <f aca="false">IF(SUMIFS(Sales!$D$3:$D$500,Sales!$C$3:$C$500,$A207,Sales!$B$3:$B$500,"&lt;="&amp;DATE($B207-1,12,31))&gt;0,0,SUMIFS('Asset Value'!$F$4:$F$500,'Asset Value'!$C$4:$C$500,$A207,'Asset Value'!$B$4:$B$500,$B207-1)/1000)</f>
        <v>170931</v>
      </c>
      <c r="E207" s="50" t="n">
        <f aca="false">IF(SUMIFS(Sales!$D$3:$D$500,Sales!$C$3:$C$500,$A207,Sales!$B$3:$B$500,"&gt;="&amp;DATE($B207,1,1),Sales!$B$3:$B$500,"&lt;="&amp;DATE($B207,12,31))&gt;0,SUMIFS(Sales!$D$3:$D$500,Sales!$C$3:$C$500,$A207,Sales!$B$3:$B$500,"&gt;="&amp;DATE($B207,1,1),Sales!$B$3:$B$500,"&lt;="&amp;DATE($B207,12,31))/1000,SUMIFS('Asset Value'!$F$4:$F$500,'Asset Value'!$C$4:$C$500,$A207,'Asset Value'!$B$4:$B$500,$B207)/1000)</f>
        <v>175030</v>
      </c>
      <c r="F207" s="50" t="n">
        <f aca="false">SUMIFS(Rent!$E$3:$E$500,Rent!$D$3:$D$500,$A207,Rent!$C$3:$C$500,$B207)/1000</f>
        <v>5990</v>
      </c>
      <c r="G207" s="50" t="n">
        <f aca="false">SUMIFS(Costs!$D$3:$D$500,Costs!$C$3:$C$500,$A207,Costs!$B$3:$B$500,"&gt;="&amp;DATE($B207,1,1),Costs!$B$3:$B$500,"&lt;="&amp;DATE($B207,12,31))/1000</f>
        <v>0</v>
      </c>
      <c r="H207" s="50" t="n">
        <f aca="false">SUMIFS('Partial Sales'!$D$3:$D$500,'Partial Sales'!$C$3:$C$500,$A207,'Partial Sales'!$B$3:$B$500,"&gt;="&amp;DATE($B207,1,1),'Partial Sales'!$B$3:$B$500,"&lt;="&amp;DATE($B207,12,31))/1000</f>
        <v>0</v>
      </c>
      <c r="I207" s="50" t="n">
        <f aca="false">SUMIFS('Partial Purchases'!$D$3:$D$500,'Partial Purchases'!$C$3:$C$500,$A207,'Partial Purchases'!$B$3:$B$500,"&gt;="&amp;DATE($B207,1,1),'Partial Purchases'!$B$3:$B$500,"&lt;="&amp;DATE($B207,12,31))/1000</f>
        <v>0</v>
      </c>
      <c r="J207" s="50" t="n">
        <f aca="false">C207*(D207+0.5*(G207-H207+I207-F207))</f>
        <v>167936</v>
      </c>
      <c r="K207" s="50" t="n">
        <f aca="false">C207*(E207-D207+H207-G207-I207)</f>
        <v>4099</v>
      </c>
      <c r="L207" s="44" t="n">
        <f aca="false">IF(J207=0,"",C207*F207/J207)</f>
        <v>0.035668349847561</v>
      </c>
      <c r="M207" s="44" t="n">
        <f aca="false">IF(J207=0,"",K207/J207)</f>
        <v>0.0244081078506098</v>
      </c>
      <c r="N207" s="44" t="n">
        <f aca="false">IF(J207=0,"",L207+M207)</f>
        <v>0.0600764576981707</v>
      </c>
    </row>
    <row r="208" customFormat="false" ht="15" hidden="false" customHeight="false" outlineLevel="0" collapsed="false">
      <c r="A208" s="8" t="s">
        <v>30</v>
      </c>
      <c r="B208" s="46" t="n">
        <v>2008</v>
      </c>
      <c r="C208" s="10" t="n">
        <f aca="false">IF(D208&gt;0,1,0)</f>
        <v>0</v>
      </c>
      <c r="D208" s="9" t="n">
        <f aca="false">IF(SUMIFS(Sales!$D$3:$D$500,Sales!$C$3:$C$500,$A208,Sales!$B$3:$B$500,"&lt;="&amp;DATE($B208-1,12,31))&gt;0,0,SUMIFS('Asset Value'!$F$4:$F$500,'Asset Value'!$C$4:$C$500,$A208,'Asset Value'!$B$4:$B$500,$B208-1)/1000)</f>
        <v>0</v>
      </c>
      <c r="E208" s="9" t="n">
        <f aca="false">IF(SUMIFS(Sales!$D$3:$D$500,Sales!$C$3:$C$500,$A208,Sales!$B$3:$B$500,"&gt;="&amp;DATE($B208,1,1),Sales!$B$3:$B$500,"&lt;="&amp;DATE($B208,12,31))&gt;0,SUMIFS(Sales!$D$3:$D$500,Sales!$C$3:$C$500,$A208,Sales!$B$3:$B$500,"&gt;="&amp;DATE($B208,1,1),Sales!$B$3:$B$500,"&lt;="&amp;DATE($B208,12,31))/1000,SUMIFS('Asset Value'!$F$4:$F$500,'Asset Value'!$C$4:$C$500,$A208,'Asset Value'!$B$4:$B$500,$B208)/1000)</f>
        <v>108480</v>
      </c>
      <c r="F208" s="9" t="n">
        <f aca="false">SUMIFS(Rent!$E$3:$E$500,Rent!$D$3:$D$500,$A208,Rent!$C$3:$C$500,$B208)/1000</f>
        <v>0</v>
      </c>
      <c r="G208" s="9" t="n">
        <f aca="false">SUMIFS(Costs!$D$3:$D$500,Costs!$C$3:$C$500,$A208,Costs!$B$3:$B$500,"&gt;="&amp;DATE($B208,1,1),Costs!$B$3:$B$500,"&lt;="&amp;DATE($B208,12,31))/1000</f>
        <v>0</v>
      </c>
      <c r="H208" s="9" t="n">
        <f aca="false">SUMIFS('Partial Sales'!$D$3:$D$500,'Partial Sales'!$C$3:$C$500,$A208,'Partial Sales'!$B$3:$B$500,"&gt;="&amp;DATE($B208,1,1),'Partial Sales'!$B$3:$B$500,"&lt;="&amp;DATE($B208,12,31))/1000</f>
        <v>0</v>
      </c>
      <c r="I208" s="9" t="n">
        <f aca="false">SUMIFS('Partial Purchases'!$D$3:$D$500,'Partial Purchases'!$C$3:$C$500,$A208,'Partial Purchases'!$B$3:$B$500,"&gt;="&amp;DATE($B208,1,1),'Partial Purchases'!$B$3:$B$500,"&lt;="&amp;DATE($B208,12,31))/1000</f>
        <v>0</v>
      </c>
      <c r="J208" s="9" t="n">
        <f aca="false">C208*(D208+0.5*(G208-H208+I208-F208))</f>
        <v>0</v>
      </c>
      <c r="K208" s="9" t="n">
        <f aca="false">C208*(E208-D208+H208-G208-I208)</f>
        <v>0</v>
      </c>
      <c r="L208" s="13" t="str">
        <f aca="false">IF(J208=0,"",C208*F208/J208)</f>
        <v/>
      </c>
      <c r="M208" s="13" t="str">
        <f aca="false">IF(J208=0,"",K208/J208)</f>
        <v/>
      </c>
      <c r="N208" s="13" t="str">
        <f aca="false">IF(J208=0,"",L208+M208)</f>
        <v/>
      </c>
    </row>
    <row r="209" customFormat="false" ht="15" hidden="false" customHeight="false" outlineLevel="0" collapsed="false">
      <c r="A209" s="8" t="s">
        <v>30</v>
      </c>
      <c r="B209" s="46" t="n">
        <v>2009</v>
      </c>
      <c r="C209" s="10" t="n">
        <f aca="false">IF(D209&gt;0,1,0)</f>
        <v>1</v>
      </c>
      <c r="D209" s="9" t="n">
        <f aca="false">IF(SUMIFS(Sales!$D$3:$D$500,Sales!$C$3:$C$500,$A209,Sales!$B$3:$B$500,"&lt;="&amp;DATE($B209-1,12,31))&gt;0,0,SUMIFS('Asset Value'!$F$4:$F$500,'Asset Value'!$C$4:$C$500,$A209,'Asset Value'!$B$4:$B$500,$B209-1)/1000)</f>
        <v>108480</v>
      </c>
      <c r="E209" s="9" t="n">
        <f aca="false">IF(SUMIFS(Sales!$D$3:$D$500,Sales!$C$3:$C$500,$A209,Sales!$B$3:$B$500,"&gt;="&amp;DATE($B209,1,1),Sales!$B$3:$B$500,"&lt;="&amp;DATE($B209,12,31))&gt;0,SUMIFS(Sales!$D$3:$D$500,Sales!$C$3:$C$500,$A209,Sales!$B$3:$B$500,"&gt;="&amp;DATE($B209,1,1),Sales!$B$3:$B$500,"&lt;="&amp;DATE($B209,12,31))/1000,SUMIFS('Asset Value'!$F$4:$F$500,'Asset Value'!$C$4:$C$500,$A209,'Asset Value'!$B$4:$B$500,$B209)/1000)</f>
        <v>232990</v>
      </c>
      <c r="F209" s="9" t="n">
        <f aca="false">SUMIFS(Rent!$E$3:$E$500,Rent!$D$3:$D$500,$A209,Rent!$C$3:$C$500,$B209)/1000</f>
        <v>0</v>
      </c>
      <c r="G209" s="9" t="n">
        <f aca="false">SUMIFS(Costs!$D$3:$D$500,Costs!$C$3:$C$500,$A209,Costs!$B$3:$B$500,"&gt;="&amp;DATE($B209,1,1),Costs!$B$3:$B$500,"&lt;="&amp;DATE($B209,12,31))/1000</f>
        <v>0</v>
      </c>
      <c r="H209" s="9" t="n">
        <f aca="false">SUMIFS('Partial Sales'!$D$3:$D$500,'Partial Sales'!$C$3:$C$500,$A209,'Partial Sales'!$B$3:$B$500,"&gt;="&amp;DATE($B209,1,1),'Partial Sales'!$B$3:$B$500,"&lt;="&amp;DATE($B209,12,31))/1000</f>
        <v>0</v>
      </c>
      <c r="I209" s="9" t="n">
        <f aca="false">SUMIFS('Partial Purchases'!$D$3:$D$500,'Partial Purchases'!$C$3:$C$500,$A209,'Partial Purchases'!$B$3:$B$500,"&gt;="&amp;DATE($B209,1,1),'Partial Purchases'!$B$3:$B$500,"&lt;="&amp;DATE($B209,12,31))/1000</f>
        <v>0</v>
      </c>
      <c r="J209" s="9" t="n">
        <f aca="false">C209*(D209+0.5*(G209-H209+I209-F209))</f>
        <v>108480</v>
      </c>
      <c r="K209" s="9" t="n">
        <f aca="false">C209*(E209-D209+H209-G209-I209)</f>
        <v>124510</v>
      </c>
      <c r="L209" s="13" t="n">
        <f aca="false">IF(J209=0,"",C209*F209/J209)</f>
        <v>0</v>
      </c>
      <c r="M209" s="13" t="n">
        <f aca="false">IF(J209=0,"",K209/J209)</f>
        <v>1.1477691740413</v>
      </c>
      <c r="N209" s="13" t="n">
        <f aca="false">IF(J209=0,"",L209+M209)</f>
        <v>1.1477691740413</v>
      </c>
    </row>
    <row r="210" customFormat="false" ht="15" hidden="false" customHeight="false" outlineLevel="0" collapsed="false">
      <c r="A210" s="8" t="s">
        <v>30</v>
      </c>
      <c r="B210" s="46" t="n">
        <v>2010</v>
      </c>
      <c r="C210" s="10" t="n">
        <f aca="false">IF(D210&gt;0,1,0)</f>
        <v>1</v>
      </c>
      <c r="D210" s="9" t="n">
        <f aca="false">IF(SUMIFS(Sales!$D$3:$D$500,Sales!$C$3:$C$500,$A210,Sales!$B$3:$B$500,"&lt;="&amp;DATE($B210-1,12,31))&gt;0,0,SUMIFS('Asset Value'!$F$4:$F$500,'Asset Value'!$C$4:$C$500,$A210,'Asset Value'!$B$4:$B$500,$B210-1)/1000)</f>
        <v>232990</v>
      </c>
      <c r="E210" s="9" t="n">
        <f aca="false">IF(SUMIFS(Sales!$D$3:$D$500,Sales!$C$3:$C$500,$A210,Sales!$B$3:$B$500,"&gt;="&amp;DATE($B210,1,1),Sales!$B$3:$B$500,"&lt;="&amp;DATE($B210,12,31))&gt;0,SUMIFS(Sales!$D$3:$D$500,Sales!$C$3:$C$500,$A210,Sales!$B$3:$B$500,"&gt;="&amp;DATE($B210,1,1),Sales!$B$3:$B$500,"&lt;="&amp;DATE($B210,12,31))/1000,SUMIFS('Asset Value'!$F$4:$F$500,'Asset Value'!$C$4:$C$500,$A210,'Asset Value'!$B$4:$B$500,$B210)/1000)</f>
        <v>200050</v>
      </c>
      <c r="F210" s="9" t="n">
        <f aca="false">SUMIFS(Rent!$E$3:$E$500,Rent!$D$3:$D$500,$A210,Rent!$C$3:$C$500,$B210)/1000</f>
        <v>0</v>
      </c>
      <c r="G210" s="9" t="n">
        <f aca="false">SUMIFS(Costs!$D$3:$D$500,Costs!$C$3:$C$500,$A210,Costs!$B$3:$B$500,"&gt;="&amp;DATE($B210,1,1),Costs!$B$3:$B$500,"&lt;="&amp;DATE($B210,12,31))/1000</f>
        <v>0</v>
      </c>
      <c r="H210" s="9" t="n">
        <f aca="false">SUMIFS('Partial Sales'!$D$3:$D$500,'Partial Sales'!$C$3:$C$500,$A210,'Partial Sales'!$B$3:$B$500,"&gt;="&amp;DATE($B210,1,1),'Partial Sales'!$B$3:$B$500,"&lt;="&amp;DATE($B210,12,31))/1000</f>
        <v>0</v>
      </c>
      <c r="I210" s="9" t="n">
        <f aca="false">SUMIFS('Partial Purchases'!$D$3:$D$500,'Partial Purchases'!$C$3:$C$500,$A210,'Partial Purchases'!$B$3:$B$500,"&gt;="&amp;DATE($B210,1,1),'Partial Purchases'!$B$3:$B$500,"&lt;="&amp;DATE($B210,12,31))/1000</f>
        <v>0</v>
      </c>
      <c r="J210" s="9" t="n">
        <f aca="false">C210*(D210+0.5*(G210-H210+I210-F210))</f>
        <v>232990</v>
      </c>
      <c r="K210" s="9" t="n">
        <f aca="false">C210*(E210-D210+H210-G210-I210)</f>
        <v>-32940</v>
      </c>
      <c r="L210" s="13" t="n">
        <f aca="false">IF(J210=0,"",C210*F210/J210)</f>
        <v>0</v>
      </c>
      <c r="M210" s="13" t="n">
        <f aca="false">IF(J210=0,"",K210/J210)</f>
        <v>-0.141379458345852</v>
      </c>
      <c r="N210" s="13" t="n">
        <f aca="false">IF(J210=0,"",L210+M210)</f>
        <v>-0.141379458345852</v>
      </c>
    </row>
    <row r="211" customFormat="false" ht="15" hidden="false" customHeight="false" outlineLevel="0" collapsed="false">
      <c r="A211" s="8" t="s">
        <v>30</v>
      </c>
      <c r="B211" s="46" t="n">
        <v>2011</v>
      </c>
      <c r="C211" s="10" t="n">
        <f aca="false">IF(D211&gt;0,1,0)</f>
        <v>1</v>
      </c>
      <c r="D211" s="9" t="n">
        <f aca="false">IF(SUMIFS(Sales!$D$3:$D$500,Sales!$C$3:$C$500,$A211,Sales!$B$3:$B$500,"&lt;="&amp;DATE($B211-1,12,31))&gt;0,0,SUMIFS('Asset Value'!$F$4:$F$500,'Asset Value'!$C$4:$C$500,$A211,'Asset Value'!$B$4:$B$500,$B211-1)/1000)</f>
        <v>200050</v>
      </c>
      <c r="E211" s="9" t="n">
        <f aca="false">IF(SUMIFS(Sales!$D$3:$D$500,Sales!$C$3:$C$500,$A211,Sales!$B$3:$B$500,"&gt;="&amp;DATE($B211,1,1),Sales!$B$3:$B$500,"&lt;="&amp;DATE($B211,12,31))&gt;0,SUMIFS(Sales!$D$3:$D$500,Sales!$C$3:$C$500,$A211,Sales!$B$3:$B$500,"&gt;="&amp;DATE($B211,1,1),Sales!$B$3:$B$500,"&lt;="&amp;DATE($B211,12,31))/1000,SUMIFS('Asset Value'!$F$4:$F$500,'Asset Value'!$C$4:$C$500,$A211,'Asset Value'!$B$4:$B$500,$B211)/1000)</f>
        <v>219290</v>
      </c>
      <c r="F211" s="9" t="n">
        <f aca="false">SUMIFS(Rent!$E$3:$E$500,Rent!$D$3:$D$500,$A211,Rent!$C$3:$C$500,$B211)/1000</f>
        <v>0</v>
      </c>
      <c r="G211" s="9" t="n">
        <f aca="false">SUMIFS(Costs!$D$3:$D$500,Costs!$C$3:$C$500,$A211,Costs!$B$3:$B$500,"&gt;="&amp;DATE($B211,1,1),Costs!$B$3:$B$500,"&lt;="&amp;DATE($B211,12,31))/1000</f>
        <v>0</v>
      </c>
      <c r="H211" s="9" t="n">
        <f aca="false">SUMIFS('Partial Sales'!$D$3:$D$500,'Partial Sales'!$C$3:$C$500,$A211,'Partial Sales'!$B$3:$B$500,"&gt;="&amp;DATE($B211,1,1),'Partial Sales'!$B$3:$B$500,"&lt;="&amp;DATE($B211,12,31))/1000</f>
        <v>0</v>
      </c>
      <c r="I211" s="9" t="n">
        <f aca="false">SUMIFS('Partial Purchases'!$D$3:$D$500,'Partial Purchases'!$C$3:$C$500,$A211,'Partial Purchases'!$B$3:$B$500,"&gt;="&amp;DATE($B211,1,1),'Partial Purchases'!$B$3:$B$500,"&lt;="&amp;DATE($B211,12,31))/1000</f>
        <v>0</v>
      </c>
      <c r="J211" s="9" t="n">
        <f aca="false">C211*(D211+0.5*(G211-H211+I211-F211))</f>
        <v>200050</v>
      </c>
      <c r="K211" s="9" t="n">
        <f aca="false">C211*(E211-D211+H211-G211-I211)</f>
        <v>19240</v>
      </c>
      <c r="L211" s="13" t="n">
        <f aca="false">IF(J211=0,"",C211*F211/J211)</f>
        <v>0</v>
      </c>
      <c r="M211" s="13" t="n">
        <f aca="false">IF(J211=0,"",K211/J211)</f>
        <v>0.0961759560109973</v>
      </c>
      <c r="N211" s="13" t="n">
        <f aca="false">IF(J211=0,"",L211+M211)</f>
        <v>0.0961759560109973</v>
      </c>
    </row>
    <row r="212" customFormat="false" ht="15" hidden="false" customHeight="false" outlineLevel="0" collapsed="false">
      <c r="A212" s="8" t="s">
        <v>30</v>
      </c>
      <c r="B212" s="46" t="n">
        <v>2012</v>
      </c>
      <c r="C212" s="10" t="n">
        <f aca="false">IF(D212&gt;0,1,0)</f>
        <v>1</v>
      </c>
      <c r="D212" s="9" t="n">
        <f aca="false">IF(SUMIFS(Sales!$D$3:$D$500,Sales!$C$3:$C$500,$A212,Sales!$B$3:$B$500,"&lt;="&amp;DATE($B212-1,12,31))&gt;0,0,SUMIFS('Asset Value'!$F$4:$F$500,'Asset Value'!$C$4:$C$500,$A212,'Asset Value'!$B$4:$B$500,$B212-1)/1000)</f>
        <v>219290</v>
      </c>
      <c r="E212" s="9" t="n">
        <f aca="false">IF(SUMIFS(Sales!$D$3:$D$500,Sales!$C$3:$C$500,$A212,Sales!$B$3:$B$500,"&gt;="&amp;DATE($B212,1,1),Sales!$B$3:$B$500,"&lt;="&amp;DATE($B212,12,31))&gt;0,SUMIFS(Sales!$D$3:$D$500,Sales!$C$3:$C$500,$A212,Sales!$B$3:$B$500,"&gt;="&amp;DATE($B212,1,1),Sales!$B$3:$B$500,"&lt;="&amp;DATE($B212,12,31))/1000,SUMIFS('Asset Value'!$F$4:$F$500,'Asset Value'!$C$4:$C$500,$A212,'Asset Value'!$B$4:$B$500,$B212)/1000)</f>
        <v>255020</v>
      </c>
      <c r="F212" s="9" t="n">
        <f aca="false">SUMIFS(Rent!$E$3:$E$500,Rent!$D$3:$D$500,$A212,Rent!$C$3:$C$500,$B212)/1000</f>
        <v>0</v>
      </c>
      <c r="G212" s="9" t="n">
        <f aca="false">SUMIFS(Costs!$D$3:$D$500,Costs!$C$3:$C$500,$A212,Costs!$B$3:$B$500,"&gt;="&amp;DATE($B212,1,1),Costs!$B$3:$B$500,"&lt;="&amp;DATE($B212,12,31))/1000</f>
        <v>0</v>
      </c>
      <c r="H212" s="9" t="n">
        <f aca="false">SUMIFS('Partial Sales'!$D$3:$D$500,'Partial Sales'!$C$3:$C$500,$A212,'Partial Sales'!$B$3:$B$500,"&gt;="&amp;DATE($B212,1,1),'Partial Sales'!$B$3:$B$500,"&lt;="&amp;DATE($B212,12,31))/1000</f>
        <v>0</v>
      </c>
      <c r="I212" s="9" t="n">
        <f aca="false">SUMIFS('Partial Purchases'!$D$3:$D$500,'Partial Purchases'!$C$3:$C$500,$A212,'Partial Purchases'!$B$3:$B$500,"&gt;="&amp;DATE($B212,1,1),'Partial Purchases'!$B$3:$B$500,"&lt;="&amp;DATE($B212,12,31))/1000</f>
        <v>0</v>
      </c>
      <c r="J212" s="9" t="n">
        <f aca="false">C212*(D212+0.5*(G212-H212+I212-F212))</f>
        <v>219290</v>
      </c>
      <c r="K212" s="9" t="n">
        <f aca="false">C212*(E212-D212+H212-G212-I212)</f>
        <v>35730</v>
      </c>
      <c r="L212" s="13" t="n">
        <f aca="false">IF(J212=0,"",C212*F212/J212)</f>
        <v>0</v>
      </c>
      <c r="M212" s="13" t="n">
        <f aca="false">IF(J212=0,"",K212/J212)</f>
        <v>0.162934926353231</v>
      </c>
      <c r="N212" s="13" t="n">
        <f aca="false">IF(J212=0,"",L212+M212)</f>
        <v>0.162934926353231</v>
      </c>
    </row>
    <row r="213" customFormat="false" ht="15" hidden="false" customHeight="false" outlineLevel="0" collapsed="false">
      <c r="A213" s="8" t="s">
        <v>30</v>
      </c>
      <c r="B213" s="46" t="n">
        <v>2013</v>
      </c>
      <c r="C213" s="10" t="n">
        <f aca="false">IF(D213&gt;0,1,0)</f>
        <v>1</v>
      </c>
      <c r="D213" s="9" t="n">
        <f aca="false">IF(SUMIFS(Sales!$D$3:$D$500,Sales!$C$3:$C$500,$A213,Sales!$B$3:$B$500,"&lt;="&amp;DATE($B213-1,12,31))&gt;0,0,SUMIFS('Asset Value'!$F$4:$F$500,'Asset Value'!$C$4:$C$500,$A213,'Asset Value'!$B$4:$B$500,$B213-1)/1000)</f>
        <v>255020</v>
      </c>
      <c r="E213" s="9" t="n">
        <f aca="false">IF(SUMIFS(Sales!$D$3:$D$500,Sales!$C$3:$C$500,$A213,Sales!$B$3:$B$500,"&gt;="&amp;DATE($B213,1,1),Sales!$B$3:$B$500,"&lt;="&amp;DATE($B213,12,31))&gt;0,SUMIFS(Sales!$D$3:$D$500,Sales!$C$3:$C$500,$A213,Sales!$B$3:$B$500,"&gt;="&amp;DATE($B213,1,1),Sales!$B$3:$B$500,"&lt;="&amp;DATE($B213,12,31))/1000,SUMIFS('Asset Value'!$F$4:$F$500,'Asset Value'!$C$4:$C$500,$A213,'Asset Value'!$B$4:$B$500,$B213)/1000)</f>
        <v>256728</v>
      </c>
      <c r="F213" s="9" t="n">
        <f aca="false">SUMIFS(Rent!$E$3:$E$500,Rent!$D$3:$D$500,$A213,Rent!$C$3:$C$500,$B213)/1000</f>
        <v>0</v>
      </c>
      <c r="G213" s="9" t="n">
        <f aca="false">SUMIFS(Costs!$D$3:$D$500,Costs!$C$3:$C$500,$A213,Costs!$B$3:$B$500,"&gt;="&amp;DATE($B213,1,1),Costs!$B$3:$B$500,"&lt;="&amp;DATE($B213,12,31))/1000</f>
        <v>0</v>
      </c>
      <c r="H213" s="9" t="n">
        <f aca="false">SUMIFS('Partial Sales'!$D$3:$D$500,'Partial Sales'!$C$3:$C$500,$A213,'Partial Sales'!$B$3:$B$500,"&gt;="&amp;DATE($B213,1,1),'Partial Sales'!$B$3:$B$500,"&lt;="&amp;DATE($B213,12,31))/1000</f>
        <v>0</v>
      </c>
      <c r="I213" s="9" t="n">
        <f aca="false">SUMIFS('Partial Purchases'!$D$3:$D$500,'Partial Purchases'!$C$3:$C$500,$A213,'Partial Purchases'!$B$3:$B$500,"&gt;="&amp;DATE($B213,1,1),'Partial Purchases'!$B$3:$B$500,"&lt;="&amp;DATE($B213,12,31))/1000</f>
        <v>0</v>
      </c>
      <c r="J213" s="9" t="n">
        <f aca="false">C213*(D213+0.5*(G213-H213+I213-F213))</f>
        <v>255020</v>
      </c>
      <c r="K213" s="9" t="n">
        <f aca="false">C213*(E213-D213+H213-G213-I213)</f>
        <v>1708</v>
      </c>
      <c r="L213" s="13" t="n">
        <f aca="false">IF(J213=0,"",C213*F213/J213)</f>
        <v>0</v>
      </c>
      <c r="M213" s="13" t="n">
        <f aca="false">IF(J213=0,"",K213/J213)</f>
        <v>0.00669751392047683</v>
      </c>
      <c r="N213" s="13" t="n">
        <f aca="false">IF(J213=0,"",L213+M213)</f>
        <v>0.00669751392047683</v>
      </c>
    </row>
    <row r="214" customFormat="false" ht="15" hidden="false" customHeight="false" outlineLevel="0" collapsed="false">
      <c r="A214" s="8" t="s">
        <v>30</v>
      </c>
      <c r="B214" s="46" t="n">
        <v>2014</v>
      </c>
      <c r="C214" s="10" t="n">
        <f aca="false">IF(D214&gt;0,1,0)</f>
        <v>1</v>
      </c>
      <c r="D214" s="9" t="n">
        <f aca="false">IF(SUMIFS(Sales!$D$3:$D$500,Sales!$C$3:$C$500,$A214,Sales!$B$3:$B$500,"&lt;="&amp;DATE($B214-1,12,31))&gt;0,0,SUMIFS('Asset Value'!$F$4:$F$500,'Asset Value'!$C$4:$C$500,$A214,'Asset Value'!$B$4:$B$500,$B214-1)/1000)</f>
        <v>256728</v>
      </c>
      <c r="E214" s="9" t="n">
        <f aca="false">IF(SUMIFS(Sales!$D$3:$D$500,Sales!$C$3:$C$500,$A214,Sales!$B$3:$B$500,"&gt;="&amp;DATE($B214,1,1),Sales!$B$3:$B$500,"&lt;="&amp;DATE($B214,12,31))&gt;0,SUMIFS(Sales!$D$3:$D$500,Sales!$C$3:$C$500,$A214,Sales!$B$3:$B$500,"&gt;="&amp;DATE($B214,1,1),Sales!$B$3:$B$500,"&lt;="&amp;DATE($B214,12,31))/1000,SUMIFS('Asset Value'!$F$4:$F$500,'Asset Value'!$C$4:$C$500,$A214,'Asset Value'!$B$4:$B$500,$B214)/1000)</f>
        <v>308243</v>
      </c>
      <c r="F214" s="9" t="n">
        <f aca="false">SUMIFS(Rent!$E$3:$E$500,Rent!$D$3:$D$500,$A214,Rent!$C$3:$C$500,$B214)/1000</f>
        <v>0</v>
      </c>
      <c r="G214" s="9" t="n">
        <f aca="false">SUMIFS(Costs!$D$3:$D$500,Costs!$C$3:$C$500,$A214,Costs!$B$3:$B$500,"&gt;="&amp;DATE($B214,1,1),Costs!$B$3:$B$500,"&lt;="&amp;DATE($B214,12,31))/1000</f>
        <v>0</v>
      </c>
      <c r="H214" s="9" t="n">
        <f aca="false">SUMIFS('Partial Sales'!$D$3:$D$500,'Partial Sales'!$C$3:$C$500,$A214,'Partial Sales'!$B$3:$B$500,"&gt;="&amp;DATE($B214,1,1),'Partial Sales'!$B$3:$B$500,"&lt;="&amp;DATE($B214,12,31))/1000</f>
        <v>0</v>
      </c>
      <c r="I214" s="9" t="n">
        <f aca="false">SUMIFS('Partial Purchases'!$D$3:$D$500,'Partial Purchases'!$C$3:$C$500,$A214,'Partial Purchases'!$B$3:$B$500,"&gt;="&amp;DATE($B214,1,1),'Partial Purchases'!$B$3:$B$500,"&lt;="&amp;DATE($B214,12,31))/1000</f>
        <v>0</v>
      </c>
      <c r="J214" s="9" t="n">
        <f aca="false">C214*(D214+0.5*(G214-H214+I214-F214))</f>
        <v>256728</v>
      </c>
      <c r="K214" s="9" t="n">
        <f aca="false">C214*(E214-D214+H214-G214-I214)</f>
        <v>51515</v>
      </c>
      <c r="L214" s="13" t="n">
        <f aca="false">IF(J214=0,"",C214*F214/J214)</f>
        <v>0</v>
      </c>
      <c r="M214" s="13" t="n">
        <f aca="false">IF(J214=0,"",K214/J214)</f>
        <v>0.200659842323393</v>
      </c>
      <c r="N214" s="13" t="n">
        <f aca="false">IF(J214=0,"",L214+M214)</f>
        <v>0.200659842323393</v>
      </c>
    </row>
    <row r="215" customFormat="false" ht="15" hidden="false" customHeight="false" outlineLevel="0" collapsed="false">
      <c r="A215" s="47" t="s">
        <v>30</v>
      </c>
      <c r="B215" s="48" t="n">
        <v>2015</v>
      </c>
      <c r="C215" s="49" t="n">
        <f aca="false">IF(D215&gt;0,1,0)</f>
        <v>1</v>
      </c>
      <c r="D215" s="50" t="n">
        <f aca="false">IF(SUMIFS(Sales!$D$3:$D$500,Sales!$C$3:$C$500,$A215,Sales!$B$3:$B$500,"&lt;="&amp;DATE($B215-1,12,31))&gt;0,0,SUMIFS('Asset Value'!$F$4:$F$500,'Asset Value'!$C$4:$C$500,$A215,'Asset Value'!$B$4:$B$500,$B215-1)/1000)</f>
        <v>308243</v>
      </c>
      <c r="E215" s="50" t="n">
        <f aca="false">IF(SUMIFS(Sales!$D$3:$D$500,Sales!$C$3:$C$500,$A215,Sales!$B$3:$B$500,"&gt;="&amp;DATE($B215,1,1),Sales!$B$3:$B$500,"&lt;="&amp;DATE($B215,12,31))&gt;0,SUMIFS(Sales!$D$3:$D$500,Sales!$C$3:$C$500,$A215,Sales!$B$3:$B$500,"&gt;="&amp;DATE($B215,1,1),Sales!$B$3:$B$500,"&lt;="&amp;DATE($B215,12,31))/1000,SUMIFS('Asset Value'!$F$4:$F$500,'Asset Value'!$C$4:$C$500,$A215,'Asset Value'!$B$4:$B$500,$B215)/1000)</f>
        <v>315870</v>
      </c>
      <c r="F215" s="50" t="n">
        <f aca="false">SUMIFS(Rent!$E$3:$E$500,Rent!$D$3:$D$500,$A215,Rent!$C$3:$C$500,$B215)/1000</f>
        <v>0</v>
      </c>
      <c r="G215" s="50" t="n">
        <f aca="false">SUMIFS(Costs!$D$3:$D$500,Costs!$C$3:$C$500,$A215,Costs!$B$3:$B$500,"&gt;="&amp;DATE($B215,1,1),Costs!$B$3:$B$500,"&lt;="&amp;DATE($B215,12,31))/1000</f>
        <v>0</v>
      </c>
      <c r="H215" s="50" t="n">
        <f aca="false">SUMIFS('Partial Sales'!$D$3:$D$500,'Partial Sales'!$C$3:$C$500,$A215,'Partial Sales'!$B$3:$B$500,"&gt;="&amp;DATE($B215,1,1),'Partial Sales'!$B$3:$B$500,"&lt;="&amp;DATE($B215,12,31))/1000</f>
        <v>0</v>
      </c>
      <c r="I215" s="50" t="n">
        <f aca="false">SUMIFS('Partial Purchases'!$D$3:$D$500,'Partial Purchases'!$C$3:$C$500,$A215,'Partial Purchases'!$B$3:$B$500,"&gt;="&amp;DATE($B215,1,1),'Partial Purchases'!$B$3:$B$500,"&lt;="&amp;DATE($B215,12,31))/1000</f>
        <v>0</v>
      </c>
      <c r="J215" s="50" t="n">
        <f aca="false">C215*(D215+0.5*(G215-H215+I215-F215))</f>
        <v>308243</v>
      </c>
      <c r="K215" s="50" t="n">
        <f aca="false">C215*(E215-D215+H215-G215-I215)</f>
        <v>7627</v>
      </c>
      <c r="L215" s="44" t="n">
        <f aca="false">IF(J215=0,"",C215*F215/J215)</f>
        <v>0</v>
      </c>
      <c r="M215" s="44" t="n">
        <f aca="false">IF(J215=0,"",K215/J215)</f>
        <v>0.0247434653828311</v>
      </c>
      <c r="N215" s="44" t="n">
        <f aca="false">IF(J215=0,"",L215+M215)</f>
        <v>0.0247434653828311</v>
      </c>
    </row>
    <row r="216" customFormat="false" ht="15" hidden="false" customHeight="false" outlineLevel="0" collapsed="false">
      <c r="A216" s="8" t="s">
        <v>31</v>
      </c>
      <c r="B216" s="46" t="n">
        <v>2008</v>
      </c>
      <c r="C216" s="10" t="n">
        <f aca="false">IF(D216&gt;0,1,0)</f>
        <v>0</v>
      </c>
      <c r="D216" s="9" t="n">
        <f aca="false">IF(SUMIFS(Sales!$D$3:$D$500,Sales!$C$3:$C$500,$A216,Sales!$B$3:$B$500,"&lt;="&amp;DATE($B216-1,12,31))&gt;0,0,SUMIFS('Asset Value'!$F$4:$F$500,'Asset Value'!$C$4:$C$500,$A216,'Asset Value'!$B$4:$B$500,$B216-1)/1000)</f>
        <v>0</v>
      </c>
      <c r="E216" s="9" t="n">
        <f aca="false">IF(SUMIFS(Sales!$D$3:$D$500,Sales!$C$3:$C$500,$A216,Sales!$B$3:$B$500,"&gt;="&amp;DATE($B216,1,1),Sales!$B$3:$B$500,"&lt;="&amp;DATE($B216,12,31))&gt;0,SUMIFS(Sales!$D$3:$D$500,Sales!$C$3:$C$500,$A216,Sales!$B$3:$B$500,"&gt;="&amp;DATE($B216,1,1),Sales!$B$3:$B$500,"&lt;="&amp;DATE($B216,12,31))/1000,SUMIFS('Asset Value'!$F$4:$F$500,'Asset Value'!$C$4:$C$500,$A216,'Asset Value'!$B$4:$B$500,$B216)/1000)</f>
        <v>0</v>
      </c>
      <c r="F216" s="9" t="n">
        <f aca="false">SUMIFS(Rent!$E$3:$E$500,Rent!$D$3:$D$500,$A216,Rent!$C$3:$C$500,$B216)/1000</f>
        <v>0</v>
      </c>
      <c r="G216" s="9" t="n">
        <f aca="false">SUMIFS(Costs!$D$3:$D$500,Costs!$C$3:$C$500,$A216,Costs!$B$3:$B$500,"&gt;="&amp;DATE($B216,1,1),Costs!$B$3:$B$500,"&lt;="&amp;DATE($B216,12,31))/1000</f>
        <v>0</v>
      </c>
      <c r="H216" s="9" t="n">
        <f aca="false">SUMIFS('Partial Sales'!$D$3:$D$500,'Partial Sales'!$C$3:$C$500,$A216,'Partial Sales'!$B$3:$B$500,"&gt;="&amp;DATE($B216,1,1),'Partial Sales'!$B$3:$B$500,"&lt;="&amp;DATE($B216,12,31))/1000</f>
        <v>0</v>
      </c>
      <c r="I216" s="9" t="n">
        <f aca="false">SUMIFS('Partial Purchases'!$D$3:$D$500,'Partial Purchases'!$C$3:$C$500,$A216,'Partial Purchases'!$B$3:$B$500,"&gt;="&amp;DATE($B216,1,1),'Partial Purchases'!$B$3:$B$500,"&lt;="&amp;DATE($B216,12,31))/1000</f>
        <v>0</v>
      </c>
      <c r="J216" s="9" t="n">
        <f aca="false">C216*(D216+0.5*(G216-H216+I216-F216))</f>
        <v>0</v>
      </c>
      <c r="K216" s="9" t="n">
        <f aca="false">C216*(E216-D216+H216-G216-I216)</f>
        <v>0</v>
      </c>
      <c r="L216" s="13" t="str">
        <f aca="false">IF(J216=0,"",C216*F216/J216)</f>
        <v/>
      </c>
      <c r="M216" s="13" t="str">
        <f aca="false">IF(J216=0,"",K216/J216)</f>
        <v/>
      </c>
      <c r="N216" s="13" t="str">
        <f aca="false">IF(J216=0,"",L216+M216)</f>
        <v/>
      </c>
    </row>
    <row r="217" customFormat="false" ht="15" hidden="false" customHeight="false" outlineLevel="0" collapsed="false">
      <c r="A217" s="8" t="s">
        <v>31</v>
      </c>
      <c r="B217" s="46" t="n">
        <v>2009</v>
      </c>
      <c r="C217" s="10" t="n">
        <f aca="false">IF(D217&gt;0,1,0)</f>
        <v>0</v>
      </c>
      <c r="D217" s="9" t="n">
        <f aca="false">IF(SUMIFS(Sales!$D$3:$D$500,Sales!$C$3:$C$500,$A217,Sales!$B$3:$B$500,"&lt;="&amp;DATE($B217-1,12,31))&gt;0,0,SUMIFS('Asset Value'!$F$4:$F$500,'Asset Value'!$C$4:$C$500,$A217,'Asset Value'!$B$4:$B$500,$B217-1)/1000)</f>
        <v>0</v>
      </c>
      <c r="E217" s="9" t="n">
        <f aca="false">IF(SUMIFS(Sales!$D$3:$D$500,Sales!$C$3:$C$500,$A217,Sales!$B$3:$B$500,"&gt;="&amp;DATE($B217,1,1),Sales!$B$3:$B$500,"&lt;="&amp;DATE($B217,12,31))&gt;0,SUMIFS(Sales!$D$3:$D$500,Sales!$C$3:$C$500,$A217,Sales!$B$3:$B$500,"&gt;="&amp;DATE($B217,1,1),Sales!$B$3:$B$500,"&lt;="&amp;DATE($B217,12,31))/1000,SUMIFS('Asset Value'!$F$4:$F$500,'Asset Value'!$C$4:$C$500,$A217,'Asset Value'!$B$4:$B$500,$B217)/1000)</f>
        <v>49990</v>
      </c>
      <c r="F217" s="9" t="n">
        <f aca="false">SUMIFS(Rent!$E$3:$E$500,Rent!$D$3:$D$500,$A217,Rent!$C$3:$C$500,$B217)/1000</f>
        <v>0</v>
      </c>
      <c r="G217" s="9" t="n">
        <f aca="false">SUMIFS(Costs!$D$3:$D$500,Costs!$C$3:$C$500,$A217,Costs!$B$3:$B$500,"&gt;="&amp;DATE($B217,1,1),Costs!$B$3:$B$500,"&lt;="&amp;DATE($B217,12,31))/1000</f>
        <v>0</v>
      </c>
      <c r="H217" s="9" t="n">
        <f aca="false">SUMIFS('Partial Sales'!$D$3:$D$500,'Partial Sales'!$C$3:$C$500,$A217,'Partial Sales'!$B$3:$B$500,"&gt;="&amp;DATE($B217,1,1),'Partial Sales'!$B$3:$B$500,"&lt;="&amp;DATE($B217,12,31))/1000</f>
        <v>0</v>
      </c>
      <c r="I217" s="9" t="n">
        <f aca="false">SUMIFS('Partial Purchases'!$D$3:$D$500,'Partial Purchases'!$C$3:$C$500,$A217,'Partial Purchases'!$B$3:$B$500,"&gt;="&amp;DATE($B217,1,1),'Partial Purchases'!$B$3:$B$500,"&lt;="&amp;DATE($B217,12,31))/1000</f>
        <v>0</v>
      </c>
      <c r="J217" s="9" t="n">
        <f aca="false">C217*(D217+0.5*(G217-H217+I217-F217))</f>
        <v>0</v>
      </c>
      <c r="K217" s="9" t="n">
        <f aca="false">C217*(E217-D217+H217-G217-I217)</f>
        <v>0</v>
      </c>
      <c r="L217" s="13" t="str">
        <f aca="false">IF(J217=0,"",C217*F217/J217)</f>
        <v/>
      </c>
      <c r="M217" s="13" t="str">
        <f aca="false">IF(J217=0,"",K217/J217)</f>
        <v/>
      </c>
      <c r="N217" s="13" t="str">
        <f aca="false">IF(J217=0,"",L217+M217)</f>
        <v/>
      </c>
    </row>
    <row r="218" customFormat="false" ht="15" hidden="false" customHeight="false" outlineLevel="0" collapsed="false">
      <c r="A218" s="8" t="s">
        <v>31</v>
      </c>
      <c r="B218" s="46" t="n">
        <v>2010</v>
      </c>
      <c r="C218" s="10" t="n">
        <f aca="false">IF(D218&gt;0,1,0)</f>
        <v>1</v>
      </c>
      <c r="D218" s="9" t="n">
        <f aca="false">IF(SUMIFS(Sales!$D$3:$D$500,Sales!$C$3:$C$500,$A218,Sales!$B$3:$B$500,"&lt;="&amp;DATE($B218-1,12,31))&gt;0,0,SUMIFS('Asset Value'!$F$4:$F$500,'Asset Value'!$C$4:$C$500,$A218,'Asset Value'!$B$4:$B$500,$B218-1)/1000)</f>
        <v>49990</v>
      </c>
      <c r="E218" s="9" t="n">
        <f aca="false">IF(SUMIFS(Sales!$D$3:$D$500,Sales!$C$3:$C$500,$A218,Sales!$B$3:$B$500,"&gt;="&amp;DATE($B218,1,1),Sales!$B$3:$B$500,"&lt;="&amp;DATE($B218,12,31))&gt;0,SUMIFS(Sales!$D$3:$D$500,Sales!$C$3:$C$500,$A218,Sales!$B$3:$B$500,"&gt;="&amp;DATE($B218,1,1),Sales!$B$3:$B$500,"&lt;="&amp;DATE($B218,12,31))/1000,SUMIFS('Asset Value'!$F$4:$F$500,'Asset Value'!$C$4:$C$500,$A218,'Asset Value'!$B$4:$B$500,$B218)/1000)</f>
        <v>50760</v>
      </c>
      <c r="F218" s="9" t="n">
        <f aca="false">SUMIFS(Rent!$E$3:$E$500,Rent!$D$3:$D$500,$A218,Rent!$C$3:$C$500,$B218)/1000</f>
        <v>0</v>
      </c>
      <c r="G218" s="9" t="n">
        <f aca="false">SUMIFS(Costs!$D$3:$D$500,Costs!$C$3:$C$500,$A218,Costs!$B$3:$B$500,"&gt;="&amp;DATE($B218,1,1),Costs!$B$3:$B$500,"&lt;="&amp;DATE($B218,12,31))/1000</f>
        <v>0</v>
      </c>
      <c r="H218" s="9" t="n">
        <f aca="false">SUMIFS('Partial Sales'!$D$3:$D$500,'Partial Sales'!$C$3:$C$500,$A218,'Partial Sales'!$B$3:$B$500,"&gt;="&amp;DATE($B218,1,1),'Partial Sales'!$B$3:$B$500,"&lt;="&amp;DATE($B218,12,31))/1000</f>
        <v>0</v>
      </c>
      <c r="I218" s="9" t="n">
        <f aca="false">SUMIFS('Partial Purchases'!$D$3:$D$500,'Partial Purchases'!$C$3:$C$500,$A218,'Partial Purchases'!$B$3:$B$500,"&gt;="&amp;DATE($B218,1,1),'Partial Purchases'!$B$3:$B$500,"&lt;="&amp;DATE($B218,12,31))/1000</f>
        <v>0</v>
      </c>
      <c r="J218" s="9" t="n">
        <f aca="false">C218*(D218+0.5*(G218-H218+I218-F218))</f>
        <v>49990</v>
      </c>
      <c r="K218" s="9" t="n">
        <f aca="false">C218*(E218-D218+H218-G218-I218)</f>
        <v>770</v>
      </c>
      <c r="L218" s="13" t="n">
        <f aca="false">IF(J218=0,"",C218*F218/J218)</f>
        <v>0</v>
      </c>
      <c r="M218" s="13" t="n">
        <f aca="false">IF(J218=0,"",K218/J218)</f>
        <v>0.0154030806161232</v>
      </c>
      <c r="N218" s="13" t="n">
        <f aca="false">IF(J218=0,"",L218+M218)</f>
        <v>0.0154030806161232</v>
      </c>
    </row>
    <row r="219" customFormat="false" ht="15" hidden="false" customHeight="false" outlineLevel="0" collapsed="false">
      <c r="A219" s="8" t="s">
        <v>31</v>
      </c>
      <c r="B219" s="46" t="n">
        <v>2011</v>
      </c>
      <c r="C219" s="10" t="n">
        <f aca="false">IF(D219&gt;0,1,0)</f>
        <v>1</v>
      </c>
      <c r="D219" s="9" t="n">
        <f aca="false">IF(SUMIFS(Sales!$D$3:$D$500,Sales!$C$3:$C$500,$A219,Sales!$B$3:$B$500,"&lt;="&amp;DATE($B219-1,12,31))&gt;0,0,SUMIFS('Asset Value'!$F$4:$F$500,'Asset Value'!$C$4:$C$500,$A219,'Asset Value'!$B$4:$B$500,$B219-1)/1000)</f>
        <v>50760</v>
      </c>
      <c r="E219" s="9" t="n">
        <f aca="false">IF(SUMIFS(Sales!$D$3:$D$500,Sales!$C$3:$C$500,$A219,Sales!$B$3:$B$500,"&gt;="&amp;DATE($B219,1,1),Sales!$B$3:$B$500,"&lt;="&amp;DATE($B219,12,31))&gt;0,SUMIFS(Sales!$D$3:$D$500,Sales!$C$3:$C$500,$A219,Sales!$B$3:$B$500,"&gt;="&amp;DATE($B219,1,1),Sales!$B$3:$B$500,"&lt;="&amp;DATE($B219,12,31))/1000,SUMIFS('Asset Value'!$F$4:$F$500,'Asset Value'!$C$4:$C$500,$A219,'Asset Value'!$B$4:$B$500,$B219)/1000)</f>
        <v>60540</v>
      </c>
      <c r="F219" s="9" t="n">
        <f aca="false">SUMIFS(Rent!$E$3:$E$500,Rent!$D$3:$D$500,$A219,Rent!$C$3:$C$500,$B219)/1000</f>
        <v>0</v>
      </c>
      <c r="G219" s="9" t="n">
        <f aca="false">SUMIFS(Costs!$D$3:$D$500,Costs!$C$3:$C$500,$A219,Costs!$B$3:$B$500,"&gt;="&amp;DATE($B219,1,1),Costs!$B$3:$B$500,"&lt;="&amp;DATE($B219,12,31))/1000</f>
        <v>0</v>
      </c>
      <c r="H219" s="9" t="n">
        <f aca="false">SUMIFS('Partial Sales'!$D$3:$D$500,'Partial Sales'!$C$3:$C$500,$A219,'Partial Sales'!$B$3:$B$500,"&gt;="&amp;DATE($B219,1,1),'Partial Sales'!$B$3:$B$500,"&lt;="&amp;DATE($B219,12,31))/1000</f>
        <v>0</v>
      </c>
      <c r="I219" s="9" t="n">
        <f aca="false">SUMIFS('Partial Purchases'!$D$3:$D$500,'Partial Purchases'!$C$3:$C$500,$A219,'Partial Purchases'!$B$3:$B$500,"&gt;="&amp;DATE($B219,1,1),'Partial Purchases'!$B$3:$B$500,"&lt;="&amp;DATE($B219,12,31))/1000</f>
        <v>0</v>
      </c>
      <c r="J219" s="9" t="n">
        <f aca="false">C219*(D219+0.5*(G219-H219+I219-F219))</f>
        <v>50760</v>
      </c>
      <c r="K219" s="9" t="n">
        <f aca="false">C219*(E219-D219+H219-G219-I219)</f>
        <v>9780</v>
      </c>
      <c r="L219" s="13" t="n">
        <f aca="false">IF(J219=0,"",C219*F219/J219)</f>
        <v>0</v>
      </c>
      <c r="M219" s="13" t="n">
        <f aca="false">IF(J219=0,"",K219/J219)</f>
        <v>0.192671394799054</v>
      </c>
      <c r="N219" s="13" t="n">
        <f aca="false">IF(J219=0,"",L219+M219)</f>
        <v>0.192671394799054</v>
      </c>
    </row>
    <row r="220" customFormat="false" ht="15" hidden="false" customHeight="false" outlineLevel="0" collapsed="false">
      <c r="A220" s="8" t="s">
        <v>31</v>
      </c>
      <c r="B220" s="46" t="n">
        <v>2012</v>
      </c>
      <c r="C220" s="10" t="n">
        <f aca="false">IF(D220&gt;0,1,0)</f>
        <v>1</v>
      </c>
      <c r="D220" s="9" t="n">
        <f aca="false">IF(SUMIFS(Sales!$D$3:$D$500,Sales!$C$3:$C$500,$A220,Sales!$B$3:$B$500,"&lt;="&amp;DATE($B220-1,12,31))&gt;0,0,SUMIFS('Asset Value'!$F$4:$F$500,'Asset Value'!$C$4:$C$500,$A220,'Asset Value'!$B$4:$B$500,$B220-1)/1000)</f>
        <v>60540</v>
      </c>
      <c r="E220" s="9" t="n">
        <f aca="false">IF(SUMIFS(Sales!$D$3:$D$500,Sales!$C$3:$C$500,$A220,Sales!$B$3:$B$500,"&gt;="&amp;DATE($B220,1,1),Sales!$B$3:$B$500,"&lt;="&amp;DATE($B220,12,31))&gt;0,SUMIFS(Sales!$D$3:$D$500,Sales!$C$3:$C$500,$A220,Sales!$B$3:$B$500,"&gt;="&amp;DATE($B220,1,1),Sales!$B$3:$B$500,"&lt;="&amp;DATE($B220,12,31))/1000,SUMIFS('Asset Value'!$F$4:$F$500,'Asset Value'!$C$4:$C$500,$A220,'Asset Value'!$B$4:$B$500,$B220)/1000)</f>
        <v>63480</v>
      </c>
      <c r="F220" s="9" t="n">
        <f aca="false">SUMIFS(Rent!$E$3:$E$500,Rent!$D$3:$D$500,$A220,Rent!$C$3:$C$500,$B220)/1000</f>
        <v>0</v>
      </c>
      <c r="G220" s="9" t="n">
        <f aca="false">SUMIFS(Costs!$D$3:$D$500,Costs!$C$3:$C$500,$A220,Costs!$B$3:$B$500,"&gt;="&amp;DATE($B220,1,1),Costs!$B$3:$B$500,"&lt;="&amp;DATE($B220,12,31))/1000</f>
        <v>0</v>
      </c>
      <c r="H220" s="9" t="n">
        <f aca="false">SUMIFS('Partial Sales'!$D$3:$D$500,'Partial Sales'!$C$3:$C$500,$A220,'Partial Sales'!$B$3:$B$500,"&gt;="&amp;DATE($B220,1,1),'Partial Sales'!$B$3:$B$500,"&lt;="&amp;DATE($B220,12,31))/1000</f>
        <v>0</v>
      </c>
      <c r="I220" s="9" t="n">
        <f aca="false">SUMIFS('Partial Purchases'!$D$3:$D$500,'Partial Purchases'!$C$3:$C$500,$A220,'Partial Purchases'!$B$3:$B$500,"&gt;="&amp;DATE($B220,1,1),'Partial Purchases'!$B$3:$B$500,"&lt;="&amp;DATE($B220,12,31))/1000</f>
        <v>0</v>
      </c>
      <c r="J220" s="9" t="n">
        <f aca="false">C220*(D220+0.5*(G220-H220+I220-F220))</f>
        <v>60540</v>
      </c>
      <c r="K220" s="9" t="n">
        <f aca="false">C220*(E220-D220+H220-G220-I220)</f>
        <v>2940</v>
      </c>
      <c r="L220" s="13" t="n">
        <f aca="false">IF(J220=0,"",C220*F220/J220)</f>
        <v>0</v>
      </c>
      <c r="M220" s="13" t="n">
        <f aca="false">IF(J220=0,"",K220/J220)</f>
        <v>0.0485629335976214</v>
      </c>
      <c r="N220" s="13" t="n">
        <f aca="false">IF(J220=0,"",L220+M220)</f>
        <v>0.0485629335976214</v>
      </c>
    </row>
    <row r="221" customFormat="false" ht="15" hidden="false" customHeight="false" outlineLevel="0" collapsed="false">
      <c r="A221" s="8" t="s">
        <v>31</v>
      </c>
      <c r="B221" s="46" t="n">
        <v>2013</v>
      </c>
      <c r="C221" s="10" t="n">
        <f aca="false">IF(D221&gt;0,1,0)</f>
        <v>1</v>
      </c>
      <c r="D221" s="9" t="n">
        <f aca="false">IF(SUMIFS(Sales!$D$3:$D$500,Sales!$C$3:$C$500,$A221,Sales!$B$3:$B$500,"&lt;="&amp;DATE($B221-1,12,31))&gt;0,0,SUMIFS('Asset Value'!$F$4:$F$500,'Asset Value'!$C$4:$C$500,$A221,'Asset Value'!$B$4:$B$500,$B221-1)/1000)</f>
        <v>63480</v>
      </c>
      <c r="E221" s="9" t="n">
        <f aca="false">IF(SUMIFS(Sales!$D$3:$D$500,Sales!$C$3:$C$500,$A221,Sales!$B$3:$B$500,"&gt;="&amp;DATE($B221,1,1),Sales!$B$3:$B$500,"&lt;="&amp;DATE($B221,12,31))&gt;0,SUMIFS(Sales!$D$3:$D$500,Sales!$C$3:$C$500,$A221,Sales!$B$3:$B$500,"&gt;="&amp;DATE($B221,1,1),Sales!$B$3:$B$500,"&lt;="&amp;DATE($B221,12,31))/1000,SUMIFS('Asset Value'!$F$4:$F$500,'Asset Value'!$C$4:$C$500,$A221,'Asset Value'!$B$4:$B$500,$B221)/1000)</f>
        <v>86708</v>
      </c>
      <c r="F221" s="9" t="n">
        <f aca="false">SUMIFS(Rent!$E$3:$E$500,Rent!$D$3:$D$500,$A221,Rent!$C$3:$C$500,$B221)/1000</f>
        <v>2100</v>
      </c>
      <c r="G221" s="9" t="n">
        <f aca="false">SUMIFS(Costs!$D$3:$D$500,Costs!$C$3:$C$500,$A221,Costs!$B$3:$B$500,"&gt;="&amp;DATE($B221,1,1),Costs!$B$3:$B$500,"&lt;="&amp;DATE($B221,12,31))/1000</f>
        <v>0</v>
      </c>
      <c r="H221" s="9" t="n">
        <f aca="false">SUMIFS('Partial Sales'!$D$3:$D$500,'Partial Sales'!$C$3:$C$500,$A221,'Partial Sales'!$B$3:$B$500,"&gt;="&amp;DATE($B221,1,1),'Partial Sales'!$B$3:$B$500,"&lt;="&amp;DATE($B221,12,31))/1000</f>
        <v>0</v>
      </c>
      <c r="I221" s="9" t="n">
        <f aca="false">SUMIFS('Partial Purchases'!$D$3:$D$500,'Partial Purchases'!$C$3:$C$500,$A221,'Partial Purchases'!$B$3:$B$500,"&gt;="&amp;DATE($B221,1,1),'Partial Purchases'!$B$3:$B$500,"&lt;="&amp;DATE($B221,12,31))/1000</f>
        <v>0</v>
      </c>
      <c r="J221" s="9" t="n">
        <f aca="false">C221*(D221+0.5*(G221-H221+I221-F221))</f>
        <v>62430</v>
      </c>
      <c r="K221" s="9" t="n">
        <f aca="false">C221*(E221-D221+H221-G221-I221)</f>
        <v>23228</v>
      </c>
      <c r="L221" s="13" t="n">
        <f aca="false">IF(J221=0,"",C221*F221/J221)</f>
        <v>0.0336376741950985</v>
      </c>
      <c r="M221" s="13" t="n">
        <f aca="false">IF(J221=0,"",K221/J221)</f>
        <v>0.372064712477975</v>
      </c>
      <c r="N221" s="13" t="n">
        <f aca="false">IF(J221=0,"",L221+M221)</f>
        <v>0.405702386673074</v>
      </c>
    </row>
    <row r="222" customFormat="false" ht="15" hidden="false" customHeight="false" outlineLevel="0" collapsed="false">
      <c r="A222" s="8" t="s">
        <v>31</v>
      </c>
      <c r="B222" s="46" t="n">
        <v>2014</v>
      </c>
      <c r="C222" s="10" t="n">
        <f aca="false">IF(D222&gt;0,1,0)</f>
        <v>1</v>
      </c>
      <c r="D222" s="9" t="n">
        <f aca="false">IF(SUMIFS(Sales!$D$3:$D$500,Sales!$C$3:$C$500,$A222,Sales!$B$3:$B$500,"&lt;="&amp;DATE($B222-1,12,31))&gt;0,0,SUMIFS('Asset Value'!$F$4:$F$500,'Asset Value'!$C$4:$C$500,$A222,'Asset Value'!$B$4:$B$500,$B222-1)/1000)</f>
        <v>86708</v>
      </c>
      <c r="E222" s="9" t="n">
        <f aca="false">IF(SUMIFS(Sales!$D$3:$D$500,Sales!$C$3:$C$500,$A222,Sales!$B$3:$B$500,"&gt;="&amp;DATE($B222,1,1),Sales!$B$3:$B$500,"&lt;="&amp;DATE($B222,12,31))&gt;0,SUMIFS(Sales!$D$3:$D$500,Sales!$C$3:$C$500,$A222,Sales!$B$3:$B$500,"&gt;="&amp;DATE($B222,1,1),Sales!$B$3:$B$500,"&lt;="&amp;DATE($B222,12,31))/1000,SUMIFS('Asset Value'!$F$4:$F$500,'Asset Value'!$C$4:$C$500,$A222,'Asset Value'!$B$4:$B$500,$B222)/1000)</f>
        <v>137610</v>
      </c>
      <c r="F222" s="9" t="n">
        <f aca="false">SUMIFS(Rent!$E$3:$E$500,Rent!$D$3:$D$500,$A222,Rent!$C$3:$C$500,$B222)/1000</f>
        <v>0</v>
      </c>
      <c r="G222" s="9" t="n">
        <f aca="false">SUMIFS(Costs!$D$3:$D$500,Costs!$C$3:$C$500,$A222,Costs!$B$3:$B$500,"&gt;="&amp;DATE($B222,1,1),Costs!$B$3:$B$500,"&lt;="&amp;DATE($B222,12,31))/1000</f>
        <v>0</v>
      </c>
      <c r="H222" s="9" t="n">
        <f aca="false">SUMIFS('Partial Sales'!$D$3:$D$500,'Partial Sales'!$C$3:$C$500,$A222,'Partial Sales'!$B$3:$B$500,"&gt;="&amp;DATE($B222,1,1),'Partial Sales'!$B$3:$B$500,"&lt;="&amp;DATE($B222,12,31))/1000</f>
        <v>0</v>
      </c>
      <c r="I222" s="9" t="n">
        <f aca="false">SUMIFS('Partial Purchases'!$D$3:$D$500,'Partial Purchases'!$C$3:$C$500,$A222,'Partial Purchases'!$B$3:$B$500,"&gt;="&amp;DATE($B222,1,1),'Partial Purchases'!$B$3:$B$500,"&lt;="&amp;DATE($B222,12,31))/1000</f>
        <v>0</v>
      </c>
      <c r="J222" s="9" t="n">
        <f aca="false">C222*(D222+0.5*(G222-H222+I222-F222))</f>
        <v>86708</v>
      </c>
      <c r="K222" s="9" t="n">
        <f aca="false">C222*(E222-D222+H222-G222-I222)</f>
        <v>50902</v>
      </c>
      <c r="L222" s="13" t="n">
        <f aca="false">IF(J222=0,"",C222*F222/J222)</f>
        <v>0</v>
      </c>
      <c r="M222" s="13" t="n">
        <f aca="false">IF(J222=0,"",K222/J222)</f>
        <v>0.587050791161139</v>
      </c>
      <c r="N222" s="13" t="n">
        <f aca="false">IF(J222=0,"",L222+M222)</f>
        <v>0.587050791161139</v>
      </c>
    </row>
    <row r="223" customFormat="false" ht="15" hidden="false" customHeight="false" outlineLevel="0" collapsed="false">
      <c r="A223" s="47" t="s">
        <v>31</v>
      </c>
      <c r="B223" s="48" t="n">
        <v>2015</v>
      </c>
      <c r="C223" s="49" t="n">
        <f aca="false">IF(D223&gt;0,1,0)</f>
        <v>1</v>
      </c>
      <c r="D223" s="50" t="n">
        <f aca="false">IF(SUMIFS(Sales!$D$3:$D$500,Sales!$C$3:$C$500,$A223,Sales!$B$3:$B$500,"&lt;="&amp;DATE($B223-1,12,31))&gt;0,0,SUMIFS('Asset Value'!$F$4:$F$500,'Asset Value'!$C$4:$C$500,$A223,'Asset Value'!$B$4:$B$500,$B223-1)/1000)</f>
        <v>137610</v>
      </c>
      <c r="E223" s="50" t="n">
        <f aca="false">IF(SUMIFS(Sales!$D$3:$D$500,Sales!$C$3:$C$500,$A223,Sales!$B$3:$B$500,"&gt;="&amp;DATE($B223,1,1),Sales!$B$3:$B$500,"&lt;="&amp;DATE($B223,12,31))&gt;0,SUMIFS(Sales!$D$3:$D$500,Sales!$C$3:$C$500,$A223,Sales!$B$3:$B$500,"&gt;="&amp;DATE($B223,1,1),Sales!$B$3:$B$500,"&lt;="&amp;DATE($B223,12,31))/1000,SUMIFS('Asset Value'!$F$4:$F$500,'Asset Value'!$C$4:$C$500,$A223,'Asset Value'!$B$4:$B$500,$B223)/1000)</f>
        <v>143710</v>
      </c>
      <c r="F223" s="50" t="n">
        <f aca="false">SUMIFS(Rent!$E$3:$E$500,Rent!$D$3:$D$500,$A223,Rent!$C$3:$C$500,$B223)/1000</f>
        <v>586</v>
      </c>
      <c r="G223" s="50" t="n">
        <f aca="false">SUMIFS(Costs!$D$3:$D$500,Costs!$C$3:$C$500,$A223,Costs!$B$3:$B$500,"&gt;="&amp;DATE($B223,1,1),Costs!$B$3:$B$500,"&lt;="&amp;DATE($B223,12,31))/1000</f>
        <v>0</v>
      </c>
      <c r="H223" s="50" t="n">
        <f aca="false">SUMIFS('Partial Sales'!$D$3:$D$500,'Partial Sales'!$C$3:$C$500,$A223,'Partial Sales'!$B$3:$B$500,"&gt;="&amp;DATE($B223,1,1),'Partial Sales'!$B$3:$B$500,"&lt;="&amp;DATE($B223,12,31))/1000</f>
        <v>0</v>
      </c>
      <c r="I223" s="50" t="n">
        <f aca="false">SUMIFS('Partial Purchases'!$D$3:$D$500,'Partial Purchases'!$C$3:$C$500,$A223,'Partial Purchases'!$B$3:$B$500,"&gt;="&amp;DATE($B223,1,1),'Partial Purchases'!$B$3:$B$500,"&lt;="&amp;DATE($B223,12,31))/1000</f>
        <v>0</v>
      </c>
      <c r="J223" s="50" t="n">
        <f aca="false">C223*(D223+0.5*(G223-H223+I223-F223))</f>
        <v>137317</v>
      </c>
      <c r="K223" s="50" t="n">
        <f aca="false">C223*(E223-D223+H223-G223-I223)</f>
        <v>6100</v>
      </c>
      <c r="L223" s="44" t="n">
        <f aca="false">IF(J223=0,"",C223*F223/J223)</f>
        <v>0.0042674978334802</v>
      </c>
      <c r="M223" s="44" t="n">
        <f aca="false">IF(J223=0,"",K223/J223)</f>
        <v>0.044422759017456</v>
      </c>
      <c r="N223" s="44" t="n">
        <f aca="false">IF(J223=0,"",L223+M223)</f>
        <v>0.0486902568509362</v>
      </c>
    </row>
    <row r="224" customFormat="false" ht="15" hidden="false" customHeight="false" outlineLevel="0" collapsed="false">
      <c r="A224" s="8" t="s">
        <v>32</v>
      </c>
      <c r="B224" s="46" t="n">
        <v>2008</v>
      </c>
      <c r="C224" s="10" t="n">
        <f aca="false">IF(D224&gt;0,1,0)</f>
        <v>0</v>
      </c>
      <c r="D224" s="9" t="n">
        <f aca="false">IF(SUMIFS(Sales!$D$3:$D$500,Sales!$C$3:$C$500,$A224,Sales!$B$3:$B$500,"&lt;="&amp;DATE($B224-1,12,31))&gt;0,0,SUMIFS('Asset Value'!$F$4:$F$500,'Asset Value'!$C$4:$C$500,$A224,'Asset Value'!$B$4:$B$500,$B224-1)/1000)</f>
        <v>0</v>
      </c>
      <c r="E224" s="9" t="n">
        <f aca="false">IF(SUMIFS(Sales!$D$3:$D$500,Sales!$C$3:$C$500,$A224,Sales!$B$3:$B$500,"&gt;="&amp;DATE($B224,1,1),Sales!$B$3:$B$500,"&lt;="&amp;DATE($B224,12,31))&gt;0,SUMIFS(Sales!$D$3:$D$500,Sales!$C$3:$C$500,$A224,Sales!$B$3:$B$500,"&gt;="&amp;DATE($B224,1,1),Sales!$B$3:$B$500,"&lt;="&amp;DATE($B224,12,31))/1000,SUMIFS('Asset Value'!$F$4:$F$500,'Asset Value'!$C$4:$C$500,$A224,'Asset Value'!$B$4:$B$500,$B224)/1000)</f>
        <v>0</v>
      </c>
      <c r="F224" s="9" t="n">
        <f aca="false">SUMIFS(Rent!$E$3:$E$500,Rent!$D$3:$D$500,$A224,Rent!$C$3:$C$500,$B224)/1000</f>
        <v>0</v>
      </c>
      <c r="G224" s="9" t="n">
        <f aca="false">SUMIFS(Costs!$D$3:$D$500,Costs!$C$3:$C$500,$A224,Costs!$B$3:$B$500,"&gt;="&amp;DATE($B224,1,1),Costs!$B$3:$B$500,"&lt;="&amp;DATE($B224,12,31))/1000</f>
        <v>0</v>
      </c>
      <c r="H224" s="9" t="n">
        <f aca="false">SUMIFS('Partial Sales'!$D$3:$D$500,'Partial Sales'!$C$3:$C$500,$A224,'Partial Sales'!$B$3:$B$500,"&gt;="&amp;DATE($B224,1,1),'Partial Sales'!$B$3:$B$500,"&lt;="&amp;DATE($B224,12,31))/1000</f>
        <v>0</v>
      </c>
      <c r="I224" s="9" t="n">
        <f aca="false">SUMIFS('Partial Purchases'!$D$3:$D$500,'Partial Purchases'!$C$3:$C$500,$A224,'Partial Purchases'!$B$3:$B$500,"&gt;="&amp;DATE($B224,1,1),'Partial Purchases'!$B$3:$B$500,"&lt;="&amp;DATE($B224,12,31))/1000</f>
        <v>0</v>
      </c>
      <c r="J224" s="9" t="n">
        <f aca="false">C224*(D224+0.5*(G224-H224+I224-F224))</f>
        <v>0</v>
      </c>
      <c r="K224" s="9" t="n">
        <f aca="false">C224*(E224-D224+H224-G224-I224)</f>
        <v>0</v>
      </c>
      <c r="L224" s="13" t="str">
        <f aca="false">IF(J224=0,"",C224*F224/J224)</f>
        <v/>
      </c>
      <c r="M224" s="13" t="str">
        <f aca="false">IF(J224=0,"",K224/J224)</f>
        <v/>
      </c>
      <c r="N224" s="13" t="str">
        <f aca="false">IF(J224=0,"",L224+M224)</f>
        <v/>
      </c>
    </row>
    <row r="225" customFormat="false" ht="15" hidden="false" customHeight="false" outlineLevel="0" collapsed="false">
      <c r="A225" s="8" t="s">
        <v>32</v>
      </c>
      <c r="B225" s="46" t="n">
        <v>2009</v>
      </c>
      <c r="C225" s="10" t="n">
        <f aca="false">IF(D225&gt;0,1,0)</f>
        <v>0</v>
      </c>
      <c r="D225" s="9" t="n">
        <f aca="false">IF(SUMIFS(Sales!$D$3:$D$500,Sales!$C$3:$C$500,$A225,Sales!$B$3:$B$500,"&lt;="&amp;DATE($B225-1,12,31))&gt;0,0,SUMIFS('Asset Value'!$F$4:$F$500,'Asset Value'!$C$4:$C$500,$A225,'Asset Value'!$B$4:$B$500,$B225-1)/1000)</f>
        <v>0</v>
      </c>
      <c r="E225" s="9" t="n">
        <f aca="false">IF(SUMIFS(Sales!$D$3:$D$500,Sales!$C$3:$C$500,$A225,Sales!$B$3:$B$500,"&gt;="&amp;DATE($B225,1,1),Sales!$B$3:$B$500,"&lt;="&amp;DATE($B225,12,31))&gt;0,SUMIFS(Sales!$D$3:$D$500,Sales!$C$3:$C$500,$A225,Sales!$B$3:$B$500,"&gt;="&amp;DATE($B225,1,1),Sales!$B$3:$B$500,"&lt;="&amp;DATE($B225,12,31))/1000,SUMIFS('Asset Value'!$F$4:$F$500,'Asset Value'!$C$4:$C$500,$A225,'Asset Value'!$B$4:$B$500,$B225)/1000)</f>
        <v>0</v>
      </c>
      <c r="F225" s="9" t="n">
        <f aca="false">SUMIFS(Rent!$E$3:$E$500,Rent!$D$3:$D$500,$A225,Rent!$C$3:$C$500,$B225)/1000</f>
        <v>0</v>
      </c>
      <c r="G225" s="9" t="n">
        <f aca="false">SUMIFS(Costs!$D$3:$D$500,Costs!$C$3:$C$500,$A225,Costs!$B$3:$B$500,"&gt;="&amp;DATE($B225,1,1),Costs!$B$3:$B$500,"&lt;="&amp;DATE($B225,12,31))/1000</f>
        <v>0</v>
      </c>
      <c r="H225" s="9" t="n">
        <f aca="false">SUMIFS('Partial Sales'!$D$3:$D$500,'Partial Sales'!$C$3:$C$500,$A225,'Partial Sales'!$B$3:$B$500,"&gt;="&amp;DATE($B225,1,1),'Partial Sales'!$B$3:$B$500,"&lt;="&amp;DATE($B225,12,31))/1000</f>
        <v>0</v>
      </c>
      <c r="I225" s="9" t="n">
        <f aca="false">SUMIFS('Partial Purchases'!$D$3:$D$500,'Partial Purchases'!$C$3:$C$500,$A225,'Partial Purchases'!$B$3:$B$500,"&gt;="&amp;DATE($B225,1,1),'Partial Purchases'!$B$3:$B$500,"&lt;="&amp;DATE($B225,12,31))/1000</f>
        <v>0</v>
      </c>
      <c r="J225" s="9" t="n">
        <f aca="false">C225*(D225+0.5*(G225-H225+I225-F225))</f>
        <v>0</v>
      </c>
      <c r="K225" s="9" t="n">
        <f aca="false">C225*(E225-D225+H225-G225-I225)</f>
        <v>0</v>
      </c>
      <c r="L225" s="13" t="str">
        <f aca="false">IF(J225=0,"",C225*F225/J225)</f>
        <v/>
      </c>
      <c r="M225" s="13" t="str">
        <f aca="false">IF(J225=0,"",K225/J225)</f>
        <v/>
      </c>
      <c r="N225" s="13" t="str">
        <f aca="false">IF(J225=0,"",L225+M225)</f>
        <v/>
      </c>
    </row>
    <row r="226" customFormat="false" ht="15" hidden="false" customHeight="false" outlineLevel="0" collapsed="false">
      <c r="A226" s="8" t="s">
        <v>32</v>
      </c>
      <c r="B226" s="46" t="n">
        <v>2010</v>
      </c>
      <c r="C226" s="10" t="n">
        <f aca="false">IF(D226&gt;0,1,0)</f>
        <v>0</v>
      </c>
      <c r="D226" s="9" t="n">
        <f aca="false">IF(SUMIFS(Sales!$D$3:$D$500,Sales!$C$3:$C$500,$A226,Sales!$B$3:$B$500,"&lt;="&amp;DATE($B226-1,12,31))&gt;0,0,SUMIFS('Asset Value'!$F$4:$F$500,'Asset Value'!$C$4:$C$500,$A226,'Asset Value'!$B$4:$B$500,$B226-1)/1000)</f>
        <v>0</v>
      </c>
      <c r="E226" s="9" t="n">
        <f aca="false">IF(SUMIFS(Sales!$D$3:$D$500,Sales!$C$3:$C$500,$A226,Sales!$B$3:$B$500,"&gt;="&amp;DATE($B226,1,1),Sales!$B$3:$B$500,"&lt;="&amp;DATE($B226,12,31))&gt;0,SUMIFS(Sales!$D$3:$D$500,Sales!$C$3:$C$500,$A226,Sales!$B$3:$B$500,"&gt;="&amp;DATE($B226,1,1),Sales!$B$3:$B$500,"&lt;="&amp;DATE($B226,12,31))/1000,SUMIFS('Asset Value'!$F$4:$F$500,'Asset Value'!$C$4:$C$500,$A226,'Asset Value'!$B$4:$B$500,$B226)/1000)</f>
        <v>0</v>
      </c>
      <c r="F226" s="9" t="n">
        <f aca="false">SUMIFS(Rent!$E$3:$E$500,Rent!$D$3:$D$500,$A226,Rent!$C$3:$C$500,$B226)/1000</f>
        <v>0</v>
      </c>
      <c r="G226" s="9" t="n">
        <f aca="false">SUMIFS(Costs!$D$3:$D$500,Costs!$C$3:$C$500,$A226,Costs!$B$3:$B$500,"&gt;="&amp;DATE($B226,1,1),Costs!$B$3:$B$500,"&lt;="&amp;DATE($B226,12,31))/1000</f>
        <v>0</v>
      </c>
      <c r="H226" s="9" t="n">
        <f aca="false">SUMIFS('Partial Sales'!$D$3:$D$500,'Partial Sales'!$C$3:$C$500,$A226,'Partial Sales'!$B$3:$B$500,"&gt;="&amp;DATE($B226,1,1),'Partial Sales'!$B$3:$B$500,"&lt;="&amp;DATE($B226,12,31))/1000</f>
        <v>0</v>
      </c>
      <c r="I226" s="9" t="n">
        <f aca="false">SUMIFS('Partial Purchases'!$D$3:$D$500,'Partial Purchases'!$C$3:$C$500,$A226,'Partial Purchases'!$B$3:$B$500,"&gt;="&amp;DATE($B226,1,1),'Partial Purchases'!$B$3:$B$500,"&lt;="&amp;DATE($B226,12,31))/1000</f>
        <v>0</v>
      </c>
      <c r="J226" s="9" t="n">
        <f aca="false">C226*(D226+0.5*(G226-H226+I226-F226))</f>
        <v>0</v>
      </c>
      <c r="K226" s="9" t="n">
        <f aca="false">C226*(E226-D226+H226-G226-I226)</f>
        <v>0</v>
      </c>
      <c r="L226" s="13" t="str">
        <f aca="false">IF(J226=0,"",C226*F226/J226)</f>
        <v/>
      </c>
      <c r="M226" s="13" t="str">
        <f aca="false">IF(J226=0,"",K226/J226)</f>
        <v/>
      </c>
      <c r="N226" s="13" t="str">
        <f aca="false">IF(J226=0,"",L226+M226)</f>
        <v/>
      </c>
    </row>
    <row r="227" customFormat="false" ht="15" hidden="false" customHeight="false" outlineLevel="0" collapsed="false">
      <c r="A227" s="8" t="s">
        <v>32</v>
      </c>
      <c r="B227" s="46" t="n">
        <v>2011</v>
      </c>
      <c r="C227" s="10" t="n">
        <f aca="false">IF(D227&gt;0,1,0)</f>
        <v>0</v>
      </c>
      <c r="D227" s="9" t="n">
        <f aca="false">IF(SUMIFS(Sales!$D$3:$D$500,Sales!$C$3:$C$500,$A227,Sales!$B$3:$B$500,"&lt;="&amp;DATE($B227-1,12,31))&gt;0,0,SUMIFS('Asset Value'!$F$4:$F$500,'Asset Value'!$C$4:$C$500,$A227,'Asset Value'!$B$4:$B$500,$B227-1)/1000)</f>
        <v>0</v>
      </c>
      <c r="E227" s="9" t="n">
        <f aca="false">IF(SUMIFS(Sales!$D$3:$D$500,Sales!$C$3:$C$500,$A227,Sales!$B$3:$B$500,"&gt;="&amp;DATE($B227,1,1),Sales!$B$3:$B$500,"&lt;="&amp;DATE($B227,12,31))&gt;0,SUMIFS(Sales!$D$3:$D$500,Sales!$C$3:$C$500,$A227,Sales!$B$3:$B$500,"&gt;="&amp;DATE($B227,1,1),Sales!$B$3:$B$500,"&lt;="&amp;DATE($B227,12,31))/1000,SUMIFS('Asset Value'!$F$4:$F$500,'Asset Value'!$C$4:$C$500,$A227,'Asset Value'!$B$4:$B$500,$B227)/1000)</f>
        <v>0</v>
      </c>
      <c r="F227" s="9" t="n">
        <f aca="false">SUMIFS(Rent!$E$3:$E$500,Rent!$D$3:$D$500,$A227,Rent!$C$3:$C$500,$B227)/1000</f>
        <v>0</v>
      </c>
      <c r="G227" s="9" t="n">
        <f aca="false">SUMIFS(Costs!$D$3:$D$500,Costs!$C$3:$C$500,$A227,Costs!$B$3:$B$500,"&gt;="&amp;DATE($B227,1,1),Costs!$B$3:$B$500,"&lt;="&amp;DATE($B227,12,31))/1000</f>
        <v>0</v>
      </c>
      <c r="H227" s="9" t="n">
        <f aca="false">SUMIFS('Partial Sales'!$D$3:$D$500,'Partial Sales'!$C$3:$C$500,$A227,'Partial Sales'!$B$3:$B$500,"&gt;="&amp;DATE($B227,1,1),'Partial Sales'!$B$3:$B$500,"&lt;="&amp;DATE($B227,12,31))/1000</f>
        <v>0</v>
      </c>
      <c r="I227" s="9" t="n">
        <f aca="false">SUMIFS('Partial Purchases'!$D$3:$D$500,'Partial Purchases'!$C$3:$C$500,$A227,'Partial Purchases'!$B$3:$B$500,"&gt;="&amp;DATE($B227,1,1),'Partial Purchases'!$B$3:$B$500,"&lt;="&amp;DATE($B227,12,31))/1000</f>
        <v>0</v>
      </c>
      <c r="J227" s="9" t="n">
        <f aca="false">C227*(D227+0.5*(G227-H227+I227-F227))</f>
        <v>0</v>
      </c>
      <c r="K227" s="9" t="n">
        <f aca="false">C227*(E227-D227+H227-G227-I227)</f>
        <v>0</v>
      </c>
      <c r="L227" s="13" t="str">
        <f aca="false">IF(J227=0,"",C227*F227/J227)</f>
        <v/>
      </c>
      <c r="M227" s="13" t="str">
        <f aca="false">IF(J227=0,"",K227/J227)</f>
        <v/>
      </c>
      <c r="N227" s="13" t="str">
        <f aca="false">IF(J227=0,"",L227+M227)</f>
        <v/>
      </c>
    </row>
    <row r="228" customFormat="false" ht="15" hidden="false" customHeight="false" outlineLevel="0" collapsed="false">
      <c r="A228" s="8" t="s">
        <v>32</v>
      </c>
      <c r="B228" s="46" t="n">
        <v>2012</v>
      </c>
      <c r="C228" s="10" t="n">
        <f aca="false">IF(D228&gt;0,1,0)</f>
        <v>0</v>
      </c>
      <c r="D228" s="9" t="n">
        <f aca="false">IF(SUMIFS(Sales!$D$3:$D$500,Sales!$C$3:$C$500,$A228,Sales!$B$3:$B$500,"&lt;="&amp;DATE($B228-1,12,31))&gt;0,0,SUMIFS('Asset Value'!$F$4:$F$500,'Asset Value'!$C$4:$C$500,$A228,'Asset Value'!$B$4:$B$500,$B228-1)/1000)</f>
        <v>0</v>
      </c>
      <c r="E228" s="9" t="n">
        <f aca="false">IF(SUMIFS(Sales!$D$3:$D$500,Sales!$C$3:$C$500,$A228,Sales!$B$3:$B$500,"&gt;="&amp;DATE($B228,1,1),Sales!$B$3:$B$500,"&lt;="&amp;DATE($B228,12,31))&gt;0,SUMIFS(Sales!$D$3:$D$500,Sales!$C$3:$C$500,$A228,Sales!$B$3:$B$500,"&gt;="&amp;DATE($B228,1,1),Sales!$B$3:$B$500,"&lt;="&amp;DATE($B228,12,31))/1000,SUMIFS('Asset Value'!$F$4:$F$500,'Asset Value'!$C$4:$C$500,$A228,'Asset Value'!$B$4:$B$500,$B228)/1000)</f>
        <v>65475</v>
      </c>
      <c r="F228" s="9" t="n">
        <f aca="false">SUMIFS(Rent!$E$3:$E$500,Rent!$D$3:$D$500,$A228,Rent!$C$3:$C$500,$B228)/1000</f>
        <v>2533</v>
      </c>
      <c r="G228" s="9" t="n">
        <f aca="false">SUMIFS(Costs!$D$3:$D$500,Costs!$C$3:$C$500,$A228,Costs!$B$3:$B$500,"&gt;="&amp;DATE($B228,1,1),Costs!$B$3:$B$500,"&lt;="&amp;DATE($B228,12,31))/1000</f>
        <v>0</v>
      </c>
      <c r="H228" s="9" t="n">
        <f aca="false">SUMIFS('Partial Sales'!$D$3:$D$500,'Partial Sales'!$C$3:$C$500,$A228,'Partial Sales'!$B$3:$B$500,"&gt;="&amp;DATE($B228,1,1),'Partial Sales'!$B$3:$B$500,"&lt;="&amp;DATE($B228,12,31))/1000</f>
        <v>0</v>
      </c>
      <c r="I228" s="9" t="n">
        <f aca="false">SUMIFS('Partial Purchases'!$D$3:$D$500,'Partial Purchases'!$C$3:$C$500,$A228,'Partial Purchases'!$B$3:$B$500,"&gt;="&amp;DATE($B228,1,1),'Partial Purchases'!$B$3:$B$500,"&lt;="&amp;DATE($B228,12,31))/1000</f>
        <v>0</v>
      </c>
      <c r="J228" s="9" t="n">
        <f aca="false">C228*(D228+0.5*(G228-H228+I228-F228))</f>
        <v>-0</v>
      </c>
      <c r="K228" s="9" t="n">
        <f aca="false">C228*(E228-D228+H228-G228-I228)</f>
        <v>0</v>
      </c>
      <c r="L228" s="13" t="str">
        <f aca="false">IF(J228=0,"",C228*F228/J228)</f>
        <v/>
      </c>
      <c r="M228" s="13" t="str">
        <f aca="false">IF(J228=0,"",K228/J228)</f>
        <v/>
      </c>
      <c r="N228" s="13" t="str">
        <f aca="false">IF(J228=0,"",L228+M228)</f>
        <v/>
      </c>
    </row>
    <row r="229" customFormat="false" ht="15" hidden="false" customHeight="false" outlineLevel="0" collapsed="false">
      <c r="A229" s="8" t="s">
        <v>32</v>
      </c>
      <c r="B229" s="46" t="n">
        <v>2013</v>
      </c>
      <c r="C229" s="10" t="n">
        <f aca="false">IF(D229&gt;0,1,0)</f>
        <v>1</v>
      </c>
      <c r="D229" s="9" t="n">
        <f aca="false">IF(SUMIFS(Sales!$D$3:$D$500,Sales!$C$3:$C$500,$A229,Sales!$B$3:$B$500,"&lt;="&amp;DATE($B229-1,12,31))&gt;0,0,SUMIFS('Asset Value'!$F$4:$F$500,'Asset Value'!$C$4:$C$500,$A229,'Asset Value'!$B$4:$B$500,$B229-1)/1000)</f>
        <v>65475</v>
      </c>
      <c r="E229" s="9" t="n">
        <f aca="false">IF(SUMIFS(Sales!$D$3:$D$500,Sales!$C$3:$C$500,$A229,Sales!$B$3:$B$500,"&gt;="&amp;DATE($B229,1,1),Sales!$B$3:$B$500,"&lt;="&amp;DATE($B229,12,31))&gt;0,SUMIFS(Sales!$D$3:$D$500,Sales!$C$3:$C$500,$A229,Sales!$B$3:$B$500,"&gt;="&amp;DATE($B229,1,1),Sales!$B$3:$B$500,"&lt;="&amp;DATE($B229,12,31))/1000,SUMIFS('Asset Value'!$F$4:$F$500,'Asset Value'!$C$4:$C$500,$A229,'Asset Value'!$B$4:$B$500,$B229)/1000)</f>
        <v>83471</v>
      </c>
      <c r="F229" s="9" t="n">
        <f aca="false">SUMIFS(Rent!$E$3:$E$500,Rent!$D$3:$D$500,$A229,Rent!$C$3:$C$500,$B229)/1000</f>
        <v>1965</v>
      </c>
      <c r="G229" s="9" t="n">
        <f aca="false">SUMIFS(Costs!$D$3:$D$500,Costs!$C$3:$C$500,$A229,Costs!$B$3:$B$500,"&gt;="&amp;DATE($B229,1,1),Costs!$B$3:$B$500,"&lt;="&amp;DATE($B229,12,31))/1000</f>
        <v>0</v>
      </c>
      <c r="H229" s="9" t="n">
        <f aca="false">SUMIFS('Partial Sales'!$D$3:$D$500,'Partial Sales'!$C$3:$C$500,$A229,'Partial Sales'!$B$3:$B$500,"&gt;="&amp;DATE($B229,1,1),'Partial Sales'!$B$3:$B$500,"&lt;="&amp;DATE($B229,12,31))/1000</f>
        <v>0</v>
      </c>
      <c r="I229" s="9" t="n">
        <f aca="false">SUMIFS('Partial Purchases'!$D$3:$D$500,'Partial Purchases'!$C$3:$C$500,$A229,'Partial Purchases'!$B$3:$B$500,"&gt;="&amp;DATE($B229,1,1),'Partial Purchases'!$B$3:$B$500,"&lt;="&amp;DATE($B229,12,31))/1000</f>
        <v>0</v>
      </c>
      <c r="J229" s="9" t="n">
        <f aca="false">C229*(D229+0.5*(G229-H229+I229-F229))</f>
        <v>64492.5</v>
      </c>
      <c r="K229" s="9" t="n">
        <f aca="false">C229*(E229-D229+H229-G229-I229)</f>
        <v>17996</v>
      </c>
      <c r="L229" s="13" t="n">
        <f aca="false">IF(J229=0,"",C229*F229/J229)</f>
        <v>0.0304686591464124</v>
      </c>
      <c r="M229" s="13" t="n">
        <f aca="false">IF(J229=0,"",K229/J229)</f>
        <v>0.279040198472691</v>
      </c>
      <c r="N229" s="13" t="n">
        <f aca="false">IF(J229=0,"",L229+M229)</f>
        <v>0.309508857619103</v>
      </c>
    </row>
    <row r="230" customFormat="false" ht="15" hidden="false" customHeight="false" outlineLevel="0" collapsed="false">
      <c r="A230" s="8" t="s">
        <v>32</v>
      </c>
      <c r="B230" s="46" t="n">
        <v>2014</v>
      </c>
      <c r="C230" s="10" t="n">
        <f aca="false">IF(D230&gt;0,1,0)</f>
        <v>1</v>
      </c>
      <c r="D230" s="9" t="n">
        <f aca="false">IF(SUMIFS(Sales!$D$3:$D$500,Sales!$C$3:$C$500,$A230,Sales!$B$3:$B$500,"&lt;="&amp;DATE($B230-1,12,31))&gt;0,0,SUMIFS('Asset Value'!$F$4:$F$500,'Asset Value'!$C$4:$C$500,$A230,'Asset Value'!$B$4:$B$500,$B230-1)/1000)</f>
        <v>83471</v>
      </c>
      <c r="E230" s="9" t="n">
        <f aca="false">IF(SUMIFS(Sales!$D$3:$D$500,Sales!$C$3:$C$500,$A230,Sales!$B$3:$B$500,"&gt;="&amp;DATE($B230,1,1),Sales!$B$3:$B$500,"&lt;="&amp;DATE($B230,12,31))&gt;0,SUMIFS(Sales!$D$3:$D$500,Sales!$C$3:$C$500,$A230,Sales!$B$3:$B$500,"&gt;="&amp;DATE($B230,1,1),Sales!$B$3:$B$500,"&lt;="&amp;DATE($B230,12,31))/1000,SUMIFS('Asset Value'!$F$4:$F$500,'Asset Value'!$C$4:$C$500,$A230,'Asset Value'!$B$4:$B$500,$B230)/1000)</f>
        <v>87257</v>
      </c>
      <c r="F230" s="9" t="n">
        <f aca="false">SUMIFS(Rent!$E$3:$E$500,Rent!$D$3:$D$500,$A230,Rent!$C$3:$C$500,$B230)/1000</f>
        <v>2688</v>
      </c>
      <c r="G230" s="9" t="n">
        <f aca="false">SUMIFS(Costs!$D$3:$D$500,Costs!$C$3:$C$500,$A230,Costs!$B$3:$B$500,"&gt;="&amp;DATE($B230,1,1),Costs!$B$3:$B$500,"&lt;="&amp;DATE($B230,12,31))/1000</f>
        <v>0</v>
      </c>
      <c r="H230" s="9" t="n">
        <f aca="false">SUMIFS('Partial Sales'!$D$3:$D$500,'Partial Sales'!$C$3:$C$500,$A230,'Partial Sales'!$B$3:$B$500,"&gt;="&amp;DATE($B230,1,1),'Partial Sales'!$B$3:$B$500,"&lt;="&amp;DATE($B230,12,31))/1000</f>
        <v>0</v>
      </c>
      <c r="I230" s="9" t="n">
        <f aca="false">SUMIFS('Partial Purchases'!$D$3:$D$500,'Partial Purchases'!$C$3:$C$500,$A230,'Partial Purchases'!$B$3:$B$500,"&gt;="&amp;DATE($B230,1,1),'Partial Purchases'!$B$3:$B$500,"&lt;="&amp;DATE($B230,12,31))/1000</f>
        <v>0</v>
      </c>
      <c r="J230" s="9" t="n">
        <f aca="false">C230*(D230+0.5*(G230-H230+I230-F230))</f>
        <v>82127</v>
      </c>
      <c r="K230" s="9" t="n">
        <f aca="false">C230*(E230-D230+H230-G230-I230)</f>
        <v>3786</v>
      </c>
      <c r="L230" s="13" t="n">
        <f aca="false">IF(J230=0,"",C230*F230/J230)</f>
        <v>0.0327297965346354</v>
      </c>
      <c r="M230" s="13" t="n">
        <f aca="false">IF(J230=0,"",K230/J230)</f>
        <v>0.0460993339583815</v>
      </c>
      <c r="N230" s="13" t="n">
        <f aca="false">IF(J230=0,"",L230+M230)</f>
        <v>0.0788291304930169</v>
      </c>
    </row>
    <row r="231" customFormat="false" ht="15" hidden="false" customHeight="false" outlineLevel="0" collapsed="false">
      <c r="A231" s="47" t="s">
        <v>32</v>
      </c>
      <c r="B231" s="48" t="n">
        <v>2015</v>
      </c>
      <c r="C231" s="49" t="n">
        <f aca="false">IF(D231&gt;0,1,0)</f>
        <v>1</v>
      </c>
      <c r="D231" s="50" t="n">
        <f aca="false">IF(SUMIFS(Sales!$D$3:$D$500,Sales!$C$3:$C$500,$A231,Sales!$B$3:$B$500,"&lt;="&amp;DATE($B231-1,12,31))&gt;0,0,SUMIFS('Asset Value'!$F$4:$F$500,'Asset Value'!$C$4:$C$500,$A231,'Asset Value'!$B$4:$B$500,$B231-1)/1000)</f>
        <v>87257</v>
      </c>
      <c r="E231" s="50" t="n">
        <f aca="false">IF(SUMIFS(Sales!$D$3:$D$500,Sales!$C$3:$C$500,$A231,Sales!$B$3:$B$500,"&gt;="&amp;DATE($B231,1,1),Sales!$B$3:$B$500,"&lt;="&amp;DATE($B231,12,31))&gt;0,SUMIFS(Sales!$D$3:$D$500,Sales!$C$3:$C$500,$A231,Sales!$B$3:$B$500,"&gt;="&amp;DATE($B231,1,1),Sales!$B$3:$B$500,"&lt;="&amp;DATE($B231,12,31))/1000,SUMIFS('Asset Value'!$F$4:$F$500,'Asset Value'!$C$4:$C$500,$A231,'Asset Value'!$B$4:$B$500,$B231)/1000)</f>
        <v>93350</v>
      </c>
      <c r="F231" s="50" t="n">
        <f aca="false">SUMIFS(Rent!$E$3:$E$500,Rent!$D$3:$D$500,$A231,Rent!$C$3:$C$500,$B231)/1000</f>
        <v>0</v>
      </c>
      <c r="G231" s="50" t="n">
        <f aca="false">SUMIFS(Costs!$D$3:$D$500,Costs!$C$3:$C$500,$A231,Costs!$B$3:$B$500,"&gt;="&amp;DATE($B231,1,1),Costs!$B$3:$B$500,"&lt;="&amp;DATE($B231,12,31))/1000</f>
        <v>0</v>
      </c>
      <c r="H231" s="50" t="n">
        <f aca="false">SUMIFS('Partial Sales'!$D$3:$D$500,'Partial Sales'!$C$3:$C$500,$A231,'Partial Sales'!$B$3:$B$500,"&gt;="&amp;DATE($B231,1,1),'Partial Sales'!$B$3:$B$500,"&lt;="&amp;DATE($B231,12,31))/1000</f>
        <v>0</v>
      </c>
      <c r="I231" s="50" t="n">
        <f aca="false">SUMIFS('Partial Purchases'!$D$3:$D$500,'Partial Purchases'!$C$3:$C$500,$A231,'Partial Purchases'!$B$3:$B$500,"&gt;="&amp;DATE($B231,1,1),'Partial Purchases'!$B$3:$B$500,"&lt;="&amp;DATE($B231,12,31))/1000</f>
        <v>0</v>
      </c>
      <c r="J231" s="50" t="n">
        <f aca="false">C231*(D231+0.5*(G231-H231+I231-F231))</f>
        <v>87257</v>
      </c>
      <c r="K231" s="50" t="n">
        <f aca="false">C231*(E231-D231+H231-G231-I231)</f>
        <v>6093</v>
      </c>
      <c r="L231" s="44" t="n">
        <f aca="false">IF(J231=0,"",C231*F231/J231)</f>
        <v>0</v>
      </c>
      <c r="M231" s="44" t="n">
        <f aca="false">IF(J231=0,"",K231/J231)</f>
        <v>0.069828208625096</v>
      </c>
      <c r="N231" s="44" t="n">
        <f aca="false">IF(J231=0,"",L231+M231)</f>
        <v>0.069828208625096</v>
      </c>
    </row>
    <row r="232" customFormat="false" ht="15" hidden="false" customHeight="false" outlineLevel="0" collapsed="false">
      <c r="A232" s="8" t="s">
        <v>33</v>
      </c>
      <c r="B232" s="46" t="n">
        <v>2008</v>
      </c>
      <c r="C232" s="10" t="n">
        <f aca="false">IF(D232&gt;0,1,0)</f>
        <v>0</v>
      </c>
      <c r="D232" s="9" t="n">
        <f aca="false">IF(SUMIFS(Sales!$D$3:$D$500,Sales!$C$3:$C$500,$A232,Sales!$B$3:$B$500,"&lt;="&amp;DATE($B232-1,12,31))&gt;0,0,SUMIFS('Asset Value'!$F$4:$F$500,'Asset Value'!$C$4:$C$500,$A232,'Asset Value'!$B$4:$B$500,$B232-1)/1000)</f>
        <v>0</v>
      </c>
      <c r="E232" s="9" t="n">
        <f aca="false">IF(SUMIFS(Sales!$D$3:$D$500,Sales!$C$3:$C$500,$A232,Sales!$B$3:$B$500,"&gt;="&amp;DATE($B232,1,1),Sales!$B$3:$B$500,"&lt;="&amp;DATE($B232,12,31))&gt;0,SUMIFS(Sales!$D$3:$D$500,Sales!$C$3:$C$500,$A232,Sales!$B$3:$B$500,"&gt;="&amp;DATE($B232,1,1),Sales!$B$3:$B$500,"&lt;="&amp;DATE($B232,12,31))/1000,SUMIFS('Asset Value'!$F$4:$F$500,'Asset Value'!$C$4:$C$500,$A232,'Asset Value'!$B$4:$B$500,$B232)/1000)</f>
        <v>20520</v>
      </c>
      <c r="F232" s="9" t="n">
        <f aca="false">SUMIFS(Rent!$E$3:$E$500,Rent!$D$3:$D$500,$A232,Rent!$C$3:$C$500,$B232)/1000</f>
        <v>1083.6</v>
      </c>
      <c r="G232" s="9" t="n">
        <f aca="false">SUMIFS(Costs!$D$3:$D$500,Costs!$C$3:$C$500,$A232,Costs!$B$3:$B$500,"&gt;="&amp;DATE($B232,1,1),Costs!$B$3:$B$500,"&lt;="&amp;DATE($B232,12,31))/1000</f>
        <v>0</v>
      </c>
      <c r="H232" s="9" t="n">
        <f aca="false">SUMIFS('Partial Sales'!$D$3:$D$500,'Partial Sales'!$C$3:$C$500,$A232,'Partial Sales'!$B$3:$B$500,"&gt;="&amp;DATE($B232,1,1),'Partial Sales'!$B$3:$B$500,"&lt;="&amp;DATE($B232,12,31))/1000</f>
        <v>0</v>
      </c>
      <c r="I232" s="9" t="n">
        <f aca="false">SUMIFS('Partial Purchases'!$D$3:$D$500,'Partial Purchases'!$C$3:$C$500,$A232,'Partial Purchases'!$B$3:$B$500,"&gt;="&amp;DATE($B232,1,1),'Partial Purchases'!$B$3:$B$500,"&lt;="&amp;DATE($B232,12,31))/1000</f>
        <v>0</v>
      </c>
      <c r="J232" s="9" t="n">
        <f aca="false">C232*(D232+0.5*(G232-H232+I232-F232))</f>
        <v>-0</v>
      </c>
      <c r="K232" s="9" t="n">
        <f aca="false">C232*(E232-D232+H232-G232-I232)</f>
        <v>0</v>
      </c>
      <c r="L232" s="13" t="str">
        <f aca="false">IF(J232=0,"",C232*F232/J232)</f>
        <v/>
      </c>
      <c r="M232" s="13" t="str">
        <f aca="false">IF(J232=0,"",K232/J232)</f>
        <v/>
      </c>
      <c r="N232" s="13" t="str">
        <f aca="false">IF(J232=0,"",L232+M232)</f>
        <v/>
      </c>
    </row>
    <row r="233" customFormat="false" ht="15" hidden="false" customHeight="false" outlineLevel="0" collapsed="false">
      <c r="A233" s="8" t="s">
        <v>33</v>
      </c>
      <c r="B233" s="46" t="n">
        <v>2009</v>
      </c>
      <c r="C233" s="10" t="n">
        <f aca="false">IF(D233&gt;0,1,0)</f>
        <v>1</v>
      </c>
      <c r="D233" s="9" t="n">
        <f aca="false">IF(SUMIFS(Sales!$D$3:$D$500,Sales!$C$3:$C$500,$A233,Sales!$B$3:$B$500,"&lt;="&amp;DATE($B233-1,12,31))&gt;0,0,SUMIFS('Asset Value'!$F$4:$F$500,'Asset Value'!$C$4:$C$500,$A233,'Asset Value'!$B$4:$B$500,$B233-1)/1000)</f>
        <v>20520</v>
      </c>
      <c r="E233" s="9" t="n">
        <f aca="false">IF(SUMIFS(Sales!$D$3:$D$500,Sales!$C$3:$C$500,$A233,Sales!$B$3:$B$500,"&gt;="&amp;DATE($B233,1,1),Sales!$B$3:$B$500,"&lt;="&amp;DATE($B233,12,31))&gt;0,SUMIFS(Sales!$D$3:$D$500,Sales!$C$3:$C$500,$A233,Sales!$B$3:$B$500,"&gt;="&amp;DATE($B233,1,1),Sales!$B$3:$B$500,"&lt;="&amp;DATE($B233,12,31))/1000,SUMIFS('Asset Value'!$F$4:$F$500,'Asset Value'!$C$4:$C$500,$A233,'Asset Value'!$B$4:$B$500,$B233)/1000)</f>
        <v>25260</v>
      </c>
      <c r="F233" s="9" t="n">
        <f aca="false">SUMIFS(Rent!$E$3:$E$500,Rent!$D$3:$D$500,$A233,Rent!$C$3:$C$500,$B233)/1000</f>
        <v>948.15</v>
      </c>
      <c r="G233" s="9" t="n">
        <f aca="false">SUMIFS(Costs!$D$3:$D$500,Costs!$C$3:$C$500,$A233,Costs!$B$3:$B$500,"&gt;="&amp;DATE($B233,1,1),Costs!$B$3:$B$500,"&lt;="&amp;DATE($B233,12,31))/1000</f>
        <v>0</v>
      </c>
      <c r="H233" s="9" t="n">
        <f aca="false">SUMIFS('Partial Sales'!$D$3:$D$500,'Partial Sales'!$C$3:$C$500,$A233,'Partial Sales'!$B$3:$B$500,"&gt;="&amp;DATE($B233,1,1),'Partial Sales'!$B$3:$B$500,"&lt;="&amp;DATE($B233,12,31))/1000</f>
        <v>0</v>
      </c>
      <c r="I233" s="9" t="n">
        <f aca="false">SUMIFS('Partial Purchases'!$D$3:$D$500,'Partial Purchases'!$C$3:$C$500,$A233,'Partial Purchases'!$B$3:$B$500,"&gt;="&amp;DATE($B233,1,1),'Partial Purchases'!$B$3:$B$500,"&lt;="&amp;DATE($B233,12,31))/1000</f>
        <v>0</v>
      </c>
      <c r="J233" s="9" t="n">
        <f aca="false">C233*(D233+0.5*(G233-H233+I233-F233))</f>
        <v>20045.925</v>
      </c>
      <c r="K233" s="9" t="n">
        <f aca="false">C233*(E233-D233+H233-G233-I233)</f>
        <v>4740</v>
      </c>
      <c r="L233" s="13" t="n">
        <f aca="false">IF(J233=0,"",C233*F233/J233)</f>
        <v>0.047298889924012</v>
      </c>
      <c r="M233" s="13" t="n">
        <f aca="false">IF(J233=0,"",K233/J233)</f>
        <v>0.236457035532159</v>
      </c>
      <c r="N233" s="13" t="n">
        <f aca="false">IF(J233=0,"",L233+M233)</f>
        <v>0.283755925456171</v>
      </c>
    </row>
    <row r="234" customFormat="false" ht="15" hidden="false" customHeight="false" outlineLevel="0" collapsed="false">
      <c r="A234" s="8" t="s">
        <v>33</v>
      </c>
      <c r="B234" s="46" t="n">
        <v>2010</v>
      </c>
      <c r="C234" s="10" t="n">
        <f aca="false">IF(D234&gt;0,1,0)</f>
        <v>1</v>
      </c>
      <c r="D234" s="9" t="n">
        <f aca="false">IF(SUMIFS(Sales!$D$3:$D$500,Sales!$C$3:$C$500,$A234,Sales!$B$3:$B$500,"&lt;="&amp;DATE($B234-1,12,31))&gt;0,0,SUMIFS('Asset Value'!$F$4:$F$500,'Asset Value'!$C$4:$C$500,$A234,'Asset Value'!$B$4:$B$500,$B234-1)/1000)</f>
        <v>25260</v>
      </c>
      <c r="E234" s="9" t="n">
        <f aca="false">IF(SUMIFS(Sales!$D$3:$D$500,Sales!$C$3:$C$500,$A234,Sales!$B$3:$B$500,"&gt;="&amp;DATE($B234,1,1),Sales!$B$3:$B$500,"&lt;="&amp;DATE($B234,12,31))&gt;0,SUMIFS(Sales!$D$3:$D$500,Sales!$C$3:$C$500,$A234,Sales!$B$3:$B$500,"&gt;="&amp;DATE($B234,1,1),Sales!$B$3:$B$500,"&lt;="&amp;DATE($B234,12,31))/1000,SUMIFS('Asset Value'!$F$4:$F$500,'Asset Value'!$C$4:$C$500,$A234,'Asset Value'!$B$4:$B$500,$B234)/1000)</f>
        <v>27160</v>
      </c>
      <c r="F234" s="9" t="n">
        <f aca="false">SUMIFS(Rent!$E$3:$E$500,Rent!$D$3:$D$500,$A234,Rent!$C$3:$C$500,$B234)/1000</f>
        <v>0</v>
      </c>
      <c r="G234" s="9" t="n">
        <f aca="false">SUMIFS(Costs!$D$3:$D$500,Costs!$C$3:$C$500,$A234,Costs!$B$3:$B$500,"&gt;="&amp;DATE($B234,1,1),Costs!$B$3:$B$500,"&lt;="&amp;DATE($B234,12,31))/1000</f>
        <v>0</v>
      </c>
      <c r="H234" s="9" t="n">
        <f aca="false">SUMIFS('Partial Sales'!$D$3:$D$500,'Partial Sales'!$C$3:$C$500,$A234,'Partial Sales'!$B$3:$B$500,"&gt;="&amp;DATE($B234,1,1),'Partial Sales'!$B$3:$B$500,"&lt;="&amp;DATE($B234,12,31))/1000</f>
        <v>0</v>
      </c>
      <c r="I234" s="9" t="n">
        <f aca="false">SUMIFS('Partial Purchases'!$D$3:$D$500,'Partial Purchases'!$C$3:$C$500,$A234,'Partial Purchases'!$B$3:$B$500,"&gt;="&amp;DATE($B234,1,1),'Partial Purchases'!$B$3:$B$500,"&lt;="&amp;DATE($B234,12,31))/1000</f>
        <v>0</v>
      </c>
      <c r="J234" s="9" t="n">
        <f aca="false">C234*(D234+0.5*(G234-H234+I234-F234))</f>
        <v>25260</v>
      </c>
      <c r="K234" s="9" t="n">
        <f aca="false">C234*(E234-D234+H234-G234-I234)</f>
        <v>1900</v>
      </c>
      <c r="L234" s="13" t="n">
        <f aca="false">IF(J234=0,"",C234*F234/J234)</f>
        <v>0</v>
      </c>
      <c r="M234" s="13" t="n">
        <f aca="false">IF(J234=0,"",K234/J234)</f>
        <v>0.0752177355502771</v>
      </c>
      <c r="N234" s="13" t="n">
        <f aca="false">IF(J234=0,"",L234+M234)</f>
        <v>0.0752177355502771</v>
      </c>
    </row>
    <row r="235" customFormat="false" ht="15" hidden="false" customHeight="false" outlineLevel="0" collapsed="false">
      <c r="A235" s="8" t="s">
        <v>33</v>
      </c>
      <c r="B235" s="46" t="n">
        <v>2011</v>
      </c>
      <c r="C235" s="10" t="n">
        <f aca="false">IF(D235&gt;0,1,0)</f>
        <v>0</v>
      </c>
      <c r="D235" s="9" t="n">
        <f aca="false">IF(SUMIFS(Sales!$D$3:$D$500,Sales!$C$3:$C$500,$A235,Sales!$B$3:$B$500,"&lt;="&amp;DATE($B235-1,12,31))&gt;0,0,SUMIFS('Asset Value'!$F$4:$F$500,'Asset Value'!$C$4:$C$500,$A235,'Asset Value'!$B$4:$B$500,$B235-1)/1000)</f>
        <v>0</v>
      </c>
      <c r="E235" s="9" t="n">
        <f aca="false">IF(SUMIFS(Sales!$D$3:$D$500,Sales!$C$3:$C$500,$A235,Sales!$B$3:$B$500,"&gt;="&amp;DATE($B235,1,1),Sales!$B$3:$B$500,"&lt;="&amp;DATE($B235,12,31))&gt;0,SUMIFS(Sales!$D$3:$D$500,Sales!$C$3:$C$500,$A235,Sales!$B$3:$B$500,"&gt;="&amp;DATE($B235,1,1),Sales!$B$3:$B$500,"&lt;="&amp;DATE($B235,12,31))/1000,SUMIFS('Asset Value'!$F$4:$F$500,'Asset Value'!$C$4:$C$500,$A235,'Asset Value'!$B$4:$B$500,$B235)/1000)</f>
        <v>0</v>
      </c>
      <c r="F235" s="9" t="n">
        <f aca="false">SUMIFS(Rent!$E$3:$E$500,Rent!$D$3:$D$500,$A235,Rent!$C$3:$C$500,$B235)/1000</f>
        <v>0</v>
      </c>
      <c r="G235" s="9" t="n">
        <f aca="false">SUMIFS(Costs!$D$3:$D$500,Costs!$C$3:$C$500,$A235,Costs!$B$3:$B$500,"&gt;="&amp;DATE($B235,1,1),Costs!$B$3:$B$500,"&lt;="&amp;DATE($B235,12,31))/1000</f>
        <v>0</v>
      </c>
      <c r="H235" s="9" t="n">
        <f aca="false">SUMIFS('Partial Sales'!$D$3:$D$500,'Partial Sales'!$C$3:$C$500,$A235,'Partial Sales'!$B$3:$B$500,"&gt;="&amp;DATE($B235,1,1),'Partial Sales'!$B$3:$B$500,"&lt;="&amp;DATE($B235,12,31))/1000</f>
        <v>0</v>
      </c>
      <c r="I235" s="9" t="n">
        <f aca="false">SUMIFS('Partial Purchases'!$D$3:$D$500,'Partial Purchases'!$C$3:$C$500,$A235,'Partial Purchases'!$B$3:$B$500,"&gt;="&amp;DATE($B235,1,1),'Partial Purchases'!$B$3:$B$500,"&lt;="&amp;DATE($B235,12,31))/1000</f>
        <v>0</v>
      </c>
      <c r="J235" s="9" t="n">
        <f aca="false">C235*(D235+0.5*(G235-H235+I235-F235))</f>
        <v>0</v>
      </c>
      <c r="K235" s="9" t="n">
        <f aca="false">C235*(E235-D235+H235-G235-I235)</f>
        <v>0</v>
      </c>
      <c r="L235" s="13" t="str">
        <f aca="false">IF(J235=0,"",C235*F235/J235)</f>
        <v/>
      </c>
      <c r="M235" s="13" t="str">
        <f aca="false">IF(J235=0,"",K235/J235)</f>
        <v/>
      </c>
      <c r="N235" s="13" t="str">
        <f aca="false">IF(J235=0,"",L235+M235)</f>
        <v/>
      </c>
    </row>
    <row r="236" customFormat="false" ht="15" hidden="false" customHeight="false" outlineLevel="0" collapsed="false">
      <c r="A236" s="8" t="s">
        <v>33</v>
      </c>
      <c r="B236" s="46" t="n">
        <v>2012</v>
      </c>
      <c r="C236" s="10" t="n">
        <f aca="false">IF(D236&gt;0,1,0)</f>
        <v>0</v>
      </c>
      <c r="D236" s="9" t="n">
        <f aca="false">IF(SUMIFS(Sales!$D$3:$D$500,Sales!$C$3:$C$500,$A236,Sales!$B$3:$B$500,"&lt;="&amp;DATE($B236-1,12,31))&gt;0,0,SUMIFS('Asset Value'!$F$4:$F$500,'Asset Value'!$C$4:$C$500,$A236,'Asset Value'!$B$4:$B$500,$B236-1)/1000)</f>
        <v>0</v>
      </c>
      <c r="E236" s="9" t="n">
        <f aca="false">IF(SUMIFS(Sales!$D$3:$D$500,Sales!$C$3:$C$500,$A236,Sales!$B$3:$B$500,"&gt;="&amp;DATE($B236,1,1),Sales!$B$3:$B$500,"&lt;="&amp;DATE($B236,12,31))&gt;0,SUMIFS(Sales!$D$3:$D$500,Sales!$C$3:$C$500,$A236,Sales!$B$3:$B$500,"&gt;="&amp;DATE($B236,1,1),Sales!$B$3:$B$500,"&lt;="&amp;DATE($B236,12,31))/1000,SUMIFS('Asset Value'!$F$4:$F$500,'Asset Value'!$C$4:$C$500,$A236,'Asset Value'!$B$4:$B$500,$B236)/1000)</f>
        <v>0</v>
      </c>
      <c r="F236" s="9" t="n">
        <f aca="false">SUMIFS(Rent!$E$3:$E$500,Rent!$D$3:$D$500,$A236,Rent!$C$3:$C$500,$B236)/1000</f>
        <v>0</v>
      </c>
      <c r="G236" s="9" t="n">
        <f aca="false">SUMIFS(Costs!$D$3:$D$500,Costs!$C$3:$C$500,$A236,Costs!$B$3:$B$500,"&gt;="&amp;DATE($B236,1,1),Costs!$B$3:$B$500,"&lt;="&amp;DATE($B236,12,31))/1000</f>
        <v>0</v>
      </c>
      <c r="H236" s="9" t="n">
        <f aca="false">SUMIFS('Partial Sales'!$D$3:$D$500,'Partial Sales'!$C$3:$C$500,$A236,'Partial Sales'!$B$3:$B$500,"&gt;="&amp;DATE($B236,1,1),'Partial Sales'!$B$3:$B$500,"&lt;="&amp;DATE($B236,12,31))/1000</f>
        <v>0</v>
      </c>
      <c r="I236" s="9" t="n">
        <f aca="false">SUMIFS('Partial Purchases'!$D$3:$D$500,'Partial Purchases'!$C$3:$C$500,$A236,'Partial Purchases'!$B$3:$B$500,"&gt;="&amp;DATE($B236,1,1),'Partial Purchases'!$B$3:$B$500,"&lt;="&amp;DATE($B236,12,31))/1000</f>
        <v>0</v>
      </c>
      <c r="J236" s="9" t="n">
        <f aca="false">C236*(D236+0.5*(G236-H236+I236-F236))</f>
        <v>0</v>
      </c>
      <c r="K236" s="9" t="n">
        <f aca="false">C236*(E236-D236+H236-G236-I236)</f>
        <v>0</v>
      </c>
      <c r="L236" s="13" t="str">
        <f aca="false">IF(J236=0,"",C236*F236/J236)</f>
        <v/>
      </c>
      <c r="M236" s="13" t="str">
        <f aca="false">IF(J236=0,"",K236/J236)</f>
        <v/>
      </c>
      <c r="N236" s="13" t="str">
        <f aca="false">IF(J236=0,"",L236+M236)</f>
        <v/>
      </c>
    </row>
    <row r="237" customFormat="false" ht="15" hidden="false" customHeight="false" outlineLevel="0" collapsed="false">
      <c r="A237" s="8" t="s">
        <v>33</v>
      </c>
      <c r="B237" s="46" t="n">
        <v>2013</v>
      </c>
      <c r="C237" s="10" t="n">
        <f aca="false">IF(D237&gt;0,1,0)</f>
        <v>0</v>
      </c>
      <c r="D237" s="9" t="n">
        <f aca="false">IF(SUMIFS(Sales!$D$3:$D$500,Sales!$C$3:$C$500,$A237,Sales!$B$3:$B$500,"&lt;="&amp;DATE($B237-1,12,31))&gt;0,0,SUMIFS('Asset Value'!$F$4:$F$500,'Asset Value'!$C$4:$C$500,$A237,'Asset Value'!$B$4:$B$500,$B237-1)/1000)</f>
        <v>0</v>
      </c>
      <c r="E237" s="9" t="n">
        <f aca="false">IF(SUMIFS(Sales!$D$3:$D$500,Sales!$C$3:$C$500,$A237,Sales!$B$3:$B$500,"&gt;="&amp;DATE($B237,1,1),Sales!$B$3:$B$500,"&lt;="&amp;DATE($B237,12,31))&gt;0,SUMIFS(Sales!$D$3:$D$500,Sales!$C$3:$C$500,$A237,Sales!$B$3:$B$500,"&gt;="&amp;DATE($B237,1,1),Sales!$B$3:$B$500,"&lt;="&amp;DATE($B237,12,31))/1000,SUMIFS('Asset Value'!$F$4:$F$500,'Asset Value'!$C$4:$C$500,$A237,'Asset Value'!$B$4:$B$500,$B237)/1000)</f>
        <v>0</v>
      </c>
      <c r="F237" s="9" t="n">
        <f aca="false">SUMIFS(Rent!$E$3:$E$500,Rent!$D$3:$D$500,$A237,Rent!$C$3:$C$500,$B237)/1000</f>
        <v>0</v>
      </c>
      <c r="G237" s="9" t="n">
        <f aca="false">SUMIFS(Costs!$D$3:$D$500,Costs!$C$3:$C$500,$A237,Costs!$B$3:$B$500,"&gt;="&amp;DATE($B237,1,1),Costs!$B$3:$B$500,"&lt;="&amp;DATE($B237,12,31))/1000</f>
        <v>0</v>
      </c>
      <c r="H237" s="9" t="n">
        <f aca="false">SUMIFS('Partial Sales'!$D$3:$D$500,'Partial Sales'!$C$3:$C$500,$A237,'Partial Sales'!$B$3:$B$500,"&gt;="&amp;DATE($B237,1,1),'Partial Sales'!$B$3:$B$500,"&lt;="&amp;DATE($B237,12,31))/1000</f>
        <v>0</v>
      </c>
      <c r="I237" s="9" t="n">
        <f aca="false">SUMIFS('Partial Purchases'!$D$3:$D$500,'Partial Purchases'!$C$3:$C$500,$A237,'Partial Purchases'!$B$3:$B$500,"&gt;="&amp;DATE($B237,1,1),'Partial Purchases'!$B$3:$B$500,"&lt;="&amp;DATE($B237,12,31))/1000</f>
        <v>0</v>
      </c>
      <c r="J237" s="9" t="n">
        <f aca="false">C237*(D237+0.5*(G237-H237+I237-F237))</f>
        <v>0</v>
      </c>
      <c r="K237" s="9" t="n">
        <f aca="false">C237*(E237-D237+H237-G237-I237)</f>
        <v>0</v>
      </c>
      <c r="L237" s="13" t="str">
        <f aca="false">IF(J237=0,"",C237*F237/J237)</f>
        <v/>
      </c>
      <c r="M237" s="13" t="str">
        <f aca="false">IF(J237=0,"",K237/J237)</f>
        <v/>
      </c>
      <c r="N237" s="13" t="str">
        <f aca="false">IF(J237=0,"",L237+M237)</f>
        <v/>
      </c>
    </row>
    <row r="238" customFormat="false" ht="15" hidden="false" customHeight="false" outlineLevel="0" collapsed="false">
      <c r="A238" s="8" t="s">
        <v>33</v>
      </c>
      <c r="B238" s="46" t="n">
        <v>2014</v>
      </c>
      <c r="C238" s="10" t="n">
        <f aca="false">IF(D238&gt;0,1,0)</f>
        <v>0</v>
      </c>
      <c r="D238" s="9" t="n">
        <f aca="false">IF(SUMIFS(Sales!$D$3:$D$500,Sales!$C$3:$C$500,$A238,Sales!$B$3:$B$500,"&lt;="&amp;DATE($B238-1,12,31))&gt;0,0,SUMIFS('Asset Value'!$F$4:$F$500,'Asset Value'!$C$4:$C$500,$A238,'Asset Value'!$B$4:$B$500,$B238-1)/1000)</f>
        <v>0</v>
      </c>
      <c r="E238" s="9" t="n">
        <f aca="false">IF(SUMIFS(Sales!$D$3:$D$500,Sales!$C$3:$C$500,$A238,Sales!$B$3:$B$500,"&gt;="&amp;DATE($B238,1,1),Sales!$B$3:$B$500,"&lt;="&amp;DATE($B238,12,31))&gt;0,SUMIFS(Sales!$D$3:$D$500,Sales!$C$3:$C$500,$A238,Sales!$B$3:$B$500,"&gt;="&amp;DATE($B238,1,1),Sales!$B$3:$B$500,"&lt;="&amp;DATE($B238,12,31))/1000,SUMIFS('Asset Value'!$F$4:$F$500,'Asset Value'!$C$4:$C$500,$A238,'Asset Value'!$B$4:$B$500,$B238)/1000)</f>
        <v>0</v>
      </c>
      <c r="F238" s="9" t="n">
        <f aca="false">SUMIFS(Rent!$E$3:$E$500,Rent!$D$3:$D$500,$A238,Rent!$C$3:$C$500,$B238)/1000</f>
        <v>0</v>
      </c>
      <c r="G238" s="9" t="n">
        <f aca="false">SUMIFS(Costs!$D$3:$D$500,Costs!$C$3:$C$500,$A238,Costs!$B$3:$B$500,"&gt;="&amp;DATE($B238,1,1),Costs!$B$3:$B$500,"&lt;="&amp;DATE($B238,12,31))/1000</f>
        <v>0</v>
      </c>
      <c r="H238" s="9" t="n">
        <f aca="false">SUMIFS('Partial Sales'!$D$3:$D$500,'Partial Sales'!$C$3:$C$500,$A238,'Partial Sales'!$B$3:$B$500,"&gt;="&amp;DATE($B238,1,1),'Partial Sales'!$B$3:$B$500,"&lt;="&amp;DATE($B238,12,31))/1000</f>
        <v>0</v>
      </c>
      <c r="I238" s="9" t="n">
        <f aca="false">SUMIFS('Partial Purchases'!$D$3:$D$500,'Partial Purchases'!$C$3:$C$500,$A238,'Partial Purchases'!$B$3:$B$500,"&gt;="&amp;DATE($B238,1,1),'Partial Purchases'!$B$3:$B$500,"&lt;="&amp;DATE($B238,12,31))/1000</f>
        <v>0</v>
      </c>
      <c r="J238" s="9" t="n">
        <f aca="false">C238*(D238+0.5*(G238-H238+I238-F238))</f>
        <v>0</v>
      </c>
      <c r="K238" s="9" t="n">
        <f aca="false">C238*(E238-D238+H238-G238-I238)</f>
        <v>0</v>
      </c>
      <c r="L238" s="13" t="str">
        <f aca="false">IF(J238=0,"",C238*F238/J238)</f>
        <v/>
      </c>
      <c r="M238" s="13" t="str">
        <f aca="false">IF(J238=0,"",K238/J238)</f>
        <v/>
      </c>
      <c r="N238" s="13" t="str">
        <f aca="false">IF(J238=0,"",L238+M238)</f>
        <v/>
      </c>
    </row>
    <row r="239" customFormat="false" ht="15" hidden="false" customHeight="false" outlineLevel="0" collapsed="false">
      <c r="A239" s="47" t="s">
        <v>33</v>
      </c>
      <c r="B239" s="48" t="n">
        <v>2015</v>
      </c>
      <c r="C239" s="49" t="n">
        <f aca="false">IF(D239&gt;0,1,0)</f>
        <v>0</v>
      </c>
      <c r="D239" s="50" t="n">
        <f aca="false">IF(SUMIFS(Sales!$D$3:$D$500,Sales!$C$3:$C$500,$A239,Sales!$B$3:$B$500,"&lt;="&amp;DATE($B239-1,12,31))&gt;0,0,SUMIFS('Asset Value'!$F$4:$F$500,'Asset Value'!$C$4:$C$500,$A239,'Asset Value'!$B$4:$B$500,$B239-1)/1000)</f>
        <v>0</v>
      </c>
      <c r="E239" s="50" t="n">
        <f aca="false">IF(SUMIFS(Sales!$D$3:$D$500,Sales!$C$3:$C$500,$A239,Sales!$B$3:$B$500,"&gt;="&amp;DATE($B239,1,1),Sales!$B$3:$B$500,"&lt;="&amp;DATE($B239,12,31))&gt;0,SUMIFS(Sales!$D$3:$D$500,Sales!$C$3:$C$500,$A239,Sales!$B$3:$B$500,"&gt;="&amp;DATE($B239,1,1),Sales!$B$3:$B$500,"&lt;="&amp;DATE($B239,12,31))/1000,SUMIFS('Asset Value'!$F$4:$F$500,'Asset Value'!$C$4:$C$500,$A239,'Asset Value'!$B$4:$B$500,$B239)/1000)</f>
        <v>0</v>
      </c>
      <c r="F239" s="50" t="n">
        <f aca="false">SUMIFS(Rent!$E$3:$E$500,Rent!$D$3:$D$500,$A239,Rent!$C$3:$C$500,$B239)/1000</f>
        <v>0</v>
      </c>
      <c r="G239" s="50" t="n">
        <f aca="false">SUMIFS(Costs!$D$3:$D$500,Costs!$C$3:$C$500,$A239,Costs!$B$3:$B$500,"&gt;="&amp;DATE($B239,1,1),Costs!$B$3:$B$500,"&lt;="&amp;DATE($B239,12,31))/1000</f>
        <v>0</v>
      </c>
      <c r="H239" s="50" t="n">
        <f aca="false">SUMIFS('Partial Sales'!$D$3:$D$500,'Partial Sales'!$C$3:$C$500,$A239,'Partial Sales'!$B$3:$B$500,"&gt;="&amp;DATE($B239,1,1),'Partial Sales'!$B$3:$B$500,"&lt;="&amp;DATE($B239,12,31))/1000</f>
        <v>0</v>
      </c>
      <c r="I239" s="50" t="n">
        <f aca="false">SUMIFS('Partial Purchases'!$D$3:$D$500,'Partial Purchases'!$C$3:$C$500,$A239,'Partial Purchases'!$B$3:$B$500,"&gt;="&amp;DATE($B239,1,1),'Partial Purchases'!$B$3:$B$500,"&lt;="&amp;DATE($B239,12,31))/1000</f>
        <v>0</v>
      </c>
      <c r="J239" s="50" t="n">
        <f aca="false">C239*(D239+0.5*(G239-H239+I239-F239))</f>
        <v>0</v>
      </c>
      <c r="K239" s="50" t="n">
        <f aca="false">C239*(E239-D239+H239-G239-I239)</f>
        <v>0</v>
      </c>
      <c r="L239" s="44" t="str">
        <f aca="false">IF(J239=0,"",C239*F239/J239)</f>
        <v/>
      </c>
      <c r="M239" s="44" t="str">
        <f aca="false">IF(J239=0,"",K239/J239)</f>
        <v/>
      </c>
      <c r="N239" s="44" t="str">
        <f aca="false">IF(J239=0,"",L239+M239)</f>
        <v/>
      </c>
    </row>
    <row r="242" customFormat="false" ht="15" hidden="false" customHeight="false" outlineLevel="0" collapsed="false">
      <c r="A242" s="36" t="s">
        <v>125</v>
      </c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</row>
    <row r="243" customFormat="false" ht="31.5" hidden="false" customHeight="true" outlineLevel="0" collapsed="false">
      <c r="A243" s="12" t="s">
        <v>12</v>
      </c>
      <c r="B243" s="12" t="s">
        <v>77</v>
      </c>
      <c r="C243" s="12" t="s">
        <v>113</v>
      </c>
      <c r="D243" s="12" t="s">
        <v>114</v>
      </c>
      <c r="E243" s="12" t="s">
        <v>115</v>
      </c>
      <c r="F243" s="12" t="s">
        <v>116</v>
      </c>
      <c r="G243" s="12" t="s">
        <v>117</v>
      </c>
      <c r="H243" s="12" t="s">
        <v>118</v>
      </c>
      <c r="I243" s="12" t="s">
        <v>119</v>
      </c>
      <c r="J243" s="12" t="s">
        <v>120</v>
      </c>
      <c r="K243" s="12" t="s">
        <v>121</v>
      </c>
      <c r="L243" s="12" t="s">
        <v>122</v>
      </c>
      <c r="M243" s="12" t="s">
        <v>123</v>
      </c>
      <c r="N243" s="12" t="s">
        <v>124</v>
      </c>
    </row>
    <row r="244" customFormat="false" ht="15" hidden="false" customHeight="false" outlineLevel="0" collapsed="false">
      <c r="A244" s="8" t="s">
        <v>19</v>
      </c>
      <c r="B244" s="46" t="n">
        <v>2008</v>
      </c>
      <c r="C244" s="10" t="n">
        <f aca="false">IF(D244&gt;0,1,0)</f>
        <v>0</v>
      </c>
      <c r="D244" s="9" t="n">
        <f aca="false">IF(SUMIFS(Sales!$F$3:$F$500,Sales!$C$3:$C$500,$A244,Sales!$B$3:$B$500,"&lt;="&amp;DATE($B244-1,12,31))&gt;0,0,SUMIFS('Asset Value'!$I$4:$I$500,'Asset Value'!$C$4:$C$500,$A244,'Asset Value'!$B$4:$B$500,$B244-1)/1000)</f>
        <v>0</v>
      </c>
      <c r="E244" s="9" t="n">
        <f aca="false">IF(SUMIFS(Sales!$F$3:$F$500,Sales!$C$3:$C$500,$A244,Sales!$B$3:$B$500,"&gt;="&amp;DATE($B244,1,1),Sales!$B$3:$B$500,"&lt;="&amp;DATE($B244,12,31))&gt;0,SUMIFS(Sales!$F$3:$F$500,Sales!$C$3:$C$500,$A244,Sales!$B$3:$B$500,"&gt;="&amp;DATE($B244,1,1),Sales!$B$3:$B$500,"&lt;="&amp;DATE($B244,12,31))/1000,SUMIFS('Asset Value'!$I$4:$I$500,'Asset Value'!$C$4:$C$500,$A244,'Asset Value'!$B$4:$B$500,$B244)/1000)</f>
        <v>0</v>
      </c>
      <c r="F244" s="9" t="n">
        <f aca="false">SUMIFS(Rent!$G$3:$G$500,Rent!$D$3:$D$500,$A244,Rent!$C$3:$C$500,$B244)/1000</f>
        <v>0</v>
      </c>
      <c r="G244" s="9" t="n">
        <f aca="false">SUMIFS(Costs!$F$3:$F$500,Costs!$C$3:$C$500,$A244,Costs!$B$3:$B$500,"&gt;="&amp;DATE($B244,1,1),Costs!$B$3:$B$500,"&lt;="&amp;DATE($B244,12,31))/1000</f>
        <v>0</v>
      </c>
      <c r="H244" s="9" t="n">
        <f aca="false">SUMIFS('Partial Sales'!$F$3:$F$500,'Partial Sales'!$C$3:$C$500,$A244,'Partial Sales'!$B$3:$B$500,"&gt;="&amp;DATE($B244,1,1),'Partial Sales'!$B$3:$B$500,"&lt;="&amp;DATE($B244,12,31))/1000</f>
        <v>0</v>
      </c>
      <c r="I244" s="9" t="n">
        <f aca="false">SUMIFS('Partial Purchases'!$F$3:$F$500,'Partial Purchases'!$C$3:$C$500,$A244,'Partial Purchases'!$B$3:$B$500,"&gt;="&amp;DATE($B244,1,1),'Partial Purchases'!$B$3:$B$500,"&lt;="&amp;DATE($B244,12,31))/1000</f>
        <v>0</v>
      </c>
      <c r="J244" s="9" t="n">
        <f aca="false">C244*(D244+0.5*(G244-H244+I244-F244))</f>
        <v>0</v>
      </c>
      <c r="K244" s="9" t="n">
        <f aca="false">C244*(E244-D244+H244-G244-I244)</f>
        <v>0</v>
      </c>
      <c r="L244" s="13" t="str">
        <f aca="false">IF(J244=0,"",C244*F244/J244)</f>
        <v/>
      </c>
      <c r="M244" s="13" t="str">
        <f aca="false">IF(J244=0,"",K244/J244)</f>
        <v/>
      </c>
      <c r="N244" s="13" t="str">
        <f aca="false">IF(J244=0,"",L244+M244)</f>
        <v/>
      </c>
    </row>
    <row r="245" customFormat="false" ht="15" hidden="false" customHeight="false" outlineLevel="0" collapsed="false">
      <c r="A245" s="8" t="s">
        <v>19</v>
      </c>
      <c r="B245" s="46" t="n">
        <v>2009</v>
      </c>
      <c r="C245" s="10" t="n">
        <f aca="false">IF(D245&gt;0,1,0)</f>
        <v>0</v>
      </c>
      <c r="D245" s="9" t="n">
        <f aca="false">IF(SUMIFS(Sales!$F$3:$F$500,Sales!$C$3:$C$500,$A245,Sales!$B$3:$B$500,"&lt;="&amp;DATE($B245-1,12,31))&gt;0,0,SUMIFS('Asset Value'!$I$4:$I$500,'Asset Value'!$C$4:$C$500,$A245,'Asset Value'!$B$4:$B$500,$B245-1)/1000)</f>
        <v>0</v>
      </c>
      <c r="E245" s="9" t="n">
        <f aca="false">IF(SUMIFS(Sales!$F$3:$F$500,Sales!$C$3:$C$500,$A245,Sales!$B$3:$B$500,"&gt;="&amp;DATE($B245,1,1),Sales!$B$3:$B$500,"&lt;="&amp;DATE($B245,12,31))&gt;0,SUMIFS(Sales!$F$3:$F$500,Sales!$C$3:$C$500,$A245,Sales!$B$3:$B$500,"&gt;="&amp;DATE($B245,1,1),Sales!$B$3:$B$500,"&lt;="&amp;DATE($B245,12,31))/1000,SUMIFS('Asset Value'!$I$4:$I$500,'Asset Value'!$C$4:$C$500,$A245,'Asset Value'!$B$4:$B$500,$B245)/1000)</f>
        <v>0</v>
      </c>
      <c r="F245" s="9" t="n">
        <f aca="false">SUMIFS(Rent!$G$3:$G$500,Rent!$D$3:$D$500,$A245,Rent!$C$3:$C$500,$B245)/1000</f>
        <v>0</v>
      </c>
      <c r="G245" s="9" t="n">
        <f aca="false">SUMIFS(Costs!$F$3:$F$500,Costs!$C$3:$C$500,$A245,Costs!$B$3:$B$500,"&gt;="&amp;DATE($B245,1,1),Costs!$B$3:$B$500,"&lt;="&amp;DATE($B245,12,31))/1000</f>
        <v>0</v>
      </c>
      <c r="H245" s="9" t="n">
        <f aca="false">SUMIFS('Partial Sales'!$F$3:$F$500,'Partial Sales'!$C$3:$C$500,$A245,'Partial Sales'!$B$3:$B$500,"&gt;="&amp;DATE($B245,1,1),'Partial Sales'!$B$3:$B$500,"&lt;="&amp;DATE($B245,12,31))/1000</f>
        <v>0</v>
      </c>
      <c r="I245" s="9" t="n">
        <f aca="false">SUMIFS('Partial Purchases'!$F$3:$F$500,'Partial Purchases'!$C$3:$C$500,$A245,'Partial Purchases'!$B$3:$B$500,"&gt;="&amp;DATE($B245,1,1),'Partial Purchases'!$B$3:$B$500,"&lt;="&amp;DATE($B245,12,31))/1000</f>
        <v>0</v>
      </c>
      <c r="J245" s="9" t="n">
        <f aca="false">C245*(D245+0.5*(G245-H245+I245-F245))</f>
        <v>0</v>
      </c>
      <c r="K245" s="9" t="n">
        <f aca="false">C245*(E245-D245+H245-G245-I245)</f>
        <v>0</v>
      </c>
      <c r="L245" s="13" t="str">
        <f aca="false">IF(J245=0,"",C245*F245/J245)</f>
        <v/>
      </c>
      <c r="M245" s="13" t="str">
        <f aca="false">IF(J245=0,"",K245/J245)</f>
        <v/>
      </c>
      <c r="N245" s="13" t="str">
        <f aca="false">IF(J245=0,"",L245+M245)</f>
        <v/>
      </c>
    </row>
    <row r="246" customFormat="false" ht="15" hidden="false" customHeight="false" outlineLevel="0" collapsed="false">
      <c r="A246" s="8" t="s">
        <v>19</v>
      </c>
      <c r="B246" s="46" t="n">
        <v>2010</v>
      </c>
      <c r="C246" s="10" t="n">
        <f aca="false">IF(D246&gt;0,1,0)</f>
        <v>0</v>
      </c>
      <c r="D246" s="9" t="n">
        <f aca="false">IF(SUMIFS(Sales!$F$3:$F$500,Sales!$C$3:$C$500,$A246,Sales!$B$3:$B$500,"&lt;="&amp;DATE($B246-1,12,31))&gt;0,0,SUMIFS('Asset Value'!$I$4:$I$500,'Asset Value'!$C$4:$C$500,$A246,'Asset Value'!$B$4:$B$500,$B246-1)/1000)</f>
        <v>0</v>
      </c>
      <c r="E246" s="9" t="n">
        <f aca="false">IF(SUMIFS(Sales!$F$3:$F$500,Sales!$C$3:$C$500,$A246,Sales!$B$3:$B$500,"&gt;="&amp;DATE($B246,1,1),Sales!$B$3:$B$500,"&lt;="&amp;DATE($B246,12,31))&gt;0,SUMIFS(Sales!$F$3:$F$500,Sales!$C$3:$C$500,$A246,Sales!$B$3:$B$500,"&gt;="&amp;DATE($B246,1,1),Sales!$B$3:$B$500,"&lt;="&amp;DATE($B246,12,31))/1000,SUMIFS('Asset Value'!$I$4:$I$500,'Asset Value'!$C$4:$C$500,$A246,'Asset Value'!$B$4:$B$500,$B246)/1000)</f>
        <v>0</v>
      </c>
      <c r="F246" s="9" t="n">
        <f aca="false">SUMIFS(Rent!$G$3:$G$500,Rent!$D$3:$D$500,$A246,Rent!$C$3:$C$500,$B246)/1000</f>
        <v>0</v>
      </c>
      <c r="G246" s="9" t="n">
        <f aca="false">SUMIFS(Costs!$F$3:$F$500,Costs!$C$3:$C$500,$A246,Costs!$B$3:$B$500,"&gt;="&amp;DATE($B246,1,1),Costs!$B$3:$B$500,"&lt;="&amp;DATE($B246,12,31))/1000</f>
        <v>0</v>
      </c>
      <c r="H246" s="9" t="n">
        <f aca="false">SUMIFS('Partial Sales'!$F$3:$F$500,'Partial Sales'!$C$3:$C$500,$A246,'Partial Sales'!$B$3:$B$500,"&gt;="&amp;DATE($B246,1,1),'Partial Sales'!$B$3:$B$500,"&lt;="&amp;DATE($B246,12,31))/1000</f>
        <v>0</v>
      </c>
      <c r="I246" s="9" t="n">
        <f aca="false">SUMIFS('Partial Purchases'!$F$3:$F$500,'Partial Purchases'!$C$3:$C$500,$A246,'Partial Purchases'!$B$3:$B$500,"&gt;="&amp;DATE($B246,1,1),'Partial Purchases'!$B$3:$B$500,"&lt;="&amp;DATE($B246,12,31))/1000</f>
        <v>0</v>
      </c>
      <c r="J246" s="9" t="n">
        <f aca="false">C246*(D246+0.5*(G246-H246+I246-F246))</f>
        <v>0</v>
      </c>
      <c r="K246" s="9" t="n">
        <f aca="false">C246*(E246-D246+H246-G246-I246)</f>
        <v>0</v>
      </c>
      <c r="L246" s="13" t="str">
        <f aca="false">IF(J246=0,"",C246*F246/J246)</f>
        <v/>
      </c>
      <c r="M246" s="13" t="str">
        <f aca="false">IF(J246=0,"",K246/J246)</f>
        <v/>
      </c>
      <c r="N246" s="13" t="str">
        <f aca="false">IF(J246=0,"",L246+M246)</f>
        <v/>
      </c>
    </row>
    <row r="247" customFormat="false" ht="15" hidden="false" customHeight="false" outlineLevel="0" collapsed="false">
      <c r="A247" s="8" t="s">
        <v>19</v>
      </c>
      <c r="B247" s="46" t="n">
        <v>2011</v>
      </c>
      <c r="C247" s="10" t="n">
        <f aca="false">IF(D247&gt;0,1,0)</f>
        <v>0</v>
      </c>
      <c r="D247" s="9" t="n">
        <f aca="false">IF(SUMIFS(Sales!$F$3:$F$500,Sales!$C$3:$C$500,$A247,Sales!$B$3:$B$500,"&lt;="&amp;DATE($B247-1,12,31))&gt;0,0,SUMIFS('Asset Value'!$I$4:$I$500,'Asset Value'!$C$4:$C$500,$A247,'Asset Value'!$B$4:$B$500,$B247-1)/1000)</f>
        <v>0</v>
      </c>
      <c r="E247" s="9" t="n">
        <f aca="false">IF(SUMIFS(Sales!$F$3:$F$500,Sales!$C$3:$C$500,$A247,Sales!$B$3:$B$500,"&gt;="&amp;DATE($B247,1,1),Sales!$B$3:$B$500,"&lt;="&amp;DATE($B247,12,31))&gt;0,SUMIFS(Sales!$F$3:$F$500,Sales!$C$3:$C$500,$A247,Sales!$B$3:$B$500,"&gt;="&amp;DATE($B247,1,1),Sales!$B$3:$B$500,"&lt;="&amp;DATE($B247,12,31))/1000,SUMIFS('Asset Value'!$I$4:$I$500,'Asset Value'!$C$4:$C$500,$A247,'Asset Value'!$B$4:$B$500,$B247)/1000)</f>
        <v>0</v>
      </c>
      <c r="F247" s="9" t="n">
        <f aca="false">SUMIFS(Rent!$G$3:$G$500,Rent!$D$3:$D$500,$A247,Rent!$C$3:$C$500,$B247)/1000</f>
        <v>0</v>
      </c>
      <c r="G247" s="9" t="n">
        <f aca="false">SUMIFS(Costs!$F$3:$F$500,Costs!$C$3:$C$500,$A247,Costs!$B$3:$B$500,"&gt;="&amp;DATE($B247,1,1),Costs!$B$3:$B$500,"&lt;="&amp;DATE($B247,12,31))/1000</f>
        <v>0</v>
      </c>
      <c r="H247" s="9" t="n">
        <f aca="false">SUMIFS('Partial Sales'!$F$3:$F$500,'Partial Sales'!$C$3:$C$500,$A247,'Partial Sales'!$B$3:$B$500,"&gt;="&amp;DATE($B247,1,1),'Partial Sales'!$B$3:$B$500,"&lt;="&amp;DATE($B247,12,31))/1000</f>
        <v>0</v>
      </c>
      <c r="I247" s="9" t="n">
        <f aca="false">SUMIFS('Partial Purchases'!$F$3:$F$500,'Partial Purchases'!$C$3:$C$500,$A247,'Partial Purchases'!$B$3:$B$500,"&gt;="&amp;DATE($B247,1,1),'Partial Purchases'!$B$3:$B$500,"&lt;="&amp;DATE($B247,12,31))/1000</f>
        <v>0</v>
      </c>
      <c r="J247" s="9" t="n">
        <f aca="false">C247*(D247+0.5*(G247-H247+I247-F247))</f>
        <v>0</v>
      </c>
      <c r="K247" s="9" t="n">
        <f aca="false">C247*(E247-D247+H247-G247-I247)</f>
        <v>0</v>
      </c>
      <c r="L247" s="13" t="str">
        <f aca="false">IF(J247=0,"",C247*F247/J247)</f>
        <v/>
      </c>
      <c r="M247" s="13" t="str">
        <f aca="false">IF(J247=0,"",K247/J247)</f>
        <v/>
      </c>
      <c r="N247" s="13" t="str">
        <f aca="false">IF(J247=0,"",L247+M247)</f>
        <v/>
      </c>
    </row>
    <row r="248" customFormat="false" ht="15" hidden="false" customHeight="false" outlineLevel="0" collapsed="false">
      <c r="A248" s="8" t="s">
        <v>19</v>
      </c>
      <c r="B248" s="46" t="n">
        <v>2012</v>
      </c>
      <c r="C248" s="10" t="n">
        <f aca="false">IF(D248&gt;0,1,0)</f>
        <v>0</v>
      </c>
      <c r="D248" s="9" t="n">
        <f aca="false">IF(SUMIFS(Sales!$F$3:$F$500,Sales!$C$3:$C$500,$A248,Sales!$B$3:$B$500,"&lt;="&amp;DATE($B248-1,12,31))&gt;0,0,SUMIFS('Asset Value'!$I$4:$I$500,'Asset Value'!$C$4:$C$500,$A248,'Asset Value'!$B$4:$B$500,$B248-1)/1000)</f>
        <v>0</v>
      </c>
      <c r="E248" s="9" t="n">
        <f aca="false">IF(SUMIFS(Sales!$F$3:$F$500,Sales!$C$3:$C$500,$A248,Sales!$B$3:$B$500,"&gt;="&amp;DATE($B248,1,1),Sales!$B$3:$B$500,"&lt;="&amp;DATE($B248,12,31))&gt;0,SUMIFS(Sales!$F$3:$F$500,Sales!$C$3:$C$500,$A248,Sales!$B$3:$B$500,"&gt;="&amp;DATE($B248,1,1),Sales!$B$3:$B$500,"&lt;="&amp;DATE($B248,12,31))/1000,SUMIFS('Asset Value'!$I$4:$I$500,'Asset Value'!$C$4:$C$500,$A248,'Asset Value'!$B$4:$B$500,$B248)/1000)</f>
        <v>0</v>
      </c>
      <c r="F248" s="9" t="n">
        <f aca="false">SUMIFS(Rent!$G$3:$G$500,Rent!$D$3:$D$500,$A248,Rent!$C$3:$C$500,$B248)/1000</f>
        <v>0</v>
      </c>
      <c r="G248" s="9" t="n">
        <f aca="false">SUMIFS(Costs!$F$3:$F$500,Costs!$C$3:$C$500,$A248,Costs!$B$3:$B$500,"&gt;="&amp;DATE($B248,1,1),Costs!$B$3:$B$500,"&lt;="&amp;DATE($B248,12,31))/1000</f>
        <v>0</v>
      </c>
      <c r="H248" s="9" t="n">
        <f aca="false">SUMIFS('Partial Sales'!$F$3:$F$500,'Partial Sales'!$C$3:$C$500,$A248,'Partial Sales'!$B$3:$B$500,"&gt;="&amp;DATE($B248,1,1),'Partial Sales'!$B$3:$B$500,"&lt;="&amp;DATE($B248,12,31))/1000</f>
        <v>0</v>
      </c>
      <c r="I248" s="9" t="n">
        <f aca="false">SUMIFS('Partial Purchases'!$F$3:$F$500,'Partial Purchases'!$C$3:$C$500,$A248,'Partial Purchases'!$B$3:$B$500,"&gt;="&amp;DATE($B248,1,1),'Partial Purchases'!$B$3:$B$500,"&lt;="&amp;DATE($B248,12,31))/1000</f>
        <v>0</v>
      </c>
      <c r="J248" s="9" t="n">
        <f aca="false">C248*(D248+0.5*(G248-H248+I248-F248))</f>
        <v>0</v>
      </c>
      <c r="K248" s="9" t="n">
        <f aca="false">C248*(E248-D248+H248-G248-I248)</f>
        <v>0</v>
      </c>
      <c r="L248" s="13" t="str">
        <f aca="false">IF(J248=0,"",C248*F248/J248)</f>
        <v/>
      </c>
      <c r="M248" s="13" t="str">
        <f aca="false">IF(J248=0,"",K248/J248)</f>
        <v/>
      </c>
      <c r="N248" s="13" t="str">
        <f aca="false">IF(J248=0,"",L248+M248)</f>
        <v/>
      </c>
    </row>
    <row r="249" customFormat="false" ht="15" hidden="false" customHeight="false" outlineLevel="0" collapsed="false">
      <c r="A249" s="8" t="s">
        <v>19</v>
      </c>
      <c r="B249" s="46" t="n">
        <v>2013</v>
      </c>
      <c r="C249" s="10" t="n">
        <f aca="false">IF(D249&gt;0,1,0)</f>
        <v>0</v>
      </c>
      <c r="D249" s="9" t="n">
        <f aca="false">IF(SUMIFS(Sales!$F$3:$F$500,Sales!$C$3:$C$500,$A249,Sales!$B$3:$B$500,"&lt;="&amp;DATE($B249-1,12,31))&gt;0,0,SUMIFS('Asset Value'!$I$4:$I$500,'Asset Value'!$C$4:$C$500,$A249,'Asset Value'!$B$4:$B$500,$B249-1)/1000)</f>
        <v>0</v>
      </c>
      <c r="E249" s="9" t="n">
        <f aca="false">IF(SUMIFS(Sales!$F$3:$F$500,Sales!$C$3:$C$500,$A249,Sales!$B$3:$B$500,"&gt;="&amp;DATE($B249,1,1),Sales!$B$3:$B$500,"&lt;="&amp;DATE($B249,12,31))&gt;0,SUMIFS(Sales!$F$3:$F$500,Sales!$C$3:$C$500,$A249,Sales!$B$3:$B$500,"&gt;="&amp;DATE($B249,1,1),Sales!$B$3:$B$500,"&lt;="&amp;DATE($B249,12,31))/1000,SUMIFS('Asset Value'!$I$4:$I$500,'Asset Value'!$C$4:$C$500,$A249,'Asset Value'!$B$4:$B$500,$B249)/1000)</f>
        <v>0</v>
      </c>
      <c r="F249" s="9" t="n">
        <f aca="false">SUMIFS(Rent!$G$3:$G$500,Rent!$D$3:$D$500,$A249,Rent!$C$3:$C$500,$B249)/1000</f>
        <v>0</v>
      </c>
      <c r="G249" s="9" t="n">
        <f aca="false">SUMIFS(Costs!$F$3:$F$500,Costs!$C$3:$C$500,$A249,Costs!$B$3:$B$500,"&gt;="&amp;DATE($B249,1,1),Costs!$B$3:$B$500,"&lt;="&amp;DATE($B249,12,31))/1000</f>
        <v>0</v>
      </c>
      <c r="H249" s="9" t="n">
        <f aca="false">SUMIFS('Partial Sales'!$F$3:$F$500,'Partial Sales'!$C$3:$C$500,$A249,'Partial Sales'!$B$3:$B$500,"&gt;="&amp;DATE($B249,1,1),'Partial Sales'!$B$3:$B$500,"&lt;="&amp;DATE($B249,12,31))/1000</f>
        <v>0</v>
      </c>
      <c r="I249" s="9" t="n">
        <f aca="false">SUMIFS('Partial Purchases'!$F$3:$F$500,'Partial Purchases'!$C$3:$C$500,$A249,'Partial Purchases'!$B$3:$B$500,"&gt;="&amp;DATE($B249,1,1),'Partial Purchases'!$B$3:$B$500,"&lt;="&amp;DATE($B249,12,31))/1000</f>
        <v>0</v>
      </c>
      <c r="J249" s="9" t="n">
        <f aca="false">C249*(D249+0.5*(G249-H249+I249-F249))</f>
        <v>0</v>
      </c>
      <c r="K249" s="9" t="n">
        <f aca="false">C249*(E249-D249+H249-G249-I249)</f>
        <v>0</v>
      </c>
      <c r="L249" s="13" t="str">
        <f aca="false">IF(J249=0,"",C249*F249/J249)</f>
        <v/>
      </c>
      <c r="M249" s="13" t="str">
        <f aca="false">IF(J249=0,"",K249/J249)</f>
        <v/>
      </c>
      <c r="N249" s="13" t="str">
        <f aca="false">IF(J249=0,"",L249+M249)</f>
        <v/>
      </c>
    </row>
    <row r="250" customFormat="false" ht="15" hidden="false" customHeight="false" outlineLevel="0" collapsed="false">
      <c r="A250" s="8" t="s">
        <v>19</v>
      </c>
      <c r="B250" s="46" t="n">
        <v>2014</v>
      </c>
      <c r="C250" s="10" t="n">
        <f aca="false">IF(D250&gt;0,1,0)</f>
        <v>0</v>
      </c>
      <c r="D250" s="9" t="n">
        <f aca="false">IF(SUMIFS(Sales!$F$3:$F$500,Sales!$C$3:$C$500,$A250,Sales!$B$3:$B$500,"&lt;="&amp;DATE($B250-1,12,31))&gt;0,0,SUMIFS('Asset Value'!$I$4:$I$500,'Asset Value'!$C$4:$C$500,$A250,'Asset Value'!$B$4:$B$500,$B250-1)/1000)</f>
        <v>0</v>
      </c>
      <c r="E250" s="9" t="n">
        <f aca="false">IF(SUMIFS(Sales!$F$3:$F$500,Sales!$C$3:$C$500,$A250,Sales!$B$3:$B$500,"&gt;="&amp;DATE($B250,1,1),Sales!$B$3:$B$500,"&lt;="&amp;DATE($B250,12,31))&gt;0,SUMIFS(Sales!$F$3:$F$500,Sales!$C$3:$C$500,$A250,Sales!$B$3:$B$500,"&gt;="&amp;DATE($B250,1,1),Sales!$B$3:$B$500,"&lt;="&amp;DATE($B250,12,31))/1000,SUMIFS('Asset Value'!$I$4:$I$500,'Asset Value'!$C$4:$C$500,$A250,'Asset Value'!$B$4:$B$500,$B250)/1000)</f>
        <v>0</v>
      </c>
      <c r="F250" s="9" t="n">
        <f aca="false">SUMIFS(Rent!$G$3:$G$500,Rent!$D$3:$D$500,$A250,Rent!$C$3:$C$500,$B250)/1000</f>
        <v>0</v>
      </c>
      <c r="G250" s="9" t="n">
        <f aca="false">SUMIFS(Costs!$F$3:$F$500,Costs!$C$3:$C$500,$A250,Costs!$B$3:$B$500,"&gt;="&amp;DATE($B250,1,1),Costs!$B$3:$B$500,"&lt;="&amp;DATE($B250,12,31))/1000</f>
        <v>0</v>
      </c>
      <c r="H250" s="9" t="n">
        <f aca="false">SUMIFS('Partial Sales'!$F$3:$F$500,'Partial Sales'!$C$3:$C$500,$A250,'Partial Sales'!$B$3:$B$500,"&gt;="&amp;DATE($B250,1,1),'Partial Sales'!$B$3:$B$500,"&lt;="&amp;DATE($B250,12,31))/1000</f>
        <v>0</v>
      </c>
      <c r="I250" s="9" t="n">
        <f aca="false">SUMIFS('Partial Purchases'!$F$3:$F$500,'Partial Purchases'!$C$3:$C$500,$A250,'Partial Purchases'!$B$3:$B$500,"&gt;="&amp;DATE($B250,1,1),'Partial Purchases'!$B$3:$B$500,"&lt;="&amp;DATE($B250,12,31))/1000</f>
        <v>0</v>
      </c>
      <c r="J250" s="9" t="n">
        <f aca="false">C250*(D250+0.5*(G250-H250+I250-F250))</f>
        <v>0</v>
      </c>
      <c r="K250" s="9" t="n">
        <f aca="false">C250*(E250-D250+H250-G250-I250)</f>
        <v>0</v>
      </c>
      <c r="L250" s="13" t="str">
        <f aca="false">IF(J250=0,"",C250*F250/J250)</f>
        <v/>
      </c>
      <c r="M250" s="13" t="str">
        <f aca="false">IF(J250=0,"",K250/J250)</f>
        <v/>
      </c>
      <c r="N250" s="13" t="str">
        <f aca="false">IF(J250=0,"",L250+M250)</f>
        <v/>
      </c>
    </row>
    <row r="251" customFormat="false" ht="15" hidden="false" customHeight="false" outlineLevel="0" collapsed="false">
      <c r="A251" s="47" t="s">
        <v>19</v>
      </c>
      <c r="B251" s="48" t="n">
        <v>2015</v>
      </c>
      <c r="C251" s="49" t="n">
        <f aca="false">IF(D251&gt;0,1,0)</f>
        <v>0</v>
      </c>
      <c r="D251" s="50" t="n">
        <f aca="false">IF(SUMIFS(Sales!$F$3:$F$500,Sales!$C$3:$C$500,$A251,Sales!$B$3:$B$500,"&lt;="&amp;DATE($B251-1,12,31))&gt;0,0,SUMIFS('Asset Value'!$I$4:$I$500,'Asset Value'!$C$4:$C$500,$A251,'Asset Value'!$B$4:$B$500,$B251-1)/1000)</f>
        <v>0</v>
      </c>
      <c r="E251" s="50" t="n">
        <f aca="false">IF(SUMIFS(Sales!$F$3:$F$500,Sales!$C$3:$C$500,$A251,Sales!$B$3:$B$500,"&gt;="&amp;DATE($B251,1,1),Sales!$B$3:$B$500,"&lt;="&amp;DATE($B251,12,31))&gt;0,SUMIFS(Sales!$F$3:$F$500,Sales!$C$3:$C$500,$A251,Sales!$B$3:$B$500,"&gt;="&amp;DATE($B251,1,1),Sales!$B$3:$B$500,"&lt;="&amp;DATE($B251,12,31))/1000,SUMIFS('Asset Value'!$I$4:$I$500,'Asset Value'!$C$4:$C$500,$A251,'Asset Value'!$B$4:$B$500,$B251)/1000)</f>
        <v>0</v>
      </c>
      <c r="F251" s="50" t="n">
        <f aca="false">SUMIFS(Rent!$G$3:$G$500,Rent!$D$3:$D$500,$A251,Rent!$C$3:$C$500,$B251)/1000</f>
        <v>0</v>
      </c>
      <c r="G251" s="50" t="n">
        <f aca="false">SUMIFS(Costs!$F$3:$F$500,Costs!$C$3:$C$500,$A251,Costs!$B$3:$B$500,"&gt;="&amp;DATE($B251,1,1),Costs!$B$3:$B$500,"&lt;="&amp;DATE($B251,12,31))/1000</f>
        <v>0</v>
      </c>
      <c r="H251" s="50" t="n">
        <f aca="false">SUMIFS('Partial Sales'!$F$3:$F$500,'Partial Sales'!$C$3:$C$500,$A251,'Partial Sales'!$B$3:$B$500,"&gt;="&amp;DATE($B251,1,1),'Partial Sales'!$B$3:$B$500,"&lt;="&amp;DATE($B251,12,31))/1000</f>
        <v>0</v>
      </c>
      <c r="I251" s="50" t="n">
        <f aca="false">SUMIFS('Partial Purchases'!$F$3:$F$500,'Partial Purchases'!$C$3:$C$500,$A251,'Partial Purchases'!$B$3:$B$500,"&gt;="&amp;DATE($B251,1,1),'Partial Purchases'!$B$3:$B$500,"&lt;="&amp;DATE($B251,12,31))/1000</f>
        <v>0</v>
      </c>
      <c r="J251" s="50" t="n">
        <f aca="false">C251*(D251+0.5*(G251-H251+I251-F251))</f>
        <v>0</v>
      </c>
      <c r="K251" s="50" t="n">
        <f aca="false">C251*(E251-D251+H251-G251-I251)</f>
        <v>0</v>
      </c>
      <c r="L251" s="44" t="str">
        <f aca="false">IF(J251=0,"",C251*F251/J251)</f>
        <v/>
      </c>
      <c r="M251" s="44" t="str">
        <f aca="false">IF(J251=0,"",K251/J251)</f>
        <v/>
      </c>
      <c r="N251" s="44" t="str">
        <f aca="false">IF(J251=0,"",L251+M251)</f>
        <v/>
      </c>
    </row>
    <row r="252" customFormat="false" ht="15" hidden="false" customHeight="false" outlineLevel="0" collapsed="false">
      <c r="A252" s="8" t="s">
        <v>20</v>
      </c>
      <c r="B252" s="46" t="n">
        <v>2008</v>
      </c>
      <c r="C252" s="10" t="n">
        <f aca="false">IF(D252&gt;0,1,0)</f>
        <v>0</v>
      </c>
      <c r="D252" s="9" t="n">
        <f aca="false">IF(SUMIFS(Sales!$F$3:$F$500,Sales!$C$3:$C$500,$A252,Sales!$B$3:$B$500,"&lt;="&amp;DATE($B252-1,12,31))&gt;0,0,SUMIFS('Asset Value'!$I$4:$I$500,'Asset Value'!$C$4:$C$500,$A252,'Asset Value'!$B$4:$B$500,$B252-1)/1000)</f>
        <v>0</v>
      </c>
      <c r="E252" s="9" t="n">
        <f aca="false">IF(SUMIFS(Sales!$F$3:$F$500,Sales!$C$3:$C$500,$A252,Sales!$B$3:$B$500,"&gt;="&amp;DATE($B252,1,1),Sales!$B$3:$B$500,"&lt;="&amp;DATE($B252,12,31))&gt;0,SUMIFS(Sales!$F$3:$F$500,Sales!$C$3:$C$500,$A252,Sales!$B$3:$B$500,"&gt;="&amp;DATE($B252,1,1),Sales!$B$3:$B$500,"&lt;="&amp;DATE($B252,12,31))/1000,SUMIFS('Asset Value'!$I$4:$I$500,'Asset Value'!$C$4:$C$500,$A252,'Asset Value'!$B$4:$B$500,$B252)/1000)</f>
        <v>0</v>
      </c>
      <c r="F252" s="9" t="n">
        <f aca="false">SUMIFS(Rent!$G$3:$G$500,Rent!$D$3:$D$500,$A252,Rent!$C$3:$C$500,$B252)/1000</f>
        <v>0</v>
      </c>
      <c r="G252" s="9" t="n">
        <f aca="false">SUMIFS(Costs!$F$3:$F$500,Costs!$C$3:$C$500,$A252,Costs!$B$3:$B$500,"&gt;="&amp;DATE($B252,1,1),Costs!$B$3:$B$500,"&lt;="&amp;DATE($B252,12,31))/1000</f>
        <v>0</v>
      </c>
      <c r="H252" s="9" t="n">
        <f aca="false">SUMIFS('Partial Sales'!$F$3:$F$500,'Partial Sales'!$C$3:$C$500,$A252,'Partial Sales'!$B$3:$B$500,"&gt;="&amp;DATE($B252,1,1),'Partial Sales'!$B$3:$B$500,"&lt;="&amp;DATE($B252,12,31))/1000</f>
        <v>0</v>
      </c>
      <c r="I252" s="9" t="n">
        <f aca="false">SUMIFS('Partial Purchases'!$F$3:$F$500,'Partial Purchases'!$C$3:$C$500,$A252,'Partial Purchases'!$B$3:$B$500,"&gt;="&amp;DATE($B252,1,1),'Partial Purchases'!$B$3:$B$500,"&lt;="&amp;DATE($B252,12,31))/1000</f>
        <v>0</v>
      </c>
      <c r="J252" s="9" t="n">
        <f aca="false">C252*(D252+0.5*(G252-H252+I252-F252))</f>
        <v>0</v>
      </c>
      <c r="K252" s="9" t="n">
        <f aca="false">C252*(E252-D252+H252-G252-I252)</f>
        <v>0</v>
      </c>
      <c r="L252" s="13" t="str">
        <f aca="false">IF(J252=0,"",C252*F252/J252)</f>
        <v/>
      </c>
      <c r="M252" s="13" t="str">
        <f aca="false">IF(J252=0,"",K252/J252)</f>
        <v/>
      </c>
      <c r="N252" s="13" t="str">
        <f aca="false">IF(J252=0,"",L252+M252)</f>
        <v/>
      </c>
    </row>
    <row r="253" customFormat="false" ht="15" hidden="false" customHeight="false" outlineLevel="0" collapsed="false">
      <c r="A253" s="8" t="s">
        <v>20</v>
      </c>
      <c r="B253" s="46" t="n">
        <v>2009</v>
      </c>
      <c r="C253" s="10" t="n">
        <f aca="false">IF(D253&gt;0,1,0)</f>
        <v>0</v>
      </c>
      <c r="D253" s="9" t="n">
        <f aca="false">IF(SUMIFS(Sales!$F$3:$F$500,Sales!$C$3:$C$500,$A253,Sales!$B$3:$B$500,"&lt;="&amp;DATE($B253-1,12,31))&gt;0,0,SUMIFS('Asset Value'!$I$4:$I$500,'Asset Value'!$C$4:$C$500,$A253,'Asset Value'!$B$4:$B$500,$B253-1)/1000)</f>
        <v>0</v>
      </c>
      <c r="E253" s="9" t="n">
        <f aca="false">IF(SUMIFS(Sales!$F$3:$F$500,Sales!$C$3:$C$500,$A253,Sales!$B$3:$B$500,"&gt;="&amp;DATE($B253,1,1),Sales!$B$3:$B$500,"&lt;="&amp;DATE($B253,12,31))&gt;0,SUMIFS(Sales!$F$3:$F$500,Sales!$C$3:$C$500,$A253,Sales!$B$3:$B$500,"&gt;="&amp;DATE($B253,1,1),Sales!$B$3:$B$500,"&lt;="&amp;DATE($B253,12,31))/1000,SUMIFS('Asset Value'!$I$4:$I$500,'Asset Value'!$C$4:$C$500,$A253,'Asset Value'!$B$4:$B$500,$B253)/1000)</f>
        <v>0</v>
      </c>
      <c r="F253" s="9" t="n">
        <f aca="false">SUMIFS(Rent!$G$3:$G$500,Rent!$D$3:$D$500,$A253,Rent!$C$3:$C$500,$B253)/1000</f>
        <v>0</v>
      </c>
      <c r="G253" s="9" t="n">
        <f aca="false">SUMIFS(Costs!$F$3:$F$500,Costs!$C$3:$C$500,$A253,Costs!$B$3:$B$500,"&gt;="&amp;DATE($B253,1,1),Costs!$B$3:$B$500,"&lt;="&amp;DATE($B253,12,31))/1000</f>
        <v>0</v>
      </c>
      <c r="H253" s="9" t="n">
        <f aca="false">SUMIFS('Partial Sales'!$F$3:$F$500,'Partial Sales'!$C$3:$C$500,$A253,'Partial Sales'!$B$3:$B$500,"&gt;="&amp;DATE($B253,1,1),'Partial Sales'!$B$3:$B$500,"&lt;="&amp;DATE($B253,12,31))/1000</f>
        <v>0</v>
      </c>
      <c r="I253" s="9" t="n">
        <f aca="false">SUMIFS('Partial Purchases'!$F$3:$F$500,'Partial Purchases'!$C$3:$C$500,$A253,'Partial Purchases'!$B$3:$B$500,"&gt;="&amp;DATE($B253,1,1),'Partial Purchases'!$B$3:$B$500,"&lt;="&amp;DATE($B253,12,31))/1000</f>
        <v>0</v>
      </c>
      <c r="J253" s="9" t="n">
        <f aca="false">C253*(D253+0.5*(G253-H253+I253-F253))</f>
        <v>0</v>
      </c>
      <c r="K253" s="9" t="n">
        <f aca="false">C253*(E253-D253+H253-G253-I253)</f>
        <v>0</v>
      </c>
      <c r="L253" s="13" t="str">
        <f aca="false">IF(J253=0,"",C253*F253/J253)</f>
        <v/>
      </c>
      <c r="M253" s="13" t="str">
        <f aca="false">IF(J253=0,"",K253/J253)</f>
        <v/>
      </c>
      <c r="N253" s="13" t="str">
        <f aca="false">IF(J253=0,"",L253+M253)</f>
        <v/>
      </c>
    </row>
    <row r="254" customFormat="false" ht="15" hidden="false" customHeight="false" outlineLevel="0" collapsed="false">
      <c r="A254" s="8" t="s">
        <v>20</v>
      </c>
      <c r="B254" s="46" t="n">
        <v>2010</v>
      </c>
      <c r="C254" s="10" t="n">
        <f aca="false">IF(D254&gt;0,1,0)</f>
        <v>0</v>
      </c>
      <c r="D254" s="9" t="n">
        <f aca="false">IF(SUMIFS(Sales!$F$3:$F$500,Sales!$C$3:$C$500,$A254,Sales!$B$3:$B$500,"&lt;="&amp;DATE($B254-1,12,31))&gt;0,0,SUMIFS('Asset Value'!$I$4:$I$500,'Asset Value'!$C$4:$C$500,$A254,'Asset Value'!$B$4:$B$500,$B254-1)/1000)</f>
        <v>0</v>
      </c>
      <c r="E254" s="9" t="n">
        <f aca="false">IF(SUMIFS(Sales!$F$3:$F$500,Sales!$C$3:$C$500,$A254,Sales!$B$3:$B$500,"&gt;="&amp;DATE($B254,1,1),Sales!$B$3:$B$500,"&lt;="&amp;DATE($B254,12,31))&gt;0,SUMIFS(Sales!$F$3:$F$500,Sales!$C$3:$C$500,$A254,Sales!$B$3:$B$500,"&gt;="&amp;DATE($B254,1,1),Sales!$B$3:$B$500,"&lt;="&amp;DATE($B254,12,31))/1000,SUMIFS('Asset Value'!$I$4:$I$500,'Asset Value'!$C$4:$C$500,$A254,'Asset Value'!$B$4:$B$500,$B254)/1000)</f>
        <v>0</v>
      </c>
      <c r="F254" s="9" t="n">
        <f aca="false">SUMIFS(Rent!$G$3:$G$500,Rent!$D$3:$D$500,$A254,Rent!$C$3:$C$500,$B254)/1000</f>
        <v>0</v>
      </c>
      <c r="G254" s="9" t="n">
        <f aca="false">SUMIFS(Costs!$F$3:$F$500,Costs!$C$3:$C$500,$A254,Costs!$B$3:$B$500,"&gt;="&amp;DATE($B254,1,1),Costs!$B$3:$B$500,"&lt;="&amp;DATE($B254,12,31))/1000</f>
        <v>0</v>
      </c>
      <c r="H254" s="9" t="n">
        <f aca="false">SUMIFS('Partial Sales'!$F$3:$F$500,'Partial Sales'!$C$3:$C$500,$A254,'Partial Sales'!$B$3:$B$500,"&gt;="&amp;DATE($B254,1,1),'Partial Sales'!$B$3:$B$500,"&lt;="&amp;DATE($B254,12,31))/1000</f>
        <v>0</v>
      </c>
      <c r="I254" s="9" t="n">
        <f aca="false">SUMIFS('Partial Purchases'!$F$3:$F$500,'Partial Purchases'!$C$3:$C$500,$A254,'Partial Purchases'!$B$3:$B$500,"&gt;="&amp;DATE($B254,1,1),'Partial Purchases'!$B$3:$B$500,"&lt;="&amp;DATE($B254,12,31))/1000</f>
        <v>0</v>
      </c>
      <c r="J254" s="9" t="n">
        <f aca="false">C254*(D254+0.5*(G254-H254+I254-F254))</f>
        <v>0</v>
      </c>
      <c r="K254" s="9" t="n">
        <f aca="false">C254*(E254-D254+H254-G254-I254)</f>
        <v>0</v>
      </c>
      <c r="L254" s="13" t="str">
        <f aca="false">IF(J254=0,"",C254*F254/J254)</f>
        <v/>
      </c>
      <c r="M254" s="13" t="str">
        <f aca="false">IF(J254=0,"",K254/J254)</f>
        <v/>
      </c>
      <c r="N254" s="13" t="str">
        <f aca="false">IF(J254=0,"",L254+M254)</f>
        <v/>
      </c>
    </row>
    <row r="255" customFormat="false" ht="15" hidden="false" customHeight="false" outlineLevel="0" collapsed="false">
      <c r="A255" s="8" t="s">
        <v>20</v>
      </c>
      <c r="B255" s="46" t="n">
        <v>2011</v>
      </c>
      <c r="C255" s="10" t="n">
        <f aca="false">IF(D255&gt;0,1,0)</f>
        <v>0</v>
      </c>
      <c r="D255" s="9" t="n">
        <f aca="false">IF(SUMIFS(Sales!$F$3:$F$500,Sales!$C$3:$C$500,$A255,Sales!$B$3:$B$500,"&lt;="&amp;DATE($B255-1,12,31))&gt;0,0,SUMIFS('Asset Value'!$I$4:$I$500,'Asset Value'!$C$4:$C$500,$A255,'Asset Value'!$B$4:$B$500,$B255-1)/1000)</f>
        <v>0</v>
      </c>
      <c r="E255" s="9" t="n">
        <f aca="false">IF(SUMIFS(Sales!$F$3:$F$500,Sales!$C$3:$C$500,$A255,Sales!$B$3:$B$500,"&gt;="&amp;DATE($B255,1,1),Sales!$B$3:$B$500,"&lt;="&amp;DATE($B255,12,31))&gt;0,SUMIFS(Sales!$F$3:$F$500,Sales!$C$3:$C$500,$A255,Sales!$B$3:$B$500,"&gt;="&amp;DATE($B255,1,1),Sales!$B$3:$B$500,"&lt;="&amp;DATE($B255,12,31))/1000,SUMIFS('Asset Value'!$I$4:$I$500,'Asset Value'!$C$4:$C$500,$A255,'Asset Value'!$B$4:$B$500,$B255)/1000)</f>
        <v>0</v>
      </c>
      <c r="F255" s="9" t="n">
        <f aca="false">SUMIFS(Rent!$G$3:$G$500,Rent!$D$3:$D$500,$A255,Rent!$C$3:$C$500,$B255)/1000</f>
        <v>0</v>
      </c>
      <c r="G255" s="9" t="n">
        <f aca="false">SUMIFS(Costs!$F$3:$F$500,Costs!$C$3:$C$500,$A255,Costs!$B$3:$B$500,"&gt;="&amp;DATE($B255,1,1),Costs!$B$3:$B$500,"&lt;="&amp;DATE($B255,12,31))/1000</f>
        <v>0</v>
      </c>
      <c r="H255" s="9" t="n">
        <f aca="false">SUMIFS('Partial Sales'!$F$3:$F$500,'Partial Sales'!$C$3:$C$500,$A255,'Partial Sales'!$B$3:$B$500,"&gt;="&amp;DATE($B255,1,1),'Partial Sales'!$B$3:$B$500,"&lt;="&amp;DATE($B255,12,31))/1000</f>
        <v>0</v>
      </c>
      <c r="I255" s="9" t="n">
        <f aca="false">SUMIFS('Partial Purchases'!$F$3:$F$500,'Partial Purchases'!$C$3:$C$500,$A255,'Partial Purchases'!$B$3:$B$500,"&gt;="&amp;DATE($B255,1,1),'Partial Purchases'!$B$3:$B$500,"&lt;="&amp;DATE($B255,12,31))/1000</f>
        <v>0</v>
      </c>
      <c r="J255" s="9" t="n">
        <f aca="false">C255*(D255+0.5*(G255-H255+I255-F255))</f>
        <v>0</v>
      </c>
      <c r="K255" s="9" t="n">
        <f aca="false">C255*(E255-D255+H255-G255-I255)</f>
        <v>0</v>
      </c>
      <c r="L255" s="13" t="str">
        <f aca="false">IF(J255=0,"",C255*F255/J255)</f>
        <v/>
      </c>
      <c r="M255" s="13" t="str">
        <f aca="false">IF(J255=0,"",K255/J255)</f>
        <v/>
      </c>
      <c r="N255" s="13" t="str">
        <f aca="false">IF(J255=0,"",L255+M255)</f>
        <v/>
      </c>
    </row>
    <row r="256" customFormat="false" ht="15" hidden="false" customHeight="false" outlineLevel="0" collapsed="false">
      <c r="A256" s="8" t="s">
        <v>20</v>
      </c>
      <c r="B256" s="46" t="n">
        <v>2012</v>
      </c>
      <c r="C256" s="10" t="n">
        <f aca="false">IF(D256&gt;0,1,0)</f>
        <v>0</v>
      </c>
      <c r="D256" s="9" t="n">
        <f aca="false">IF(SUMIFS(Sales!$F$3:$F$500,Sales!$C$3:$C$500,$A256,Sales!$B$3:$B$500,"&lt;="&amp;DATE($B256-1,12,31))&gt;0,0,SUMIFS('Asset Value'!$I$4:$I$500,'Asset Value'!$C$4:$C$500,$A256,'Asset Value'!$B$4:$B$500,$B256-1)/1000)</f>
        <v>0</v>
      </c>
      <c r="E256" s="9" t="n">
        <f aca="false">IF(SUMIFS(Sales!$F$3:$F$500,Sales!$C$3:$C$500,$A256,Sales!$B$3:$B$500,"&gt;="&amp;DATE($B256,1,1),Sales!$B$3:$B$500,"&lt;="&amp;DATE($B256,12,31))&gt;0,SUMIFS(Sales!$F$3:$F$500,Sales!$C$3:$C$500,$A256,Sales!$B$3:$B$500,"&gt;="&amp;DATE($B256,1,1),Sales!$B$3:$B$500,"&lt;="&amp;DATE($B256,12,31))/1000,SUMIFS('Asset Value'!$I$4:$I$500,'Asset Value'!$C$4:$C$500,$A256,'Asset Value'!$B$4:$B$500,$B256)/1000)</f>
        <v>0</v>
      </c>
      <c r="F256" s="9" t="n">
        <f aca="false">SUMIFS(Rent!$G$3:$G$500,Rent!$D$3:$D$500,$A256,Rent!$C$3:$C$500,$B256)/1000</f>
        <v>0</v>
      </c>
      <c r="G256" s="9" t="n">
        <f aca="false">SUMIFS(Costs!$F$3:$F$500,Costs!$C$3:$C$500,$A256,Costs!$B$3:$B$500,"&gt;="&amp;DATE($B256,1,1),Costs!$B$3:$B$500,"&lt;="&amp;DATE($B256,12,31))/1000</f>
        <v>0</v>
      </c>
      <c r="H256" s="9" t="n">
        <f aca="false">SUMIFS('Partial Sales'!$F$3:$F$500,'Partial Sales'!$C$3:$C$500,$A256,'Partial Sales'!$B$3:$B$500,"&gt;="&amp;DATE($B256,1,1),'Partial Sales'!$B$3:$B$500,"&lt;="&amp;DATE($B256,12,31))/1000</f>
        <v>0</v>
      </c>
      <c r="I256" s="9" t="n">
        <f aca="false">SUMIFS('Partial Purchases'!$F$3:$F$500,'Partial Purchases'!$C$3:$C$500,$A256,'Partial Purchases'!$B$3:$B$500,"&gt;="&amp;DATE($B256,1,1),'Partial Purchases'!$B$3:$B$500,"&lt;="&amp;DATE($B256,12,31))/1000</f>
        <v>0</v>
      </c>
      <c r="J256" s="9" t="n">
        <f aca="false">C256*(D256+0.5*(G256-H256+I256-F256))</f>
        <v>0</v>
      </c>
      <c r="K256" s="9" t="n">
        <f aca="false">C256*(E256-D256+H256-G256-I256)</f>
        <v>0</v>
      </c>
      <c r="L256" s="13" t="str">
        <f aca="false">IF(J256=0,"",C256*F256/J256)</f>
        <v/>
      </c>
      <c r="M256" s="13" t="str">
        <f aca="false">IF(J256=0,"",K256/J256)</f>
        <v/>
      </c>
      <c r="N256" s="13" t="str">
        <f aca="false">IF(J256=0,"",L256+M256)</f>
        <v/>
      </c>
    </row>
    <row r="257" customFormat="false" ht="15" hidden="false" customHeight="false" outlineLevel="0" collapsed="false">
      <c r="A257" s="8" t="s">
        <v>20</v>
      </c>
      <c r="B257" s="46" t="n">
        <v>2013</v>
      </c>
      <c r="C257" s="10" t="n">
        <f aca="false">IF(D257&gt;0,1,0)</f>
        <v>0</v>
      </c>
      <c r="D257" s="9" t="n">
        <f aca="false">IF(SUMIFS(Sales!$F$3:$F$500,Sales!$C$3:$C$500,$A257,Sales!$B$3:$B$500,"&lt;="&amp;DATE($B257-1,12,31))&gt;0,0,SUMIFS('Asset Value'!$I$4:$I$500,'Asset Value'!$C$4:$C$500,$A257,'Asset Value'!$B$4:$B$500,$B257-1)/1000)</f>
        <v>0</v>
      </c>
      <c r="E257" s="9" t="n">
        <f aca="false">IF(SUMIFS(Sales!$F$3:$F$500,Sales!$C$3:$C$500,$A257,Sales!$B$3:$B$500,"&gt;="&amp;DATE($B257,1,1),Sales!$B$3:$B$500,"&lt;="&amp;DATE($B257,12,31))&gt;0,SUMIFS(Sales!$F$3:$F$500,Sales!$C$3:$C$500,$A257,Sales!$B$3:$B$500,"&gt;="&amp;DATE($B257,1,1),Sales!$B$3:$B$500,"&lt;="&amp;DATE($B257,12,31))/1000,SUMIFS('Asset Value'!$I$4:$I$500,'Asset Value'!$C$4:$C$500,$A257,'Asset Value'!$B$4:$B$500,$B257)/1000)</f>
        <v>0</v>
      </c>
      <c r="F257" s="9" t="n">
        <f aca="false">SUMIFS(Rent!$G$3:$G$500,Rent!$D$3:$D$500,$A257,Rent!$C$3:$C$500,$B257)/1000</f>
        <v>0</v>
      </c>
      <c r="G257" s="9" t="n">
        <f aca="false">SUMIFS(Costs!$F$3:$F$500,Costs!$C$3:$C$500,$A257,Costs!$B$3:$B$500,"&gt;="&amp;DATE($B257,1,1),Costs!$B$3:$B$500,"&lt;="&amp;DATE($B257,12,31))/1000</f>
        <v>0</v>
      </c>
      <c r="H257" s="9" t="n">
        <f aca="false">SUMIFS('Partial Sales'!$F$3:$F$500,'Partial Sales'!$C$3:$C$500,$A257,'Partial Sales'!$B$3:$B$500,"&gt;="&amp;DATE($B257,1,1),'Partial Sales'!$B$3:$B$500,"&lt;="&amp;DATE($B257,12,31))/1000</f>
        <v>0</v>
      </c>
      <c r="I257" s="9" t="n">
        <f aca="false">SUMIFS('Partial Purchases'!$F$3:$F$500,'Partial Purchases'!$C$3:$C$500,$A257,'Partial Purchases'!$B$3:$B$500,"&gt;="&amp;DATE($B257,1,1),'Partial Purchases'!$B$3:$B$500,"&lt;="&amp;DATE($B257,12,31))/1000</f>
        <v>0</v>
      </c>
      <c r="J257" s="9" t="n">
        <f aca="false">C257*(D257+0.5*(G257-H257+I257-F257))</f>
        <v>0</v>
      </c>
      <c r="K257" s="9" t="n">
        <f aca="false">C257*(E257-D257+H257-G257-I257)</f>
        <v>0</v>
      </c>
      <c r="L257" s="13" t="str">
        <f aca="false">IF(J257=0,"",C257*F257/J257)</f>
        <v/>
      </c>
      <c r="M257" s="13" t="str">
        <f aca="false">IF(J257=0,"",K257/J257)</f>
        <v/>
      </c>
      <c r="N257" s="13" t="str">
        <f aca="false">IF(J257=0,"",L257+M257)</f>
        <v/>
      </c>
    </row>
    <row r="258" customFormat="false" ht="15" hidden="false" customHeight="false" outlineLevel="0" collapsed="false">
      <c r="A258" s="8" t="s">
        <v>20</v>
      </c>
      <c r="B258" s="46" t="n">
        <v>2014</v>
      </c>
      <c r="C258" s="10" t="n">
        <f aca="false">IF(D258&gt;0,1,0)</f>
        <v>0</v>
      </c>
      <c r="D258" s="9" t="n">
        <f aca="false">IF(SUMIFS(Sales!$F$3:$F$500,Sales!$C$3:$C$500,$A258,Sales!$B$3:$B$500,"&lt;="&amp;DATE($B258-1,12,31))&gt;0,0,SUMIFS('Asset Value'!$I$4:$I$500,'Asset Value'!$C$4:$C$500,$A258,'Asset Value'!$B$4:$B$500,$B258-1)/1000)</f>
        <v>0</v>
      </c>
      <c r="E258" s="9" t="n">
        <f aca="false">IF(SUMIFS(Sales!$F$3:$F$500,Sales!$C$3:$C$500,$A258,Sales!$B$3:$B$500,"&gt;="&amp;DATE($B258,1,1),Sales!$B$3:$B$500,"&lt;="&amp;DATE($B258,12,31))&gt;0,SUMIFS(Sales!$F$3:$F$500,Sales!$C$3:$C$500,$A258,Sales!$B$3:$B$500,"&gt;="&amp;DATE($B258,1,1),Sales!$B$3:$B$500,"&lt;="&amp;DATE($B258,12,31))/1000,SUMIFS('Asset Value'!$I$4:$I$500,'Asset Value'!$C$4:$C$500,$A258,'Asset Value'!$B$4:$B$500,$B258)/1000)</f>
        <v>0</v>
      </c>
      <c r="F258" s="9" t="n">
        <f aca="false">SUMIFS(Rent!$G$3:$G$500,Rent!$D$3:$D$500,$A258,Rent!$C$3:$C$500,$B258)/1000</f>
        <v>0</v>
      </c>
      <c r="G258" s="9" t="n">
        <f aca="false">SUMIFS(Costs!$F$3:$F$500,Costs!$C$3:$C$500,$A258,Costs!$B$3:$B$500,"&gt;="&amp;DATE($B258,1,1),Costs!$B$3:$B$500,"&lt;="&amp;DATE($B258,12,31))/1000</f>
        <v>0</v>
      </c>
      <c r="H258" s="9" t="n">
        <f aca="false">SUMIFS('Partial Sales'!$F$3:$F$500,'Partial Sales'!$C$3:$C$500,$A258,'Partial Sales'!$B$3:$B$500,"&gt;="&amp;DATE($B258,1,1),'Partial Sales'!$B$3:$B$500,"&lt;="&amp;DATE($B258,12,31))/1000</f>
        <v>0</v>
      </c>
      <c r="I258" s="9" t="n">
        <f aca="false">SUMIFS('Partial Purchases'!$F$3:$F$500,'Partial Purchases'!$C$3:$C$500,$A258,'Partial Purchases'!$B$3:$B$500,"&gt;="&amp;DATE($B258,1,1),'Partial Purchases'!$B$3:$B$500,"&lt;="&amp;DATE($B258,12,31))/1000</f>
        <v>0</v>
      </c>
      <c r="J258" s="9" t="n">
        <f aca="false">C258*(D258+0.5*(G258-H258+I258-F258))</f>
        <v>0</v>
      </c>
      <c r="K258" s="9" t="n">
        <f aca="false">C258*(E258-D258+H258-G258-I258)</f>
        <v>0</v>
      </c>
      <c r="L258" s="13" t="str">
        <f aca="false">IF(J258=0,"",C258*F258/J258)</f>
        <v/>
      </c>
      <c r="M258" s="13" t="str">
        <f aca="false">IF(J258=0,"",K258/J258)</f>
        <v/>
      </c>
      <c r="N258" s="13" t="str">
        <f aca="false">IF(J258=0,"",L258+M258)</f>
        <v/>
      </c>
    </row>
    <row r="259" customFormat="false" ht="15" hidden="false" customHeight="false" outlineLevel="0" collapsed="false">
      <c r="A259" s="47" t="s">
        <v>20</v>
      </c>
      <c r="B259" s="48" t="n">
        <v>2015</v>
      </c>
      <c r="C259" s="49" t="n">
        <f aca="false">IF(D259&gt;0,1,0)</f>
        <v>0</v>
      </c>
      <c r="D259" s="50" t="n">
        <f aca="false">IF(SUMIFS(Sales!$F$3:$F$500,Sales!$C$3:$C$500,$A259,Sales!$B$3:$B$500,"&lt;="&amp;DATE($B259-1,12,31))&gt;0,0,SUMIFS('Asset Value'!$I$4:$I$500,'Asset Value'!$C$4:$C$500,$A259,'Asset Value'!$B$4:$B$500,$B259-1)/1000)</f>
        <v>0</v>
      </c>
      <c r="E259" s="50" t="n">
        <f aca="false">IF(SUMIFS(Sales!$F$3:$F$500,Sales!$C$3:$C$500,$A259,Sales!$B$3:$B$500,"&gt;="&amp;DATE($B259,1,1),Sales!$B$3:$B$500,"&lt;="&amp;DATE($B259,12,31))&gt;0,SUMIFS(Sales!$F$3:$F$500,Sales!$C$3:$C$500,$A259,Sales!$B$3:$B$500,"&gt;="&amp;DATE($B259,1,1),Sales!$B$3:$B$500,"&lt;="&amp;DATE($B259,12,31))/1000,SUMIFS('Asset Value'!$I$4:$I$500,'Asset Value'!$C$4:$C$500,$A259,'Asset Value'!$B$4:$B$500,$B259)/1000)</f>
        <v>0</v>
      </c>
      <c r="F259" s="50" t="n">
        <f aca="false">SUMIFS(Rent!$G$3:$G$500,Rent!$D$3:$D$500,$A259,Rent!$C$3:$C$500,$B259)/1000</f>
        <v>0</v>
      </c>
      <c r="G259" s="50" t="n">
        <f aca="false">SUMIFS(Costs!$F$3:$F$500,Costs!$C$3:$C$500,$A259,Costs!$B$3:$B$500,"&gt;="&amp;DATE($B259,1,1),Costs!$B$3:$B$500,"&lt;="&amp;DATE($B259,12,31))/1000</f>
        <v>0</v>
      </c>
      <c r="H259" s="50" t="n">
        <f aca="false">SUMIFS('Partial Sales'!$F$3:$F$500,'Partial Sales'!$C$3:$C$500,$A259,'Partial Sales'!$B$3:$B$500,"&gt;="&amp;DATE($B259,1,1),'Partial Sales'!$B$3:$B$500,"&lt;="&amp;DATE($B259,12,31))/1000</f>
        <v>0</v>
      </c>
      <c r="I259" s="50" t="n">
        <f aca="false">SUMIFS('Partial Purchases'!$F$3:$F$500,'Partial Purchases'!$C$3:$C$500,$A259,'Partial Purchases'!$B$3:$B$500,"&gt;="&amp;DATE($B259,1,1),'Partial Purchases'!$B$3:$B$500,"&lt;="&amp;DATE($B259,12,31))/1000</f>
        <v>0</v>
      </c>
      <c r="J259" s="50" t="n">
        <f aca="false">C259*(D259+0.5*(G259-H259+I259-F259))</f>
        <v>0</v>
      </c>
      <c r="K259" s="50" t="n">
        <f aca="false">C259*(E259-D259+H259-G259-I259)</f>
        <v>0</v>
      </c>
      <c r="L259" s="44" t="str">
        <f aca="false">IF(J259=0,"",C259*F259/J259)</f>
        <v/>
      </c>
      <c r="M259" s="44" t="str">
        <f aca="false">IF(J259=0,"",K259/J259)</f>
        <v/>
      </c>
      <c r="N259" s="44" t="str">
        <f aca="false">IF(J259=0,"",L259+M259)</f>
        <v/>
      </c>
    </row>
    <row r="260" customFormat="false" ht="15" hidden="false" customHeight="false" outlineLevel="0" collapsed="false">
      <c r="A260" s="8" t="s">
        <v>21</v>
      </c>
      <c r="B260" s="46" t="n">
        <v>2008</v>
      </c>
      <c r="C260" s="10" t="n">
        <f aca="false">IF(D260&gt;0,1,0)</f>
        <v>0</v>
      </c>
      <c r="D260" s="9" t="n">
        <f aca="false">IF(SUMIFS(Sales!$F$3:$F$500,Sales!$C$3:$C$500,$A260,Sales!$B$3:$B$500,"&lt;="&amp;DATE($B260-1,12,31))&gt;0,0,SUMIFS('Asset Value'!$I$4:$I$500,'Asset Value'!$C$4:$C$500,$A260,'Asset Value'!$B$4:$B$500,$B260-1)/1000)</f>
        <v>0</v>
      </c>
      <c r="E260" s="9" t="n">
        <f aca="false">IF(SUMIFS(Sales!$F$3:$F$500,Sales!$C$3:$C$500,$A260,Sales!$B$3:$B$500,"&gt;="&amp;DATE($B260,1,1),Sales!$B$3:$B$500,"&lt;="&amp;DATE($B260,12,31))&gt;0,SUMIFS(Sales!$F$3:$F$500,Sales!$C$3:$C$500,$A260,Sales!$B$3:$B$500,"&gt;="&amp;DATE($B260,1,1),Sales!$B$3:$B$500,"&lt;="&amp;DATE($B260,12,31))/1000,SUMIFS('Asset Value'!$I$4:$I$500,'Asset Value'!$C$4:$C$500,$A260,'Asset Value'!$B$4:$B$500,$B260)/1000)</f>
        <v>0</v>
      </c>
      <c r="F260" s="9" t="n">
        <f aca="false">SUMIFS(Rent!$G$3:$G$500,Rent!$D$3:$D$500,$A260,Rent!$C$3:$C$500,$B260)/1000</f>
        <v>0</v>
      </c>
      <c r="G260" s="9" t="n">
        <f aca="false">SUMIFS(Costs!$F$3:$F$500,Costs!$C$3:$C$500,$A260,Costs!$B$3:$B$500,"&gt;="&amp;DATE($B260,1,1),Costs!$B$3:$B$500,"&lt;="&amp;DATE($B260,12,31))/1000</f>
        <v>0</v>
      </c>
      <c r="H260" s="9" t="n">
        <f aca="false">SUMIFS('Partial Sales'!$F$3:$F$500,'Partial Sales'!$C$3:$C$500,$A260,'Partial Sales'!$B$3:$B$500,"&gt;="&amp;DATE($B260,1,1),'Partial Sales'!$B$3:$B$500,"&lt;="&amp;DATE($B260,12,31))/1000</f>
        <v>0</v>
      </c>
      <c r="I260" s="9" t="n">
        <f aca="false">SUMIFS('Partial Purchases'!$F$3:$F$500,'Partial Purchases'!$C$3:$C$500,$A260,'Partial Purchases'!$B$3:$B$500,"&gt;="&amp;DATE($B260,1,1),'Partial Purchases'!$B$3:$B$500,"&lt;="&amp;DATE($B260,12,31))/1000</f>
        <v>0</v>
      </c>
      <c r="J260" s="9" t="n">
        <f aca="false">C260*(D260+0.5*(G260-H260+I260-F260))</f>
        <v>0</v>
      </c>
      <c r="K260" s="9" t="n">
        <f aca="false">C260*(E260-D260+H260-G260-I260)</f>
        <v>0</v>
      </c>
      <c r="L260" s="13" t="str">
        <f aca="false">IF(J260=0,"",C260*F260/J260)</f>
        <v/>
      </c>
      <c r="M260" s="13" t="str">
        <f aca="false">IF(J260=0,"",K260/J260)</f>
        <v/>
      </c>
      <c r="N260" s="13" t="str">
        <f aca="false">IF(J260=0,"",L260+M260)</f>
        <v/>
      </c>
    </row>
    <row r="261" customFormat="false" ht="15" hidden="false" customHeight="false" outlineLevel="0" collapsed="false">
      <c r="A261" s="8" t="s">
        <v>21</v>
      </c>
      <c r="B261" s="46" t="n">
        <v>2009</v>
      </c>
      <c r="C261" s="10" t="n">
        <f aca="false">IF(D261&gt;0,1,0)</f>
        <v>0</v>
      </c>
      <c r="D261" s="9" t="n">
        <f aca="false">IF(SUMIFS(Sales!$F$3:$F$500,Sales!$C$3:$C$500,$A261,Sales!$B$3:$B$500,"&lt;="&amp;DATE($B261-1,12,31))&gt;0,0,SUMIFS('Asset Value'!$I$4:$I$500,'Asset Value'!$C$4:$C$500,$A261,'Asset Value'!$B$4:$B$500,$B261-1)/1000)</f>
        <v>0</v>
      </c>
      <c r="E261" s="9" t="n">
        <f aca="false">IF(SUMIFS(Sales!$F$3:$F$500,Sales!$C$3:$C$500,$A261,Sales!$B$3:$B$500,"&gt;="&amp;DATE($B261,1,1),Sales!$B$3:$B$500,"&lt;="&amp;DATE($B261,12,31))&gt;0,SUMIFS(Sales!$F$3:$F$500,Sales!$C$3:$C$500,$A261,Sales!$B$3:$B$500,"&gt;="&amp;DATE($B261,1,1),Sales!$B$3:$B$500,"&lt;="&amp;DATE($B261,12,31))/1000,SUMIFS('Asset Value'!$I$4:$I$500,'Asset Value'!$C$4:$C$500,$A261,'Asset Value'!$B$4:$B$500,$B261)/1000)</f>
        <v>0</v>
      </c>
      <c r="F261" s="9" t="n">
        <f aca="false">SUMIFS(Rent!$G$3:$G$500,Rent!$D$3:$D$500,$A261,Rent!$C$3:$C$500,$B261)/1000</f>
        <v>0</v>
      </c>
      <c r="G261" s="9" t="n">
        <f aca="false">SUMIFS(Costs!$F$3:$F$500,Costs!$C$3:$C$500,$A261,Costs!$B$3:$B$500,"&gt;="&amp;DATE($B261,1,1),Costs!$B$3:$B$500,"&lt;="&amp;DATE($B261,12,31))/1000</f>
        <v>0</v>
      </c>
      <c r="H261" s="9" t="n">
        <f aca="false">SUMIFS('Partial Sales'!$F$3:$F$500,'Partial Sales'!$C$3:$C$500,$A261,'Partial Sales'!$B$3:$B$500,"&gt;="&amp;DATE($B261,1,1),'Partial Sales'!$B$3:$B$500,"&lt;="&amp;DATE($B261,12,31))/1000</f>
        <v>0</v>
      </c>
      <c r="I261" s="9" t="n">
        <f aca="false">SUMIFS('Partial Purchases'!$F$3:$F$500,'Partial Purchases'!$C$3:$C$500,$A261,'Partial Purchases'!$B$3:$B$500,"&gt;="&amp;DATE($B261,1,1),'Partial Purchases'!$B$3:$B$500,"&lt;="&amp;DATE($B261,12,31))/1000</f>
        <v>0</v>
      </c>
      <c r="J261" s="9" t="n">
        <f aca="false">C261*(D261+0.5*(G261-H261+I261-F261))</f>
        <v>0</v>
      </c>
      <c r="K261" s="9" t="n">
        <f aca="false">C261*(E261-D261+H261-G261-I261)</f>
        <v>0</v>
      </c>
      <c r="L261" s="13" t="str">
        <f aca="false">IF(J261=0,"",C261*F261/J261)</f>
        <v/>
      </c>
      <c r="M261" s="13" t="str">
        <f aca="false">IF(J261=0,"",K261/J261)</f>
        <v/>
      </c>
      <c r="N261" s="13" t="str">
        <f aca="false">IF(J261=0,"",L261+M261)</f>
        <v/>
      </c>
    </row>
    <row r="262" customFormat="false" ht="15" hidden="false" customHeight="false" outlineLevel="0" collapsed="false">
      <c r="A262" s="8" t="s">
        <v>21</v>
      </c>
      <c r="B262" s="46" t="n">
        <v>2010</v>
      </c>
      <c r="C262" s="10" t="n">
        <f aca="false">IF(D262&gt;0,1,0)</f>
        <v>0</v>
      </c>
      <c r="D262" s="9" t="n">
        <f aca="false">IF(SUMIFS(Sales!$F$3:$F$500,Sales!$C$3:$C$500,$A262,Sales!$B$3:$B$500,"&lt;="&amp;DATE($B262-1,12,31))&gt;0,0,SUMIFS('Asset Value'!$I$4:$I$500,'Asset Value'!$C$4:$C$500,$A262,'Asset Value'!$B$4:$B$500,$B262-1)/1000)</f>
        <v>0</v>
      </c>
      <c r="E262" s="9" t="n">
        <f aca="false">IF(SUMIFS(Sales!$F$3:$F$500,Sales!$C$3:$C$500,$A262,Sales!$B$3:$B$500,"&gt;="&amp;DATE($B262,1,1),Sales!$B$3:$B$500,"&lt;="&amp;DATE($B262,12,31))&gt;0,SUMIFS(Sales!$F$3:$F$500,Sales!$C$3:$C$500,$A262,Sales!$B$3:$B$500,"&gt;="&amp;DATE($B262,1,1),Sales!$B$3:$B$500,"&lt;="&amp;DATE($B262,12,31))/1000,SUMIFS('Asset Value'!$I$4:$I$500,'Asset Value'!$C$4:$C$500,$A262,'Asset Value'!$B$4:$B$500,$B262)/1000)</f>
        <v>0</v>
      </c>
      <c r="F262" s="9" t="n">
        <f aca="false">SUMIFS(Rent!$G$3:$G$500,Rent!$D$3:$D$500,$A262,Rent!$C$3:$C$500,$B262)/1000</f>
        <v>0</v>
      </c>
      <c r="G262" s="9" t="n">
        <f aca="false">SUMIFS(Costs!$F$3:$F$500,Costs!$C$3:$C$500,$A262,Costs!$B$3:$B$500,"&gt;="&amp;DATE($B262,1,1),Costs!$B$3:$B$500,"&lt;="&amp;DATE($B262,12,31))/1000</f>
        <v>0</v>
      </c>
      <c r="H262" s="9" t="n">
        <f aca="false">SUMIFS('Partial Sales'!$F$3:$F$500,'Partial Sales'!$C$3:$C$500,$A262,'Partial Sales'!$B$3:$B$500,"&gt;="&amp;DATE($B262,1,1),'Partial Sales'!$B$3:$B$500,"&lt;="&amp;DATE($B262,12,31))/1000</f>
        <v>0</v>
      </c>
      <c r="I262" s="9" t="n">
        <f aca="false">SUMIFS('Partial Purchases'!$F$3:$F$500,'Partial Purchases'!$C$3:$C$500,$A262,'Partial Purchases'!$B$3:$B$500,"&gt;="&amp;DATE($B262,1,1),'Partial Purchases'!$B$3:$B$500,"&lt;="&amp;DATE($B262,12,31))/1000</f>
        <v>0</v>
      </c>
      <c r="J262" s="9" t="n">
        <f aca="false">C262*(D262+0.5*(G262-H262+I262-F262))</f>
        <v>0</v>
      </c>
      <c r="K262" s="9" t="n">
        <f aca="false">C262*(E262-D262+H262-G262-I262)</f>
        <v>0</v>
      </c>
      <c r="L262" s="13" t="str">
        <f aca="false">IF(J262=0,"",C262*F262/J262)</f>
        <v/>
      </c>
      <c r="M262" s="13" t="str">
        <f aca="false">IF(J262=0,"",K262/J262)</f>
        <v/>
      </c>
      <c r="N262" s="13" t="str">
        <f aca="false">IF(J262=0,"",L262+M262)</f>
        <v/>
      </c>
    </row>
    <row r="263" customFormat="false" ht="15" hidden="false" customHeight="false" outlineLevel="0" collapsed="false">
      <c r="A263" s="8" t="s">
        <v>21</v>
      </c>
      <c r="B263" s="46" t="n">
        <v>2011</v>
      </c>
      <c r="C263" s="10" t="n">
        <f aca="false">IF(D263&gt;0,1,0)</f>
        <v>0</v>
      </c>
      <c r="D263" s="9" t="n">
        <f aca="false">IF(SUMIFS(Sales!$F$3:$F$500,Sales!$C$3:$C$500,$A263,Sales!$B$3:$B$500,"&lt;="&amp;DATE($B263-1,12,31))&gt;0,0,SUMIFS('Asset Value'!$I$4:$I$500,'Asset Value'!$C$4:$C$500,$A263,'Asset Value'!$B$4:$B$500,$B263-1)/1000)</f>
        <v>0</v>
      </c>
      <c r="E263" s="9" t="n">
        <f aca="false">IF(SUMIFS(Sales!$F$3:$F$500,Sales!$C$3:$C$500,$A263,Sales!$B$3:$B$500,"&gt;="&amp;DATE($B263,1,1),Sales!$B$3:$B$500,"&lt;="&amp;DATE($B263,12,31))&gt;0,SUMIFS(Sales!$F$3:$F$500,Sales!$C$3:$C$500,$A263,Sales!$B$3:$B$500,"&gt;="&amp;DATE($B263,1,1),Sales!$B$3:$B$500,"&lt;="&amp;DATE($B263,12,31))/1000,SUMIFS('Asset Value'!$I$4:$I$500,'Asset Value'!$C$4:$C$500,$A263,'Asset Value'!$B$4:$B$500,$B263)/1000)</f>
        <v>0</v>
      </c>
      <c r="F263" s="9" t="n">
        <f aca="false">SUMIFS(Rent!$G$3:$G$500,Rent!$D$3:$D$500,$A263,Rent!$C$3:$C$500,$B263)/1000</f>
        <v>0</v>
      </c>
      <c r="G263" s="9" t="n">
        <f aca="false">SUMIFS(Costs!$F$3:$F$500,Costs!$C$3:$C$500,$A263,Costs!$B$3:$B$500,"&gt;="&amp;DATE($B263,1,1),Costs!$B$3:$B$500,"&lt;="&amp;DATE($B263,12,31))/1000</f>
        <v>0</v>
      </c>
      <c r="H263" s="9" t="n">
        <f aca="false">SUMIFS('Partial Sales'!$F$3:$F$500,'Partial Sales'!$C$3:$C$500,$A263,'Partial Sales'!$B$3:$B$500,"&gt;="&amp;DATE($B263,1,1),'Partial Sales'!$B$3:$B$500,"&lt;="&amp;DATE($B263,12,31))/1000</f>
        <v>0</v>
      </c>
      <c r="I263" s="9" t="n">
        <f aca="false">SUMIFS('Partial Purchases'!$F$3:$F$500,'Partial Purchases'!$C$3:$C$500,$A263,'Partial Purchases'!$B$3:$B$500,"&gt;="&amp;DATE($B263,1,1),'Partial Purchases'!$B$3:$B$500,"&lt;="&amp;DATE($B263,12,31))/1000</f>
        <v>0</v>
      </c>
      <c r="J263" s="9" t="n">
        <f aca="false">C263*(D263+0.5*(G263-H263+I263-F263))</f>
        <v>0</v>
      </c>
      <c r="K263" s="9" t="n">
        <f aca="false">C263*(E263-D263+H263-G263-I263)</f>
        <v>0</v>
      </c>
      <c r="L263" s="13" t="str">
        <f aca="false">IF(J263=0,"",C263*F263/J263)</f>
        <v/>
      </c>
      <c r="M263" s="13" t="str">
        <f aca="false">IF(J263=0,"",K263/J263)</f>
        <v/>
      </c>
      <c r="N263" s="13" t="str">
        <f aca="false">IF(J263=0,"",L263+M263)</f>
        <v/>
      </c>
    </row>
    <row r="264" customFormat="false" ht="15" hidden="false" customHeight="false" outlineLevel="0" collapsed="false">
      <c r="A264" s="8" t="s">
        <v>21</v>
      </c>
      <c r="B264" s="46" t="n">
        <v>2012</v>
      </c>
      <c r="C264" s="10" t="n">
        <f aca="false">IF(D264&gt;0,1,0)</f>
        <v>0</v>
      </c>
      <c r="D264" s="9" t="n">
        <f aca="false">IF(SUMIFS(Sales!$F$3:$F$500,Sales!$C$3:$C$500,$A264,Sales!$B$3:$B$500,"&lt;="&amp;DATE($B264-1,12,31))&gt;0,0,SUMIFS('Asset Value'!$I$4:$I$500,'Asset Value'!$C$4:$C$500,$A264,'Asset Value'!$B$4:$B$500,$B264-1)/1000)</f>
        <v>0</v>
      </c>
      <c r="E264" s="9" t="n">
        <f aca="false">IF(SUMIFS(Sales!$F$3:$F$500,Sales!$C$3:$C$500,$A264,Sales!$B$3:$B$500,"&gt;="&amp;DATE($B264,1,1),Sales!$B$3:$B$500,"&lt;="&amp;DATE($B264,12,31))&gt;0,SUMIFS(Sales!$F$3:$F$500,Sales!$C$3:$C$500,$A264,Sales!$B$3:$B$500,"&gt;="&amp;DATE($B264,1,1),Sales!$B$3:$B$500,"&lt;="&amp;DATE($B264,12,31))/1000,SUMIFS('Asset Value'!$I$4:$I$500,'Asset Value'!$C$4:$C$500,$A264,'Asset Value'!$B$4:$B$500,$B264)/1000)</f>
        <v>0</v>
      </c>
      <c r="F264" s="9" t="n">
        <f aca="false">SUMIFS(Rent!$G$3:$G$500,Rent!$D$3:$D$500,$A264,Rent!$C$3:$C$500,$B264)/1000</f>
        <v>0</v>
      </c>
      <c r="G264" s="9" t="n">
        <f aca="false">SUMIFS(Costs!$F$3:$F$500,Costs!$C$3:$C$500,$A264,Costs!$B$3:$B$500,"&gt;="&amp;DATE($B264,1,1),Costs!$B$3:$B$500,"&lt;="&amp;DATE($B264,12,31))/1000</f>
        <v>0</v>
      </c>
      <c r="H264" s="9" t="n">
        <f aca="false">SUMIFS('Partial Sales'!$F$3:$F$500,'Partial Sales'!$C$3:$C$500,$A264,'Partial Sales'!$B$3:$B$500,"&gt;="&amp;DATE($B264,1,1),'Partial Sales'!$B$3:$B$500,"&lt;="&amp;DATE($B264,12,31))/1000</f>
        <v>0</v>
      </c>
      <c r="I264" s="9" t="n">
        <f aca="false">SUMIFS('Partial Purchases'!$F$3:$F$500,'Partial Purchases'!$C$3:$C$500,$A264,'Partial Purchases'!$B$3:$B$500,"&gt;="&amp;DATE($B264,1,1),'Partial Purchases'!$B$3:$B$500,"&lt;="&amp;DATE($B264,12,31))/1000</f>
        <v>0</v>
      </c>
      <c r="J264" s="9" t="n">
        <f aca="false">C264*(D264+0.5*(G264-H264+I264-F264))</f>
        <v>0</v>
      </c>
      <c r="K264" s="9" t="n">
        <f aca="false">C264*(E264-D264+H264-G264-I264)</f>
        <v>0</v>
      </c>
      <c r="L264" s="13" t="str">
        <f aca="false">IF(J264=0,"",C264*F264/J264)</f>
        <v/>
      </c>
      <c r="M264" s="13" t="str">
        <f aca="false">IF(J264=0,"",K264/J264)</f>
        <v/>
      </c>
      <c r="N264" s="13" t="str">
        <f aca="false">IF(J264=0,"",L264+M264)</f>
        <v/>
      </c>
    </row>
    <row r="265" customFormat="false" ht="15" hidden="false" customHeight="false" outlineLevel="0" collapsed="false">
      <c r="A265" s="8" t="s">
        <v>21</v>
      </c>
      <c r="B265" s="46" t="n">
        <v>2013</v>
      </c>
      <c r="C265" s="10" t="n">
        <f aca="false">IF(D265&gt;0,1,0)</f>
        <v>0</v>
      </c>
      <c r="D265" s="9" t="n">
        <f aca="false">IF(SUMIFS(Sales!$F$3:$F$500,Sales!$C$3:$C$500,$A265,Sales!$B$3:$B$500,"&lt;="&amp;DATE($B265-1,12,31))&gt;0,0,SUMIFS('Asset Value'!$I$4:$I$500,'Asset Value'!$C$4:$C$500,$A265,'Asset Value'!$B$4:$B$500,$B265-1)/1000)</f>
        <v>0</v>
      </c>
      <c r="E265" s="9" t="n">
        <f aca="false">IF(SUMIFS(Sales!$F$3:$F$500,Sales!$C$3:$C$500,$A265,Sales!$B$3:$B$500,"&gt;="&amp;DATE($B265,1,1),Sales!$B$3:$B$500,"&lt;="&amp;DATE($B265,12,31))&gt;0,SUMIFS(Sales!$F$3:$F$500,Sales!$C$3:$C$500,$A265,Sales!$B$3:$B$500,"&gt;="&amp;DATE($B265,1,1),Sales!$B$3:$B$500,"&lt;="&amp;DATE($B265,12,31))/1000,SUMIFS('Asset Value'!$I$4:$I$500,'Asset Value'!$C$4:$C$500,$A265,'Asset Value'!$B$4:$B$500,$B265)/1000)</f>
        <v>0</v>
      </c>
      <c r="F265" s="9" t="n">
        <f aca="false">SUMIFS(Rent!$G$3:$G$500,Rent!$D$3:$D$500,$A265,Rent!$C$3:$C$500,$B265)/1000</f>
        <v>0</v>
      </c>
      <c r="G265" s="9" t="n">
        <f aca="false">SUMIFS(Costs!$F$3:$F$500,Costs!$C$3:$C$500,$A265,Costs!$B$3:$B$500,"&gt;="&amp;DATE($B265,1,1),Costs!$B$3:$B$500,"&lt;="&amp;DATE($B265,12,31))/1000</f>
        <v>0</v>
      </c>
      <c r="H265" s="9" t="n">
        <f aca="false">SUMIFS('Partial Sales'!$F$3:$F$500,'Partial Sales'!$C$3:$C$500,$A265,'Partial Sales'!$B$3:$B$500,"&gt;="&amp;DATE($B265,1,1),'Partial Sales'!$B$3:$B$500,"&lt;="&amp;DATE($B265,12,31))/1000</f>
        <v>0</v>
      </c>
      <c r="I265" s="9" t="n">
        <f aca="false">SUMIFS('Partial Purchases'!$F$3:$F$500,'Partial Purchases'!$C$3:$C$500,$A265,'Partial Purchases'!$B$3:$B$500,"&gt;="&amp;DATE($B265,1,1),'Partial Purchases'!$B$3:$B$500,"&lt;="&amp;DATE($B265,12,31))/1000</f>
        <v>0</v>
      </c>
      <c r="J265" s="9" t="n">
        <f aca="false">C265*(D265+0.5*(G265-H265+I265-F265))</f>
        <v>0</v>
      </c>
      <c r="K265" s="9" t="n">
        <f aca="false">C265*(E265-D265+H265-G265-I265)</f>
        <v>0</v>
      </c>
      <c r="L265" s="13" t="str">
        <f aca="false">IF(J265=0,"",C265*F265/J265)</f>
        <v/>
      </c>
      <c r="M265" s="13" t="str">
        <f aca="false">IF(J265=0,"",K265/J265)</f>
        <v/>
      </c>
      <c r="N265" s="13" t="str">
        <f aca="false">IF(J265=0,"",L265+M265)</f>
        <v/>
      </c>
    </row>
    <row r="266" customFormat="false" ht="15" hidden="false" customHeight="false" outlineLevel="0" collapsed="false">
      <c r="A266" s="8" t="s">
        <v>21</v>
      </c>
      <c r="B266" s="46" t="n">
        <v>2014</v>
      </c>
      <c r="C266" s="10" t="n">
        <f aca="false">IF(D266&gt;0,1,0)</f>
        <v>0</v>
      </c>
      <c r="D266" s="9" t="n">
        <f aca="false">IF(SUMIFS(Sales!$F$3:$F$500,Sales!$C$3:$C$500,$A266,Sales!$B$3:$B$500,"&lt;="&amp;DATE($B266-1,12,31))&gt;0,0,SUMIFS('Asset Value'!$I$4:$I$500,'Asset Value'!$C$4:$C$500,$A266,'Asset Value'!$B$4:$B$500,$B266-1)/1000)</f>
        <v>0</v>
      </c>
      <c r="E266" s="9" t="n">
        <f aca="false">IF(SUMIFS(Sales!$F$3:$F$500,Sales!$C$3:$C$500,$A266,Sales!$B$3:$B$500,"&gt;="&amp;DATE($B266,1,1),Sales!$B$3:$B$500,"&lt;="&amp;DATE($B266,12,31))&gt;0,SUMIFS(Sales!$F$3:$F$500,Sales!$C$3:$C$500,$A266,Sales!$B$3:$B$500,"&gt;="&amp;DATE($B266,1,1),Sales!$B$3:$B$500,"&lt;="&amp;DATE($B266,12,31))/1000,SUMIFS('Asset Value'!$I$4:$I$500,'Asset Value'!$C$4:$C$500,$A266,'Asset Value'!$B$4:$B$500,$B266)/1000)</f>
        <v>0</v>
      </c>
      <c r="F266" s="9" t="n">
        <f aca="false">SUMIFS(Rent!$G$3:$G$500,Rent!$D$3:$D$500,$A266,Rent!$C$3:$C$500,$B266)/1000</f>
        <v>0</v>
      </c>
      <c r="G266" s="9" t="n">
        <f aca="false">SUMIFS(Costs!$F$3:$F$500,Costs!$C$3:$C$500,$A266,Costs!$B$3:$B$500,"&gt;="&amp;DATE($B266,1,1),Costs!$B$3:$B$500,"&lt;="&amp;DATE($B266,12,31))/1000</f>
        <v>0</v>
      </c>
      <c r="H266" s="9" t="n">
        <f aca="false">SUMIFS('Partial Sales'!$F$3:$F$500,'Partial Sales'!$C$3:$C$500,$A266,'Partial Sales'!$B$3:$B$500,"&gt;="&amp;DATE($B266,1,1),'Partial Sales'!$B$3:$B$500,"&lt;="&amp;DATE($B266,12,31))/1000</f>
        <v>0</v>
      </c>
      <c r="I266" s="9" t="n">
        <f aca="false">SUMIFS('Partial Purchases'!$F$3:$F$500,'Partial Purchases'!$C$3:$C$500,$A266,'Partial Purchases'!$B$3:$B$500,"&gt;="&amp;DATE($B266,1,1),'Partial Purchases'!$B$3:$B$500,"&lt;="&amp;DATE($B266,12,31))/1000</f>
        <v>0</v>
      </c>
      <c r="J266" s="9" t="n">
        <f aca="false">C266*(D266+0.5*(G266-H266+I266-F266))</f>
        <v>0</v>
      </c>
      <c r="K266" s="9" t="n">
        <f aca="false">C266*(E266-D266+H266-G266-I266)</f>
        <v>0</v>
      </c>
      <c r="L266" s="13" t="str">
        <f aca="false">IF(J266=0,"",C266*F266/J266)</f>
        <v/>
      </c>
      <c r="M266" s="13" t="str">
        <f aca="false">IF(J266=0,"",K266/J266)</f>
        <v/>
      </c>
      <c r="N266" s="13" t="str">
        <f aca="false">IF(J266=0,"",L266+M266)</f>
        <v/>
      </c>
    </row>
    <row r="267" customFormat="false" ht="15" hidden="false" customHeight="false" outlineLevel="0" collapsed="false">
      <c r="A267" s="47" t="s">
        <v>21</v>
      </c>
      <c r="B267" s="48" t="n">
        <v>2015</v>
      </c>
      <c r="C267" s="49" t="n">
        <f aca="false">IF(D267&gt;0,1,0)</f>
        <v>0</v>
      </c>
      <c r="D267" s="50" t="n">
        <f aca="false">IF(SUMIFS(Sales!$F$3:$F$500,Sales!$C$3:$C$500,$A267,Sales!$B$3:$B$500,"&lt;="&amp;DATE($B267-1,12,31))&gt;0,0,SUMIFS('Asset Value'!$I$4:$I$500,'Asset Value'!$C$4:$C$500,$A267,'Asset Value'!$B$4:$B$500,$B267-1)/1000)</f>
        <v>0</v>
      </c>
      <c r="E267" s="50" t="n">
        <f aca="false">IF(SUMIFS(Sales!$F$3:$F$500,Sales!$C$3:$C$500,$A267,Sales!$B$3:$B$500,"&gt;="&amp;DATE($B267,1,1),Sales!$B$3:$B$500,"&lt;="&amp;DATE($B267,12,31))&gt;0,SUMIFS(Sales!$F$3:$F$500,Sales!$C$3:$C$500,$A267,Sales!$B$3:$B$500,"&gt;="&amp;DATE($B267,1,1),Sales!$B$3:$B$500,"&lt;="&amp;DATE($B267,12,31))/1000,SUMIFS('Asset Value'!$I$4:$I$500,'Asset Value'!$C$4:$C$500,$A267,'Asset Value'!$B$4:$B$500,$B267)/1000)</f>
        <v>0</v>
      </c>
      <c r="F267" s="50" t="n">
        <f aca="false">SUMIFS(Rent!$G$3:$G$500,Rent!$D$3:$D$500,$A267,Rent!$C$3:$C$500,$B267)/1000</f>
        <v>0</v>
      </c>
      <c r="G267" s="50" t="n">
        <f aca="false">SUMIFS(Costs!$F$3:$F$500,Costs!$C$3:$C$500,$A267,Costs!$B$3:$B$500,"&gt;="&amp;DATE($B267,1,1),Costs!$B$3:$B$500,"&lt;="&amp;DATE($B267,12,31))/1000</f>
        <v>0</v>
      </c>
      <c r="H267" s="50" t="n">
        <f aca="false">SUMIFS('Partial Sales'!$F$3:$F$500,'Partial Sales'!$C$3:$C$500,$A267,'Partial Sales'!$B$3:$B$500,"&gt;="&amp;DATE($B267,1,1),'Partial Sales'!$B$3:$B$500,"&lt;="&amp;DATE($B267,12,31))/1000</f>
        <v>0</v>
      </c>
      <c r="I267" s="50" t="n">
        <f aca="false">SUMIFS('Partial Purchases'!$F$3:$F$500,'Partial Purchases'!$C$3:$C$500,$A267,'Partial Purchases'!$B$3:$B$500,"&gt;="&amp;DATE($B267,1,1),'Partial Purchases'!$B$3:$B$500,"&lt;="&amp;DATE($B267,12,31))/1000</f>
        <v>0</v>
      </c>
      <c r="J267" s="50" t="n">
        <f aca="false">C267*(D267+0.5*(G267-H267+I267-F267))</f>
        <v>0</v>
      </c>
      <c r="K267" s="50" t="n">
        <f aca="false">C267*(E267-D267+H267-G267-I267)</f>
        <v>0</v>
      </c>
      <c r="L267" s="44" t="str">
        <f aca="false">IF(J267=0,"",C267*F267/J267)</f>
        <v/>
      </c>
      <c r="M267" s="44" t="str">
        <f aca="false">IF(J267=0,"",K267/J267)</f>
        <v/>
      </c>
      <c r="N267" s="44" t="str">
        <f aca="false">IF(J267=0,"",L267+M267)</f>
        <v/>
      </c>
    </row>
    <row r="268" customFormat="false" ht="15" hidden="false" customHeight="false" outlineLevel="0" collapsed="false">
      <c r="A268" s="8" t="s">
        <v>22</v>
      </c>
      <c r="B268" s="46" t="n">
        <v>2008</v>
      </c>
      <c r="C268" s="10" t="n">
        <f aca="false">IF(D268&gt;0,1,0)</f>
        <v>0</v>
      </c>
      <c r="D268" s="9" t="n">
        <f aca="false">IF(SUMIFS(Sales!$F$3:$F$500,Sales!$C$3:$C$500,$A268,Sales!$B$3:$B$500,"&lt;="&amp;DATE($B268-1,12,31))&gt;0,0,SUMIFS('Asset Value'!$I$4:$I$500,'Asset Value'!$C$4:$C$500,$A268,'Asset Value'!$B$4:$B$500,$B268-1)/1000)</f>
        <v>0</v>
      </c>
      <c r="E268" s="9" t="n">
        <f aca="false">IF(SUMIFS(Sales!$F$3:$F$500,Sales!$C$3:$C$500,$A268,Sales!$B$3:$B$500,"&gt;="&amp;DATE($B268,1,1),Sales!$B$3:$B$500,"&lt;="&amp;DATE($B268,12,31))&gt;0,SUMIFS(Sales!$F$3:$F$500,Sales!$C$3:$C$500,$A268,Sales!$B$3:$B$500,"&gt;="&amp;DATE($B268,1,1),Sales!$B$3:$B$500,"&lt;="&amp;DATE($B268,12,31))/1000,SUMIFS('Asset Value'!$I$4:$I$500,'Asset Value'!$C$4:$C$500,$A268,'Asset Value'!$B$4:$B$500,$B268)/1000)</f>
        <v>0</v>
      </c>
      <c r="F268" s="9" t="n">
        <f aca="false">SUMIFS(Rent!$G$3:$G$500,Rent!$D$3:$D$500,$A268,Rent!$C$3:$C$500,$B268)/1000</f>
        <v>0</v>
      </c>
      <c r="G268" s="9" t="n">
        <f aca="false">SUMIFS(Costs!$F$3:$F$500,Costs!$C$3:$C$500,$A268,Costs!$B$3:$B$500,"&gt;="&amp;DATE($B268,1,1),Costs!$B$3:$B$500,"&lt;="&amp;DATE($B268,12,31))/1000</f>
        <v>0</v>
      </c>
      <c r="H268" s="9" t="n">
        <f aca="false">SUMIFS('Partial Sales'!$F$3:$F$500,'Partial Sales'!$C$3:$C$500,$A268,'Partial Sales'!$B$3:$B$500,"&gt;="&amp;DATE($B268,1,1),'Partial Sales'!$B$3:$B$500,"&lt;="&amp;DATE($B268,12,31))/1000</f>
        <v>0</v>
      </c>
      <c r="I268" s="9" t="n">
        <f aca="false">SUMIFS('Partial Purchases'!$F$3:$F$500,'Partial Purchases'!$C$3:$C$500,$A268,'Partial Purchases'!$B$3:$B$500,"&gt;="&amp;DATE($B268,1,1),'Partial Purchases'!$B$3:$B$500,"&lt;="&amp;DATE($B268,12,31))/1000</f>
        <v>0</v>
      </c>
      <c r="J268" s="9" t="n">
        <f aca="false">C268*(D268+0.5*(G268-H268+I268-F268))</f>
        <v>0</v>
      </c>
      <c r="K268" s="9" t="n">
        <f aca="false">C268*(E268-D268+H268-G268-I268)</f>
        <v>0</v>
      </c>
      <c r="L268" s="13" t="str">
        <f aca="false">IF(J268=0,"",C268*F268/J268)</f>
        <v/>
      </c>
      <c r="M268" s="13" t="str">
        <f aca="false">IF(J268=0,"",K268/J268)</f>
        <v/>
      </c>
      <c r="N268" s="13" t="str">
        <f aca="false">IF(J268=0,"",L268+M268)</f>
        <v/>
      </c>
    </row>
    <row r="269" customFormat="false" ht="15" hidden="false" customHeight="false" outlineLevel="0" collapsed="false">
      <c r="A269" s="8" t="s">
        <v>22</v>
      </c>
      <c r="B269" s="46" t="n">
        <v>2009</v>
      </c>
      <c r="C269" s="10" t="n">
        <f aca="false">IF(D269&gt;0,1,0)</f>
        <v>0</v>
      </c>
      <c r="D269" s="9" t="n">
        <f aca="false">IF(SUMIFS(Sales!$F$3:$F$500,Sales!$C$3:$C$500,$A269,Sales!$B$3:$B$500,"&lt;="&amp;DATE($B269-1,12,31))&gt;0,0,SUMIFS('Asset Value'!$I$4:$I$500,'Asset Value'!$C$4:$C$500,$A269,'Asset Value'!$B$4:$B$500,$B269-1)/1000)</f>
        <v>0</v>
      </c>
      <c r="E269" s="9" t="n">
        <f aca="false">IF(SUMIFS(Sales!$F$3:$F$500,Sales!$C$3:$C$500,$A269,Sales!$B$3:$B$500,"&gt;="&amp;DATE($B269,1,1),Sales!$B$3:$B$500,"&lt;="&amp;DATE($B269,12,31))&gt;0,SUMIFS(Sales!$F$3:$F$500,Sales!$C$3:$C$500,$A269,Sales!$B$3:$B$500,"&gt;="&amp;DATE($B269,1,1),Sales!$B$3:$B$500,"&lt;="&amp;DATE($B269,12,31))/1000,SUMIFS('Asset Value'!$I$4:$I$500,'Asset Value'!$C$4:$C$500,$A269,'Asset Value'!$B$4:$B$500,$B269)/1000)</f>
        <v>0</v>
      </c>
      <c r="F269" s="9" t="n">
        <f aca="false">SUMIFS(Rent!$G$3:$G$500,Rent!$D$3:$D$500,$A269,Rent!$C$3:$C$500,$B269)/1000</f>
        <v>0</v>
      </c>
      <c r="G269" s="9" t="n">
        <f aca="false">SUMIFS(Costs!$F$3:$F$500,Costs!$C$3:$C$500,$A269,Costs!$B$3:$B$500,"&gt;="&amp;DATE($B269,1,1),Costs!$B$3:$B$500,"&lt;="&amp;DATE($B269,12,31))/1000</f>
        <v>0</v>
      </c>
      <c r="H269" s="9" t="n">
        <f aca="false">SUMIFS('Partial Sales'!$F$3:$F$500,'Partial Sales'!$C$3:$C$500,$A269,'Partial Sales'!$B$3:$B$500,"&gt;="&amp;DATE($B269,1,1),'Partial Sales'!$B$3:$B$500,"&lt;="&amp;DATE($B269,12,31))/1000</f>
        <v>0</v>
      </c>
      <c r="I269" s="9" t="n">
        <f aca="false">SUMIFS('Partial Purchases'!$F$3:$F$500,'Partial Purchases'!$C$3:$C$500,$A269,'Partial Purchases'!$B$3:$B$500,"&gt;="&amp;DATE($B269,1,1),'Partial Purchases'!$B$3:$B$500,"&lt;="&amp;DATE($B269,12,31))/1000</f>
        <v>0</v>
      </c>
      <c r="J269" s="9" t="n">
        <f aca="false">C269*(D269+0.5*(G269-H269+I269-F269))</f>
        <v>0</v>
      </c>
      <c r="K269" s="9" t="n">
        <f aca="false">C269*(E269-D269+H269-G269-I269)</f>
        <v>0</v>
      </c>
      <c r="L269" s="13" t="str">
        <f aca="false">IF(J269=0,"",C269*F269/J269)</f>
        <v/>
      </c>
      <c r="M269" s="13" t="str">
        <f aca="false">IF(J269=0,"",K269/J269)</f>
        <v/>
      </c>
      <c r="N269" s="13" t="str">
        <f aca="false">IF(J269=0,"",L269+M269)</f>
        <v/>
      </c>
    </row>
    <row r="270" customFormat="false" ht="15" hidden="false" customHeight="false" outlineLevel="0" collapsed="false">
      <c r="A270" s="8" t="s">
        <v>22</v>
      </c>
      <c r="B270" s="46" t="n">
        <v>2010</v>
      </c>
      <c r="C270" s="10" t="n">
        <f aca="false">IF(D270&gt;0,1,0)</f>
        <v>0</v>
      </c>
      <c r="D270" s="9" t="n">
        <f aca="false">IF(SUMIFS(Sales!$F$3:$F$500,Sales!$C$3:$C$500,$A270,Sales!$B$3:$B$500,"&lt;="&amp;DATE($B270-1,12,31))&gt;0,0,SUMIFS('Asset Value'!$I$4:$I$500,'Asset Value'!$C$4:$C$500,$A270,'Asset Value'!$B$4:$B$500,$B270-1)/1000)</f>
        <v>0</v>
      </c>
      <c r="E270" s="9" t="n">
        <f aca="false">IF(SUMIFS(Sales!$F$3:$F$500,Sales!$C$3:$C$500,$A270,Sales!$B$3:$B$500,"&gt;="&amp;DATE($B270,1,1),Sales!$B$3:$B$500,"&lt;="&amp;DATE($B270,12,31))&gt;0,SUMIFS(Sales!$F$3:$F$500,Sales!$C$3:$C$500,$A270,Sales!$B$3:$B$500,"&gt;="&amp;DATE($B270,1,1),Sales!$B$3:$B$500,"&lt;="&amp;DATE($B270,12,31))/1000,SUMIFS('Asset Value'!$I$4:$I$500,'Asset Value'!$C$4:$C$500,$A270,'Asset Value'!$B$4:$B$500,$B270)/1000)</f>
        <v>0</v>
      </c>
      <c r="F270" s="9" t="n">
        <f aca="false">SUMIFS(Rent!$G$3:$G$500,Rent!$D$3:$D$500,$A270,Rent!$C$3:$C$500,$B270)/1000</f>
        <v>0</v>
      </c>
      <c r="G270" s="9" t="n">
        <f aca="false">SUMIFS(Costs!$F$3:$F$500,Costs!$C$3:$C$500,$A270,Costs!$B$3:$B$500,"&gt;="&amp;DATE($B270,1,1),Costs!$B$3:$B$500,"&lt;="&amp;DATE($B270,12,31))/1000</f>
        <v>0</v>
      </c>
      <c r="H270" s="9" t="n">
        <f aca="false">SUMIFS('Partial Sales'!$F$3:$F$500,'Partial Sales'!$C$3:$C$500,$A270,'Partial Sales'!$B$3:$B$500,"&gt;="&amp;DATE($B270,1,1),'Partial Sales'!$B$3:$B$500,"&lt;="&amp;DATE($B270,12,31))/1000</f>
        <v>0</v>
      </c>
      <c r="I270" s="9" t="n">
        <f aca="false">SUMIFS('Partial Purchases'!$F$3:$F$500,'Partial Purchases'!$C$3:$C$500,$A270,'Partial Purchases'!$B$3:$B$500,"&gt;="&amp;DATE($B270,1,1),'Partial Purchases'!$B$3:$B$500,"&lt;="&amp;DATE($B270,12,31))/1000</f>
        <v>0</v>
      </c>
      <c r="J270" s="9" t="n">
        <f aca="false">C270*(D270+0.5*(G270-H270+I270-F270))</f>
        <v>0</v>
      </c>
      <c r="K270" s="9" t="n">
        <f aca="false">C270*(E270-D270+H270-G270-I270)</f>
        <v>0</v>
      </c>
      <c r="L270" s="13" t="str">
        <f aca="false">IF(J270=0,"",C270*F270/J270)</f>
        <v/>
      </c>
      <c r="M270" s="13" t="str">
        <f aca="false">IF(J270=0,"",K270/J270)</f>
        <v/>
      </c>
      <c r="N270" s="13" t="str">
        <f aca="false">IF(J270=0,"",L270+M270)</f>
        <v/>
      </c>
    </row>
    <row r="271" customFormat="false" ht="15" hidden="false" customHeight="false" outlineLevel="0" collapsed="false">
      <c r="A271" s="8" t="s">
        <v>22</v>
      </c>
      <c r="B271" s="46" t="n">
        <v>2011</v>
      </c>
      <c r="C271" s="10" t="n">
        <f aca="false">IF(D271&gt;0,1,0)</f>
        <v>0</v>
      </c>
      <c r="D271" s="9" t="n">
        <f aca="false">IF(SUMIFS(Sales!$F$3:$F$500,Sales!$C$3:$C$500,$A271,Sales!$B$3:$B$500,"&lt;="&amp;DATE($B271-1,12,31))&gt;0,0,SUMIFS('Asset Value'!$I$4:$I$500,'Asset Value'!$C$4:$C$500,$A271,'Asset Value'!$B$4:$B$500,$B271-1)/1000)</f>
        <v>0</v>
      </c>
      <c r="E271" s="9" t="n">
        <f aca="false">IF(SUMIFS(Sales!$F$3:$F$500,Sales!$C$3:$C$500,$A271,Sales!$B$3:$B$500,"&gt;="&amp;DATE($B271,1,1),Sales!$B$3:$B$500,"&lt;="&amp;DATE($B271,12,31))&gt;0,SUMIFS(Sales!$F$3:$F$500,Sales!$C$3:$C$500,$A271,Sales!$B$3:$B$500,"&gt;="&amp;DATE($B271,1,1),Sales!$B$3:$B$500,"&lt;="&amp;DATE($B271,12,31))/1000,SUMIFS('Asset Value'!$I$4:$I$500,'Asset Value'!$C$4:$C$500,$A271,'Asset Value'!$B$4:$B$500,$B271)/1000)</f>
        <v>0</v>
      </c>
      <c r="F271" s="9" t="n">
        <f aca="false">SUMIFS(Rent!$G$3:$G$500,Rent!$D$3:$D$500,$A271,Rent!$C$3:$C$500,$B271)/1000</f>
        <v>0</v>
      </c>
      <c r="G271" s="9" t="n">
        <f aca="false">SUMIFS(Costs!$F$3:$F$500,Costs!$C$3:$C$500,$A271,Costs!$B$3:$B$500,"&gt;="&amp;DATE($B271,1,1),Costs!$B$3:$B$500,"&lt;="&amp;DATE($B271,12,31))/1000</f>
        <v>0</v>
      </c>
      <c r="H271" s="9" t="n">
        <f aca="false">SUMIFS('Partial Sales'!$F$3:$F$500,'Partial Sales'!$C$3:$C$500,$A271,'Partial Sales'!$B$3:$B$500,"&gt;="&amp;DATE($B271,1,1),'Partial Sales'!$B$3:$B$500,"&lt;="&amp;DATE($B271,12,31))/1000</f>
        <v>0</v>
      </c>
      <c r="I271" s="9" t="n">
        <f aca="false">SUMIFS('Partial Purchases'!$F$3:$F$500,'Partial Purchases'!$C$3:$C$500,$A271,'Partial Purchases'!$B$3:$B$500,"&gt;="&amp;DATE($B271,1,1),'Partial Purchases'!$B$3:$B$500,"&lt;="&amp;DATE($B271,12,31))/1000</f>
        <v>0</v>
      </c>
      <c r="J271" s="9" t="n">
        <f aca="false">C271*(D271+0.5*(G271-H271+I271-F271))</f>
        <v>0</v>
      </c>
      <c r="K271" s="9" t="n">
        <f aca="false">C271*(E271-D271+H271-G271-I271)</f>
        <v>0</v>
      </c>
      <c r="L271" s="13" t="str">
        <f aca="false">IF(J271=0,"",C271*F271/J271)</f>
        <v/>
      </c>
      <c r="M271" s="13" t="str">
        <f aca="false">IF(J271=0,"",K271/J271)</f>
        <v/>
      </c>
      <c r="N271" s="13" t="str">
        <f aca="false">IF(J271=0,"",L271+M271)</f>
        <v/>
      </c>
    </row>
    <row r="272" customFormat="false" ht="15" hidden="false" customHeight="false" outlineLevel="0" collapsed="false">
      <c r="A272" s="8" t="s">
        <v>22</v>
      </c>
      <c r="B272" s="46" t="n">
        <v>2012</v>
      </c>
      <c r="C272" s="10" t="n">
        <f aca="false">IF(D272&gt;0,1,0)</f>
        <v>0</v>
      </c>
      <c r="D272" s="9" t="n">
        <f aca="false">IF(SUMIFS(Sales!$F$3:$F$500,Sales!$C$3:$C$500,$A272,Sales!$B$3:$B$500,"&lt;="&amp;DATE($B272-1,12,31))&gt;0,0,SUMIFS('Asset Value'!$I$4:$I$500,'Asset Value'!$C$4:$C$500,$A272,'Asset Value'!$B$4:$B$500,$B272-1)/1000)</f>
        <v>0</v>
      </c>
      <c r="E272" s="9" t="n">
        <f aca="false">IF(SUMIFS(Sales!$F$3:$F$500,Sales!$C$3:$C$500,$A272,Sales!$B$3:$B$500,"&gt;="&amp;DATE($B272,1,1),Sales!$B$3:$B$500,"&lt;="&amp;DATE($B272,12,31))&gt;0,SUMIFS(Sales!$F$3:$F$500,Sales!$C$3:$C$500,$A272,Sales!$B$3:$B$500,"&gt;="&amp;DATE($B272,1,1),Sales!$B$3:$B$500,"&lt;="&amp;DATE($B272,12,31))/1000,SUMIFS('Asset Value'!$I$4:$I$500,'Asset Value'!$C$4:$C$500,$A272,'Asset Value'!$B$4:$B$500,$B272)/1000)</f>
        <v>0</v>
      </c>
      <c r="F272" s="9" t="n">
        <f aca="false">SUMIFS(Rent!$G$3:$G$500,Rent!$D$3:$D$500,$A272,Rent!$C$3:$C$500,$B272)/1000</f>
        <v>0</v>
      </c>
      <c r="G272" s="9" t="n">
        <f aca="false">SUMIFS(Costs!$F$3:$F$500,Costs!$C$3:$C$500,$A272,Costs!$B$3:$B$500,"&gt;="&amp;DATE($B272,1,1),Costs!$B$3:$B$500,"&lt;="&amp;DATE($B272,12,31))/1000</f>
        <v>0</v>
      </c>
      <c r="H272" s="9" t="n">
        <f aca="false">SUMIFS('Partial Sales'!$F$3:$F$500,'Partial Sales'!$C$3:$C$500,$A272,'Partial Sales'!$B$3:$B$500,"&gt;="&amp;DATE($B272,1,1),'Partial Sales'!$B$3:$B$500,"&lt;="&amp;DATE($B272,12,31))/1000</f>
        <v>0</v>
      </c>
      <c r="I272" s="9" t="n">
        <f aca="false">SUMIFS('Partial Purchases'!$F$3:$F$500,'Partial Purchases'!$C$3:$C$500,$A272,'Partial Purchases'!$B$3:$B$500,"&gt;="&amp;DATE($B272,1,1),'Partial Purchases'!$B$3:$B$500,"&lt;="&amp;DATE($B272,12,31))/1000</f>
        <v>0</v>
      </c>
      <c r="J272" s="9" t="n">
        <f aca="false">C272*(D272+0.5*(G272-H272+I272-F272))</f>
        <v>0</v>
      </c>
      <c r="K272" s="9" t="n">
        <f aca="false">C272*(E272-D272+H272-G272-I272)</f>
        <v>0</v>
      </c>
      <c r="L272" s="13" t="str">
        <f aca="false">IF(J272=0,"",C272*F272/J272)</f>
        <v/>
      </c>
      <c r="M272" s="13" t="str">
        <f aca="false">IF(J272=0,"",K272/J272)</f>
        <v/>
      </c>
      <c r="N272" s="13" t="str">
        <f aca="false">IF(J272=0,"",L272+M272)</f>
        <v/>
      </c>
    </row>
    <row r="273" customFormat="false" ht="15" hidden="false" customHeight="false" outlineLevel="0" collapsed="false">
      <c r="A273" s="8" t="s">
        <v>22</v>
      </c>
      <c r="B273" s="46" t="n">
        <v>2013</v>
      </c>
      <c r="C273" s="10" t="n">
        <f aca="false">IF(D273&gt;0,1,0)</f>
        <v>0</v>
      </c>
      <c r="D273" s="9" t="n">
        <f aca="false">IF(SUMIFS(Sales!$F$3:$F$500,Sales!$C$3:$C$500,$A273,Sales!$B$3:$B$500,"&lt;="&amp;DATE($B273-1,12,31))&gt;0,0,SUMIFS('Asset Value'!$I$4:$I$500,'Asset Value'!$C$4:$C$500,$A273,'Asset Value'!$B$4:$B$500,$B273-1)/1000)</f>
        <v>0</v>
      </c>
      <c r="E273" s="9" t="n">
        <f aca="false">IF(SUMIFS(Sales!$F$3:$F$500,Sales!$C$3:$C$500,$A273,Sales!$B$3:$B$500,"&gt;="&amp;DATE($B273,1,1),Sales!$B$3:$B$500,"&lt;="&amp;DATE($B273,12,31))&gt;0,SUMIFS(Sales!$F$3:$F$500,Sales!$C$3:$C$500,$A273,Sales!$B$3:$B$500,"&gt;="&amp;DATE($B273,1,1),Sales!$B$3:$B$500,"&lt;="&amp;DATE($B273,12,31))/1000,SUMIFS('Asset Value'!$I$4:$I$500,'Asset Value'!$C$4:$C$500,$A273,'Asset Value'!$B$4:$B$500,$B273)/1000)</f>
        <v>0</v>
      </c>
      <c r="F273" s="9" t="n">
        <f aca="false">SUMIFS(Rent!$G$3:$G$500,Rent!$D$3:$D$500,$A273,Rent!$C$3:$C$500,$B273)/1000</f>
        <v>0</v>
      </c>
      <c r="G273" s="9" t="n">
        <f aca="false">SUMIFS(Costs!$F$3:$F$500,Costs!$C$3:$C$500,$A273,Costs!$B$3:$B$500,"&gt;="&amp;DATE($B273,1,1),Costs!$B$3:$B$500,"&lt;="&amp;DATE($B273,12,31))/1000</f>
        <v>0</v>
      </c>
      <c r="H273" s="9" t="n">
        <f aca="false">SUMIFS('Partial Sales'!$F$3:$F$500,'Partial Sales'!$C$3:$C$500,$A273,'Partial Sales'!$B$3:$B$500,"&gt;="&amp;DATE($B273,1,1),'Partial Sales'!$B$3:$B$500,"&lt;="&amp;DATE($B273,12,31))/1000</f>
        <v>0</v>
      </c>
      <c r="I273" s="9" t="n">
        <f aca="false">SUMIFS('Partial Purchases'!$F$3:$F$500,'Partial Purchases'!$C$3:$C$500,$A273,'Partial Purchases'!$B$3:$B$500,"&gt;="&amp;DATE($B273,1,1),'Partial Purchases'!$B$3:$B$500,"&lt;="&amp;DATE($B273,12,31))/1000</f>
        <v>0</v>
      </c>
      <c r="J273" s="9" t="n">
        <f aca="false">C273*(D273+0.5*(G273-H273+I273-F273))</f>
        <v>0</v>
      </c>
      <c r="K273" s="9" t="n">
        <f aca="false">C273*(E273-D273+H273-G273-I273)</f>
        <v>0</v>
      </c>
      <c r="L273" s="13" t="str">
        <f aca="false">IF(J273=0,"",C273*F273/J273)</f>
        <v/>
      </c>
      <c r="M273" s="13" t="str">
        <f aca="false">IF(J273=0,"",K273/J273)</f>
        <v/>
      </c>
      <c r="N273" s="13" t="str">
        <f aca="false">IF(J273=0,"",L273+M273)</f>
        <v/>
      </c>
    </row>
    <row r="274" customFormat="false" ht="15" hidden="false" customHeight="false" outlineLevel="0" collapsed="false">
      <c r="A274" s="8" t="s">
        <v>22</v>
      </c>
      <c r="B274" s="46" t="n">
        <v>2014</v>
      </c>
      <c r="C274" s="10" t="n">
        <f aca="false">IF(D274&gt;0,1,0)</f>
        <v>0</v>
      </c>
      <c r="D274" s="9" t="n">
        <f aca="false">IF(SUMIFS(Sales!$F$3:$F$500,Sales!$C$3:$C$500,$A274,Sales!$B$3:$B$500,"&lt;="&amp;DATE($B274-1,12,31))&gt;0,0,SUMIFS('Asset Value'!$I$4:$I$500,'Asset Value'!$C$4:$C$500,$A274,'Asset Value'!$B$4:$B$500,$B274-1)/1000)</f>
        <v>0</v>
      </c>
      <c r="E274" s="9" t="n">
        <f aca="false">IF(SUMIFS(Sales!$F$3:$F$500,Sales!$C$3:$C$500,$A274,Sales!$B$3:$B$500,"&gt;="&amp;DATE($B274,1,1),Sales!$B$3:$B$500,"&lt;="&amp;DATE($B274,12,31))&gt;0,SUMIFS(Sales!$F$3:$F$500,Sales!$C$3:$C$500,$A274,Sales!$B$3:$B$500,"&gt;="&amp;DATE($B274,1,1),Sales!$B$3:$B$500,"&lt;="&amp;DATE($B274,12,31))/1000,SUMIFS('Asset Value'!$I$4:$I$500,'Asset Value'!$C$4:$C$500,$A274,'Asset Value'!$B$4:$B$500,$B274)/1000)</f>
        <v>0</v>
      </c>
      <c r="F274" s="9" t="n">
        <f aca="false">SUMIFS(Rent!$G$3:$G$500,Rent!$D$3:$D$500,$A274,Rent!$C$3:$C$500,$B274)/1000</f>
        <v>0</v>
      </c>
      <c r="G274" s="9" t="n">
        <f aca="false">SUMIFS(Costs!$F$3:$F$500,Costs!$C$3:$C$500,$A274,Costs!$B$3:$B$500,"&gt;="&amp;DATE($B274,1,1),Costs!$B$3:$B$500,"&lt;="&amp;DATE($B274,12,31))/1000</f>
        <v>0</v>
      </c>
      <c r="H274" s="9" t="n">
        <f aca="false">SUMIFS('Partial Sales'!$F$3:$F$500,'Partial Sales'!$C$3:$C$500,$A274,'Partial Sales'!$B$3:$B$500,"&gt;="&amp;DATE($B274,1,1),'Partial Sales'!$B$3:$B$500,"&lt;="&amp;DATE($B274,12,31))/1000</f>
        <v>0</v>
      </c>
      <c r="I274" s="9" t="n">
        <f aca="false">SUMIFS('Partial Purchases'!$F$3:$F$500,'Partial Purchases'!$C$3:$C$500,$A274,'Partial Purchases'!$B$3:$B$500,"&gt;="&amp;DATE($B274,1,1),'Partial Purchases'!$B$3:$B$500,"&lt;="&amp;DATE($B274,12,31))/1000</f>
        <v>0</v>
      </c>
      <c r="J274" s="9" t="n">
        <f aca="false">C274*(D274+0.5*(G274-H274+I274-F274))</f>
        <v>0</v>
      </c>
      <c r="K274" s="9" t="n">
        <f aca="false">C274*(E274-D274+H274-G274-I274)</f>
        <v>0</v>
      </c>
      <c r="L274" s="13" t="str">
        <f aca="false">IF(J274=0,"",C274*F274/J274)</f>
        <v/>
      </c>
      <c r="M274" s="13" t="str">
        <f aca="false">IF(J274=0,"",K274/J274)</f>
        <v/>
      </c>
      <c r="N274" s="13" t="str">
        <f aca="false">IF(J274=0,"",L274+M274)</f>
        <v/>
      </c>
    </row>
    <row r="275" customFormat="false" ht="15" hidden="false" customHeight="false" outlineLevel="0" collapsed="false">
      <c r="A275" s="47" t="s">
        <v>22</v>
      </c>
      <c r="B275" s="48" t="n">
        <v>2015</v>
      </c>
      <c r="C275" s="49" t="n">
        <f aca="false">IF(D275&gt;0,1,0)</f>
        <v>0</v>
      </c>
      <c r="D275" s="50" t="n">
        <f aca="false">IF(SUMIFS(Sales!$F$3:$F$500,Sales!$C$3:$C$500,$A275,Sales!$B$3:$B$500,"&lt;="&amp;DATE($B275-1,12,31))&gt;0,0,SUMIFS('Asset Value'!$I$4:$I$500,'Asset Value'!$C$4:$C$500,$A275,'Asset Value'!$B$4:$B$500,$B275-1)/1000)</f>
        <v>0</v>
      </c>
      <c r="E275" s="50" t="n">
        <f aca="false">IF(SUMIFS(Sales!$F$3:$F$500,Sales!$C$3:$C$500,$A275,Sales!$B$3:$B$500,"&gt;="&amp;DATE($B275,1,1),Sales!$B$3:$B$500,"&lt;="&amp;DATE($B275,12,31))&gt;0,SUMIFS(Sales!$F$3:$F$500,Sales!$C$3:$C$500,$A275,Sales!$B$3:$B$500,"&gt;="&amp;DATE($B275,1,1),Sales!$B$3:$B$500,"&lt;="&amp;DATE($B275,12,31))/1000,SUMIFS('Asset Value'!$I$4:$I$500,'Asset Value'!$C$4:$C$500,$A275,'Asset Value'!$B$4:$B$500,$B275)/1000)</f>
        <v>0</v>
      </c>
      <c r="F275" s="50" t="n">
        <f aca="false">SUMIFS(Rent!$G$3:$G$500,Rent!$D$3:$D$500,$A275,Rent!$C$3:$C$500,$B275)/1000</f>
        <v>0</v>
      </c>
      <c r="G275" s="50" t="n">
        <f aca="false">SUMIFS(Costs!$F$3:$F$500,Costs!$C$3:$C$500,$A275,Costs!$B$3:$B$500,"&gt;="&amp;DATE($B275,1,1),Costs!$B$3:$B$500,"&lt;="&amp;DATE($B275,12,31))/1000</f>
        <v>0</v>
      </c>
      <c r="H275" s="50" t="n">
        <f aca="false">SUMIFS('Partial Sales'!$F$3:$F$500,'Partial Sales'!$C$3:$C$500,$A275,'Partial Sales'!$B$3:$B$500,"&gt;="&amp;DATE($B275,1,1),'Partial Sales'!$B$3:$B$500,"&lt;="&amp;DATE($B275,12,31))/1000</f>
        <v>0</v>
      </c>
      <c r="I275" s="50" t="n">
        <f aca="false">SUMIFS('Partial Purchases'!$F$3:$F$500,'Partial Purchases'!$C$3:$C$500,$A275,'Partial Purchases'!$B$3:$B$500,"&gt;="&amp;DATE($B275,1,1),'Partial Purchases'!$B$3:$B$500,"&lt;="&amp;DATE($B275,12,31))/1000</f>
        <v>0</v>
      </c>
      <c r="J275" s="50" t="n">
        <f aca="false">C275*(D275+0.5*(G275-H275+I275-F275))</f>
        <v>0</v>
      </c>
      <c r="K275" s="50" t="n">
        <f aca="false">C275*(E275-D275+H275-G275-I275)</f>
        <v>0</v>
      </c>
      <c r="L275" s="44" t="str">
        <f aca="false">IF(J275=0,"",C275*F275/J275)</f>
        <v/>
      </c>
      <c r="M275" s="44" t="str">
        <f aca="false">IF(J275=0,"",K275/J275)</f>
        <v/>
      </c>
      <c r="N275" s="44" t="str">
        <f aca="false">IF(J275=0,"",L275+M275)</f>
        <v/>
      </c>
    </row>
    <row r="276" customFormat="false" ht="15" hidden="false" customHeight="false" outlineLevel="0" collapsed="false">
      <c r="A276" s="8" t="s">
        <v>23</v>
      </c>
      <c r="B276" s="46" t="n">
        <v>2008</v>
      </c>
      <c r="C276" s="10" t="n">
        <f aca="false">IF(D276&gt;0,1,0)</f>
        <v>0</v>
      </c>
      <c r="D276" s="9" t="n">
        <f aca="false">IF(SUMIFS(Sales!$F$3:$F$500,Sales!$C$3:$C$500,$A276,Sales!$B$3:$B$500,"&lt;="&amp;DATE($B276-1,12,31))&gt;0,0,SUMIFS('Asset Value'!$I$4:$I$500,'Asset Value'!$C$4:$C$500,$A276,'Asset Value'!$B$4:$B$500,$B276-1)/1000)</f>
        <v>0</v>
      </c>
      <c r="E276" s="9" t="n">
        <f aca="false">IF(SUMIFS(Sales!$F$3:$F$500,Sales!$C$3:$C$500,$A276,Sales!$B$3:$B$500,"&gt;="&amp;DATE($B276,1,1),Sales!$B$3:$B$500,"&lt;="&amp;DATE($B276,12,31))&gt;0,SUMIFS(Sales!$F$3:$F$500,Sales!$C$3:$C$500,$A276,Sales!$B$3:$B$500,"&gt;="&amp;DATE($B276,1,1),Sales!$B$3:$B$500,"&lt;="&amp;DATE($B276,12,31))/1000,SUMIFS('Asset Value'!$I$4:$I$500,'Asset Value'!$C$4:$C$500,$A276,'Asset Value'!$B$4:$B$500,$B276)/1000)</f>
        <v>0</v>
      </c>
      <c r="F276" s="9" t="n">
        <f aca="false">SUMIFS(Rent!$G$3:$G$500,Rent!$D$3:$D$500,$A276,Rent!$C$3:$C$500,$B276)/1000</f>
        <v>0</v>
      </c>
      <c r="G276" s="9" t="n">
        <f aca="false">SUMIFS(Costs!$F$3:$F$500,Costs!$C$3:$C$500,$A276,Costs!$B$3:$B$500,"&gt;="&amp;DATE($B276,1,1),Costs!$B$3:$B$500,"&lt;="&amp;DATE($B276,12,31))/1000</f>
        <v>0</v>
      </c>
      <c r="H276" s="9" t="n">
        <f aca="false">SUMIFS('Partial Sales'!$F$3:$F$500,'Partial Sales'!$C$3:$C$500,$A276,'Partial Sales'!$B$3:$B$500,"&gt;="&amp;DATE($B276,1,1),'Partial Sales'!$B$3:$B$500,"&lt;="&amp;DATE($B276,12,31))/1000</f>
        <v>0</v>
      </c>
      <c r="I276" s="9" t="n">
        <f aca="false">SUMIFS('Partial Purchases'!$F$3:$F$500,'Partial Purchases'!$C$3:$C$500,$A276,'Partial Purchases'!$B$3:$B$500,"&gt;="&amp;DATE($B276,1,1),'Partial Purchases'!$B$3:$B$500,"&lt;="&amp;DATE($B276,12,31))/1000</f>
        <v>0</v>
      </c>
      <c r="J276" s="9" t="n">
        <f aca="false">C276*(D276+0.5*(G276-H276+I276-F276))</f>
        <v>0</v>
      </c>
      <c r="K276" s="9" t="n">
        <f aca="false">C276*(E276-D276+H276-G276-I276)</f>
        <v>0</v>
      </c>
      <c r="L276" s="13" t="str">
        <f aca="false">IF(J276=0,"",C276*F276/J276)</f>
        <v/>
      </c>
      <c r="M276" s="13" t="str">
        <f aca="false">IF(J276=0,"",K276/J276)</f>
        <v/>
      </c>
      <c r="N276" s="13" t="str">
        <f aca="false">IF(J276=0,"",L276+M276)</f>
        <v/>
      </c>
    </row>
    <row r="277" customFormat="false" ht="15" hidden="false" customHeight="false" outlineLevel="0" collapsed="false">
      <c r="A277" s="8" t="s">
        <v>23</v>
      </c>
      <c r="B277" s="46" t="n">
        <v>2009</v>
      </c>
      <c r="C277" s="10" t="n">
        <f aca="false">IF(D277&gt;0,1,0)</f>
        <v>0</v>
      </c>
      <c r="D277" s="9" t="n">
        <f aca="false">IF(SUMIFS(Sales!$F$3:$F$500,Sales!$C$3:$C$500,$A277,Sales!$B$3:$B$500,"&lt;="&amp;DATE($B277-1,12,31))&gt;0,0,SUMIFS('Asset Value'!$I$4:$I$500,'Asset Value'!$C$4:$C$500,$A277,'Asset Value'!$B$4:$B$500,$B277-1)/1000)</f>
        <v>0</v>
      </c>
      <c r="E277" s="9" t="n">
        <f aca="false">IF(SUMIFS(Sales!$F$3:$F$500,Sales!$C$3:$C$500,$A277,Sales!$B$3:$B$500,"&gt;="&amp;DATE($B277,1,1),Sales!$B$3:$B$500,"&lt;="&amp;DATE($B277,12,31))&gt;0,SUMIFS(Sales!$F$3:$F$500,Sales!$C$3:$C$500,$A277,Sales!$B$3:$B$500,"&gt;="&amp;DATE($B277,1,1),Sales!$B$3:$B$500,"&lt;="&amp;DATE($B277,12,31))/1000,SUMIFS('Asset Value'!$I$4:$I$500,'Asset Value'!$C$4:$C$500,$A277,'Asset Value'!$B$4:$B$500,$B277)/1000)</f>
        <v>0</v>
      </c>
      <c r="F277" s="9" t="n">
        <f aca="false">SUMIFS(Rent!$G$3:$G$500,Rent!$D$3:$D$500,$A277,Rent!$C$3:$C$500,$B277)/1000</f>
        <v>0</v>
      </c>
      <c r="G277" s="9" t="n">
        <f aca="false">SUMIFS(Costs!$F$3:$F$500,Costs!$C$3:$C$500,$A277,Costs!$B$3:$B$500,"&gt;="&amp;DATE($B277,1,1),Costs!$B$3:$B$500,"&lt;="&amp;DATE($B277,12,31))/1000</f>
        <v>0</v>
      </c>
      <c r="H277" s="9" t="n">
        <f aca="false">SUMIFS('Partial Sales'!$F$3:$F$500,'Partial Sales'!$C$3:$C$500,$A277,'Partial Sales'!$B$3:$B$500,"&gt;="&amp;DATE($B277,1,1),'Partial Sales'!$B$3:$B$500,"&lt;="&amp;DATE($B277,12,31))/1000</f>
        <v>0</v>
      </c>
      <c r="I277" s="9" t="n">
        <f aca="false">SUMIFS('Partial Purchases'!$F$3:$F$500,'Partial Purchases'!$C$3:$C$500,$A277,'Partial Purchases'!$B$3:$B$500,"&gt;="&amp;DATE($B277,1,1),'Partial Purchases'!$B$3:$B$500,"&lt;="&amp;DATE($B277,12,31))/1000</f>
        <v>0</v>
      </c>
      <c r="J277" s="9" t="n">
        <f aca="false">C277*(D277+0.5*(G277-H277+I277-F277))</f>
        <v>0</v>
      </c>
      <c r="K277" s="9" t="n">
        <f aca="false">C277*(E277-D277+H277-G277-I277)</f>
        <v>0</v>
      </c>
      <c r="L277" s="13" t="str">
        <f aca="false">IF(J277=0,"",C277*F277/J277)</f>
        <v/>
      </c>
      <c r="M277" s="13" t="str">
        <f aca="false">IF(J277=0,"",K277/J277)</f>
        <v/>
      </c>
      <c r="N277" s="13" t="str">
        <f aca="false">IF(J277=0,"",L277+M277)</f>
        <v/>
      </c>
    </row>
    <row r="278" customFormat="false" ht="15" hidden="false" customHeight="false" outlineLevel="0" collapsed="false">
      <c r="A278" s="8" t="s">
        <v>23</v>
      </c>
      <c r="B278" s="46" t="n">
        <v>2010</v>
      </c>
      <c r="C278" s="10" t="n">
        <f aca="false">IF(D278&gt;0,1,0)</f>
        <v>0</v>
      </c>
      <c r="D278" s="9" t="n">
        <f aca="false">IF(SUMIFS(Sales!$F$3:$F$500,Sales!$C$3:$C$500,$A278,Sales!$B$3:$B$500,"&lt;="&amp;DATE($B278-1,12,31))&gt;0,0,SUMIFS('Asset Value'!$I$4:$I$500,'Asset Value'!$C$4:$C$500,$A278,'Asset Value'!$B$4:$B$500,$B278-1)/1000)</f>
        <v>0</v>
      </c>
      <c r="E278" s="9" t="n">
        <f aca="false">IF(SUMIFS(Sales!$F$3:$F$500,Sales!$C$3:$C$500,$A278,Sales!$B$3:$B$500,"&gt;="&amp;DATE($B278,1,1),Sales!$B$3:$B$500,"&lt;="&amp;DATE($B278,12,31))&gt;0,SUMIFS(Sales!$F$3:$F$500,Sales!$C$3:$C$500,$A278,Sales!$B$3:$B$500,"&gt;="&amp;DATE($B278,1,1),Sales!$B$3:$B$500,"&lt;="&amp;DATE($B278,12,31))/1000,SUMIFS('Asset Value'!$I$4:$I$500,'Asset Value'!$C$4:$C$500,$A278,'Asset Value'!$B$4:$B$500,$B278)/1000)</f>
        <v>0</v>
      </c>
      <c r="F278" s="9" t="n">
        <f aca="false">SUMIFS(Rent!$G$3:$G$500,Rent!$D$3:$D$500,$A278,Rent!$C$3:$C$500,$B278)/1000</f>
        <v>0</v>
      </c>
      <c r="G278" s="9" t="n">
        <f aca="false">SUMIFS(Costs!$F$3:$F$500,Costs!$C$3:$C$500,$A278,Costs!$B$3:$B$500,"&gt;="&amp;DATE($B278,1,1),Costs!$B$3:$B$500,"&lt;="&amp;DATE($B278,12,31))/1000</f>
        <v>0</v>
      </c>
      <c r="H278" s="9" t="n">
        <f aca="false">SUMIFS('Partial Sales'!$F$3:$F$500,'Partial Sales'!$C$3:$C$500,$A278,'Partial Sales'!$B$3:$B$500,"&gt;="&amp;DATE($B278,1,1),'Partial Sales'!$B$3:$B$500,"&lt;="&amp;DATE($B278,12,31))/1000</f>
        <v>0</v>
      </c>
      <c r="I278" s="9" t="n">
        <f aca="false">SUMIFS('Partial Purchases'!$F$3:$F$500,'Partial Purchases'!$C$3:$C$500,$A278,'Partial Purchases'!$B$3:$B$500,"&gt;="&amp;DATE($B278,1,1),'Partial Purchases'!$B$3:$B$500,"&lt;="&amp;DATE($B278,12,31))/1000</f>
        <v>0</v>
      </c>
      <c r="J278" s="9" t="n">
        <f aca="false">C278*(D278+0.5*(G278-H278+I278-F278))</f>
        <v>0</v>
      </c>
      <c r="K278" s="9" t="n">
        <f aca="false">C278*(E278-D278+H278-G278-I278)</f>
        <v>0</v>
      </c>
      <c r="L278" s="13" t="str">
        <f aca="false">IF(J278=0,"",C278*F278/J278)</f>
        <v/>
      </c>
      <c r="M278" s="13" t="str">
        <f aca="false">IF(J278=0,"",K278/J278)</f>
        <v/>
      </c>
      <c r="N278" s="13" t="str">
        <f aca="false">IF(J278=0,"",L278+M278)</f>
        <v/>
      </c>
    </row>
    <row r="279" customFormat="false" ht="15" hidden="false" customHeight="false" outlineLevel="0" collapsed="false">
      <c r="A279" s="8" t="s">
        <v>23</v>
      </c>
      <c r="B279" s="46" t="n">
        <v>2011</v>
      </c>
      <c r="C279" s="10" t="n">
        <f aca="false">IF(D279&gt;0,1,0)</f>
        <v>0</v>
      </c>
      <c r="D279" s="9" t="n">
        <f aca="false">IF(SUMIFS(Sales!$F$3:$F$500,Sales!$C$3:$C$500,$A279,Sales!$B$3:$B$500,"&lt;="&amp;DATE($B279-1,12,31))&gt;0,0,SUMIFS('Asset Value'!$I$4:$I$500,'Asset Value'!$C$4:$C$500,$A279,'Asset Value'!$B$4:$B$500,$B279-1)/1000)</f>
        <v>0</v>
      </c>
      <c r="E279" s="9" t="n">
        <f aca="false">IF(SUMIFS(Sales!$F$3:$F$500,Sales!$C$3:$C$500,$A279,Sales!$B$3:$B$500,"&gt;="&amp;DATE($B279,1,1),Sales!$B$3:$B$500,"&lt;="&amp;DATE($B279,12,31))&gt;0,SUMIFS(Sales!$F$3:$F$500,Sales!$C$3:$C$500,$A279,Sales!$B$3:$B$500,"&gt;="&amp;DATE($B279,1,1),Sales!$B$3:$B$500,"&lt;="&amp;DATE($B279,12,31))/1000,SUMIFS('Asset Value'!$I$4:$I$500,'Asset Value'!$C$4:$C$500,$A279,'Asset Value'!$B$4:$B$500,$B279)/1000)</f>
        <v>0</v>
      </c>
      <c r="F279" s="9" t="n">
        <f aca="false">SUMIFS(Rent!$G$3:$G$500,Rent!$D$3:$D$500,$A279,Rent!$C$3:$C$500,$B279)/1000</f>
        <v>0</v>
      </c>
      <c r="G279" s="9" t="n">
        <f aca="false">SUMIFS(Costs!$F$3:$F$500,Costs!$C$3:$C$500,$A279,Costs!$B$3:$B$500,"&gt;="&amp;DATE($B279,1,1),Costs!$B$3:$B$500,"&lt;="&amp;DATE($B279,12,31))/1000</f>
        <v>0</v>
      </c>
      <c r="H279" s="9" t="n">
        <f aca="false">SUMIFS('Partial Sales'!$F$3:$F$500,'Partial Sales'!$C$3:$C$500,$A279,'Partial Sales'!$B$3:$B$500,"&gt;="&amp;DATE($B279,1,1),'Partial Sales'!$B$3:$B$500,"&lt;="&amp;DATE($B279,12,31))/1000</f>
        <v>0</v>
      </c>
      <c r="I279" s="9" t="n">
        <f aca="false">SUMIFS('Partial Purchases'!$F$3:$F$500,'Partial Purchases'!$C$3:$C$500,$A279,'Partial Purchases'!$B$3:$B$500,"&gt;="&amp;DATE($B279,1,1),'Partial Purchases'!$B$3:$B$500,"&lt;="&amp;DATE($B279,12,31))/1000</f>
        <v>0</v>
      </c>
      <c r="J279" s="9" t="n">
        <f aca="false">C279*(D279+0.5*(G279-H279+I279-F279))</f>
        <v>0</v>
      </c>
      <c r="K279" s="9" t="n">
        <f aca="false">C279*(E279-D279+H279-G279-I279)</f>
        <v>0</v>
      </c>
      <c r="L279" s="13" t="str">
        <f aca="false">IF(J279=0,"",C279*F279/J279)</f>
        <v/>
      </c>
      <c r="M279" s="13" t="str">
        <f aca="false">IF(J279=0,"",K279/J279)</f>
        <v/>
      </c>
      <c r="N279" s="13" t="str">
        <f aca="false">IF(J279=0,"",L279+M279)</f>
        <v/>
      </c>
    </row>
    <row r="280" customFormat="false" ht="15" hidden="false" customHeight="false" outlineLevel="0" collapsed="false">
      <c r="A280" s="8" t="s">
        <v>23</v>
      </c>
      <c r="B280" s="46" t="n">
        <v>2012</v>
      </c>
      <c r="C280" s="10" t="n">
        <f aca="false">IF(D280&gt;0,1,0)</f>
        <v>0</v>
      </c>
      <c r="D280" s="9" t="n">
        <f aca="false">IF(SUMIFS(Sales!$F$3:$F$500,Sales!$C$3:$C$500,$A280,Sales!$B$3:$B$500,"&lt;="&amp;DATE($B280-1,12,31))&gt;0,0,SUMIFS('Asset Value'!$I$4:$I$500,'Asset Value'!$C$4:$C$500,$A280,'Asset Value'!$B$4:$B$500,$B280-1)/1000)</f>
        <v>0</v>
      </c>
      <c r="E280" s="9" t="n">
        <f aca="false">IF(SUMIFS(Sales!$F$3:$F$500,Sales!$C$3:$C$500,$A280,Sales!$B$3:$B$500,"&gt;="&amp;DATE($B280,1,1),Sales!$B$3:$B$500,"&lt;="&amp;DATE($B280,12,31))&gt;0,SUMIFS(Sales!$F$3:$F$500,Sales!$C$3:$C$500,$A280,Sales!$B$3:$B$500,"&gt;="&amp;DATE($B280,1,1),Sales!$B$3:$B$500,"&lt;="&amp;DATE($B280,12,31))/1000,SUMIFS('Asset Value'!$I$4:$I$500,'Asset Value'!$C$4:$C$500,$A280,'Asset Value'!$B$4:$B$500,$B280)/1000)</f>
        <v>0</v>
      </c>
      <c r="F280" s="9" t="n">
        <f aca="false">SUMIFS(Rent!$G$3:$G$500,Rent!$D$3:$D$500,$A280,Rent!$C$3:$C$500,$B280)/1000</f>
        <v>0</v>
      </c>
      <c r="G280" s="9" t="n">
        <f aca="false">SUMIFS(Costs!$F$3:$F$500,Costs!$C$3:$C$500,$A280,Costs!$B$3:$B$500,"&gt;="&amp;DATE($B280,1,1),Costs!$B$3:$B$500,"&lt;="&amp;DATE($B280,12,31))/1000</f>
        <v>0</v>
      </c>
      <c r="H280" s="9" t="n">
        <f aca="false">SUMIFS('Partial Sales'!$F$3:$F$500,'Partial Sales'!$C$3:$C$500,$A280,'Partial Sales'!$B$3:$B$500,"&gt;="&amp;DATE($B280,1,1),'Partial Sales'!$B$3:$B$500,"&lt;="&amp;DATE($B280,12,31))/1000</f>
        <v>0</v>
      </c>
      <c r="I280" s="9" t="n">
        <f aca="false">SUMIFS('Partial Purchases'!$F$3:$F$500,'Partial Purchases'!$C$3:$C$500,$A280,'Partial Purchases'!$B$3:$B$500,"&gt;="&amp;DATE($B280,1,1),'Partial Purchases'!$B$3:$B$500,"&lt;="&amp;DATE($B280,12,31))/1000</f>
        <v>0</v>
      </c>
      <c r="J280" s="9" t="n">
        <f aca="false">C280*(D280+0.5*(G280-H280+I280-F280))</f>
        <v>0</v>
      </c>
      <c r="K280" s="9" t="n">
        <f aca="false">C280*(E280-D280+H280-G280-I280)</f>
        <v>0</v>
      </c>
      <c r="L280" s="13" t="str">
        <f aca="false">IF(J280=0,"",C280*F280/J280)</f>
        <v/>
      </c>
      <c r="M280" s="13" t="str">
        <f aca="false">IF(J280=0,"",K280/J280)</f>
        <v/>
      </c>
      <c r="N280" s="13" t="str">
        <f aca="false">IF(J280=0,"",L280+M280)</f>
        <v/>
      </c>
    </row>
    <row r="281" customFormat="false" ht="15" hidden="false" customHeight="false" outlineLevel="0" collapsed="false">
      <c r="A281" s="8" t="s">
        <v>23</v>
      </c>
      <c r="B281" s="46" t="n">
        <v>2013</v>
      </c>
      <c r="C281" s="10" t="n">
        <f aca="false">IF(D281&gt;0,1,0)</f>
        <v>0</v>
      </c>
      <c r="D281" s="9" t="n">
        <f aca="false">IF(SUMIFS(Sales!$F$3:$F$500,Sales!$C$3:$C$500,$A281,Sales!$B$3:$B$500,"&lt;="&amp;DATE($B281-1,12,31))&gt;0,0,SUMIFS('Asset Value'!$I$4:$I$500,'Asset Value'!$C$4:$C$500,$A281,'Asset Value'!$B$4:$B$500,$B281-1)/1000)</f>
        <v>0</v>
      </c>
      <c r="E281" s="9" t="n">
        <f aca="false">IF(SUMIFS(Sales!$F$3:$F$500,Sales!$C$3:$C$500,$A281,Sales!$B$3:$B$500,"&gt;="&amp;DATE($B281,1,1),Sales!$B$3:$B$500,"&lt;="&amp;DATE($B281,12,31))&gt;0,SUMIFS(Sales!$F$3:$F$500,Sales!$C$3:$C$500,$A281,Sales!$B$3:$B$500,"&gt;="&amp;DATE($B281,1,1),Sales!$B$3:$B$500,"&lt;="&amp;DATE($B281,12,31))/1000,SUMIFS('Asset Value'!$I$4:$I$500,'Asset Value'!$C$4:$C$500,$A281,'Asset Value'!$B$4:$B$500,$B281)/1000)</f>
        <v>0</v>
      </c>
      <c r="F281" s="9" t="n">
        <f aca="false">SUMIFS(Rent!$G$3:$G$500,Rent!$D$3:$D$500,$A281,Rent!$C$3:$C$500,$B281)/1000</f>
        <v>0</v>
      </c>
      <c r="G281" s="9" t="n">
        <f aca="false">SUMIFS(Costs!$F$3:$F$500,Costs!$C$3:$C$500,$A281,Costs!$B$3:$B$500,"&gt;="&amp;DATE($B281,1,1),Costs!$B$3:$B$500,"&lt;="&amp;DATE($B281,12,31))/1000</f>
        <v>0</v>
      </c>
      <c r="H281" s="9" t="n">
        <f aca="false">SUMIFS('Partial Sales'!$F$3:$F$500,'Partial Sales'!$C$3:$C$500,$A281,'Partial Sales'!$B$3:$B$500,"&gt;="&amp;DATE($B281,1,1),'Partial Sales'!$B$3:$B$500,"&lt;="&amp;DATE($B281,12,31))/1000</f>
        <v>0</v>
      </c>
      <c r="I281" s="9" t="n">
        <f aca="false">SUMIFS('Partial Purchases'!$F$3:$F$500,'Partial Purchases'!$C$3:$C$500,$A281,'Partial Purchases'!$B$3:$B$500,"&gt;="&amp;DATE($B281,1,1),'Partial Purchases'!$B$3:$B$500,"&lt;="&amp;DATE($B281,12,31))/1000</f>
        <v>0</v>
      </c>
      <c r="J281" s="9" t="n">
        <f aca="false">C281*(D281+0.5*(G281-H281+I281-F281))</f>
        <v>0</v>
      </c>
      <c r="K281" s="9" t="n">
        <f aca="false">C281*(E281-D281+H281-G281-I281)</f>
        <v>0</v>
      </c>
      <c r="L281" s="13" t="str">
        <f aca="false">IF(J281=0,"",C281*F281/J281)</f>
        <v/>
      </c>
      <c r="M281" s="13" t="str">
        <f aca="false">IF(J281=0,"",K281/J281)</f>
        <v/>
      </c>
      <c r="N281" s="13" t="str">
        <f aca="false">IF(J281=0,"",L281+M281)</f>
        <v/>
      </c>
    </row>
    <row r="282" customFormat="false" ht="15" hidden="false" customHeight="false" outlineLevel="0" collapsed="false">
      <c r="A282" s="8" t="s">
        <v>23</v>
      </c>
      <c r="B282" s="46" t="n">
        <v>2014</v>
      </c>
      <c r="C282" s="10" t="n">
        <f aca="false">IF(D282&gt;0,1,0)</f>
        <v>0</v>
      </c>
      <c r="D282" s="9" t="n">
        <f aca="false">IF(SUMIFS(Sales!$F$3:$F$500,Sales!$C$3:$C$500,$A282,Sales!$B$3:$B$500,"&lt;="&amp;DATE($B282-1,12,31))&gt;0,0,SUMIFS('Asset Value'!$I$4:$I$500,'Asset Value'!$C$4:$C$500,$A282,'Asset Value'!$B$4:$B$500,$B282-1)/1000)</f>
        <v>0</v>
      </c>
      <c r="E282" s="9" t="n">
        <f aca="false">IF(SUMIFS(Sales!$F$3:$F$500,Sales!$C$3:$C$500,$A282,Sales!$B$3:$B$500,"&gt;="&amp;DATE($B282,1,1),Sales!$B$3:$B$500,"&lt;="&amp;DATE($B282,12,31))&gt;0,SUMIFS(Sales!$F$3:$F$500,Sales!$C$3:$C$500,$A282,Sales!$B$3:$B$500,"&gt;="&amp;DATE($B282,1,1),Sales!$B$3:$B$500,"&lt;="&amp;DATE($B282,12,31))/1000,SUMIFS('Asset Value'!$I$4:$I$500,'Asset Value'!$C$4:$C$500,$A282,'Asset Value'!$B$4:$B$500,$B282)/1000)</f>
        <v>0</v>
      </c>
      <c r="F282" s="9" t="n">
        <f aca="false">SUMIFS(Rent!$G$3:$G$500,Rent!$D$3:$D$500,$A282,Rent!$C$3:$C$500,$B282)/1000</f>
        <v>0</v>
      </c>
      <c r="G282" s="9" t="n">
        <f aca="false">SUMIFS(Costs!$F$3:$F$500,Costs!$C$3:$C$500,$A282,Costs!$B$3:$B$500,"&gt;="&amp;DATE($B282,1,1),Costs!$B$3:$B$500,"&lt;="&amp;DATE($B282,12,31))/1000</f>
        <v>0</v>
      </c>
      <c r="H282" s="9" t="n">
        <f aca="false">SUMIFS('Partial Sales'!$F$3:$F$500,'Partial Sales'!$C$3:$C$500,$A282,'Partial Sales'!$B$3:$B$500,"&gt;="&amp;DATE($B282,1,1),'Partial Sales'!$B$3:$B$500,"&lt;="&amp;DATE($B282,12,31))/1000</f>
        <v>0</v>
      </c>
      <c r="I282" s="9" t="n">
        <f aca="false">SUMIFS('Partial Purchases'!$F$3:$F$500,'Partial Purchases'!$C$3:$C$500,$A282,'Partial Purchases'!$B$3:$B$500,"&gt;="&amp;DATE($B282,1,1),'Partial Purchases'!$B$3:$B$500,"&lt;="&amp;DATE($B282,12,31))/1000</f>
        <v>0</v>
      </c>
      <c r="J282" s="9" t="n">
        <f aca="false">C282*(D282+0.5*(G282-H282+I282-F282))</f>
        <v>0</v>
      </c>
      <c r="K282" s="9" t="n">
        <f aca="false">C282*(E282-D282+H282-G282-I282)</f>
        <v>0</v>
      </c>
      <c r="L282" s="13" t="str">
        <f aca="false">IF(J282=0,"",C282*F282/J282)</f>
        <v/>
      </c>
      <c r="M282" s="13" t="str">
        <f aca="false">IF(J282=0,"",K282/J282)</f>
        <v/>
      </c>
      <c r="N282" s="13" t="str">
        <f aca="false">IF(J282=0,"",L282+M282)</f>
        <v/>
      </c>
    </row>
    <row r="283" customFormat="false" ht="15" hidden="false" customHeight="false" outlineLevel="0" collapsed="false">
      <c r="A283" s="47" t="s">
        <v>23</v>
      </c>
      <c r="B283" s="48" t="n">
        <v>2015</v>
      </c>
      <c r="C283" s="49" t="n">
        <f aca="false">IF(D283&gt;0,1,0)</f>
        <v>0</v>
      </c>
      <c r="D283" s="50" t="n">
        <f aca="false">IF(SUMIFS(Sales!$F$3:$F$500,Sales!$C$3:$C$500,$A283,Sales!$B$3:$B$500,"&lt;="&amp;DATE($B283-1,12,31))&gt;0,0,SUMIFS('Asset Value'!$I$4:$I$500,'Asset Value'!$C$4:$C$500,$A283,'Asset Value'!$B$4:$B$500,$B283-1)/1000)</f>
        <v>0</v>
      </c>
      <c r="E283" s="50" t="n">
        <f aca="false">IF(SUMIFS(Sales!$F$3:$F$500,Sales!$C$3:$C$500,$A283,Sales!$B$3:$B$500,"&gt;="&amp;DATE($B283,1,1),Sales!$B$3:$B$500,"&lt;="&amp;DATE($B283,12,31))&gt;0,SUMIFS(Sales!$F$3:$F$500,Sales!$C$3:$C$500,$A283,Sales!$B$3:$B$500,"&gt;="&amp;DATE($B283,1,1),Sales!$B$3:$B$500,"&lt;="&amp;DATE($B283,12,31))/1000,SUMIFS('Asset Value'!$I$4:$I$500,'Asset Value'!$C$4:$C$500,$A283,'Asset Value'!$B$4:$B$500,$B283)/1000)</f>
        <v>0</v>
      </c>
      <c r="F283" s="50" t="n">
        <f aca="false">SUMIFS(Rent!$G$3:$G$500,Rent!$D$3:$D$500,$A283,Rent!$C$3:$C$500,$B283)/1000</f>
        <v>0</v>
      </c>
      <c r="G283" s="50" t="n">
        <f aca="false">SUMIFS(Costs!$F$3:$F$500,Costs!$C$3:$C$500,$A283,Costs!$B$3:$B$500,"&gt;="&amp;DATE($B283,1,1),Costs!$B$3:$B$500,"&lt;="&amp;DATE($B283,12,31))/1000</f>
        <v>0</v>
      </c>
      <c r="H283" s="50" t="n">
        <f aca="false">SUMIFS('Partial Sales'!$F$3:$F$500,'Partial Sales'!$C$3:$C$500,$A283,'Partial Sales'!$B$3:$B$500,"&gt;="&amp;DATE($B283,1,1),'Partial Sales'!$B$3:$B$500,"&lt;="&amp;DATE($B283,12,31))/1000</f>
        <v>0</v>
      </c>
      <c r="I283" s="50" t="n">
        <f aca="false">SUMIFS('Partial Purchases'!$F$3:$F$500,'Partial Purchases'!$C$3:$C$500,$A283,'Partial Purchases'!$B$3:$B$500,"&gt;="&amp;DATE($B283,1,1),'Partial Purchases'!$B$3:$B$500,"&lt;="&amp;DATE($B283,12,31))/1000</f>
        <v>0</v>
      </c>
      <c r="J283" s="50" t="n">
        <f aca="false">C283*(D283+0.5*(G283-H283+I283-F283))</f>
        <v>0</v>
      </c>
      <c r="K283" s="50" t="n">
        <f aca="false">C283*(E283-D283+H283-G283-I283)</f>
        <v>0</v>
      </c>
      <c r="L283" s="44" t="str">
        <f aca="false">IF(J283=0,"",C283*F283/J283)</f>
        <v/>
      </c>
      <c r="M283" s="44" t="str">
        <f aca="false">IF(J283=0,"",K283/J283)</f>
        <v/>
      </c>
      <c r="N283" s="44" t="str">
        <f aca="false">IF(J283=0,"",L283+M283)</f>
        <v/>
      </c>
    </row>
    <row r="284" customFormat="false" ht="15" hidden="false" customHeight="false" outlineLevel="0" collapsed="false">
      <c r="A284" s="8" t="s">
        <v>24</v>
      </c>
      <c r="B284" s="46" t="n">
        <v>2008</v>
      </c>
      <c r="C284" s="10" t="n">
        <f aca="false">IF(D284&gt;0,1,0)</f>
        <v>0</v>
      </c>
      <c r="D284" s="9" t="n">
        <f aca="false">IF(SUMIFS(Sales!$F$3:$F$500,Sales!$C$3:$C$500,$A284,Sales!$B$3:$B$500,"&lt;="&amp;DATE($B284-1,12,31))&gt;0,0,SUMIFS('Asset Value'!$I$4:$I$500,'Asset Value'!$C$4:$C$500,$A284,'Asset Value'!$B$4:$B$500,$B284-1)/1000)</f>
        <v>0</v>
      </c>
      <c r="E284" s="9" t="n">
        <f aca="false">IF(SUMIFS(Sales!$F$3:$F$500,Sales!$C$3:$C$500,$A284,Sales!$B$3:$B$500,"&gt;="&amp;DATE($B284,1,1),Sales!$B$3:$B$500,"&lt;="&amp;DATE($B284,12,31))&gt;0,SUMIFS(Sales!$F$3:$F$500,Sales!$C$3:$C$500,$A284,Sales!$B$3:$B$500,"&gt;="&amp;DATE($B284,1,1),Sales!$B$3:$B$500,"&lt;="&amp;DATE($B284,12,31))/1000,SUMIFS('Asset Value'!$I$4:$I$500,'Asset Value'!$C$4:$C$500,$A284,'Asset Value'!$B$4:$B$500,$B284)/1000)</f>
        <v>0</v>
      </c>
      <c r="F284" s="9" t="n">
        <f aca="false">SUMIFS(Rent!$G$3:$G$500,Rent!$D$3:$D$500,$A284,Rent!$C$3:$C$500,$B284)/1000</f>
        <v>0</v>
      </c>
      <c r="G284" s="9" t="n">
        <f aca="false">SUMIFS(Costs!$F$3:$F$500,Costs!$C$3:$C$500,$A284,Costs!$B$3:$B$500,"&gt;="&amp;DATE($B284,1,1),Costs!$B$3:$B$500,"&lt;="&amp;DATE($B284,12,31))/1000</f>
        <v>0</v>
      </c>
      <c r="H284" s="9" t="n">
        <f aca="false">SUMIFS('Partial Sales'!$F$3:$F$500,'Partial Sales'!$C$3:$C$500,$A284,'Partial Sales'!$B$3:$B$500,"&gt;="&amp;DATE($B284,1,1),'Partial Sales'!$B$3:$B$500,"&lt;="&amp;DATE($B284,12,31))/1000</f>
        <v>0</v>
      </c>
      <c r="I284" s="9" t="n">
        <f aca="false">SUMIFS('Partial Purchases'!$F$3:$F$500,'Partial Purchases'!$C$3:$C$500,$A284,'Partial Purchases'!$B$3:$B$500,"&gt;="&amp;DATE($B284,1,1),'Partial Purchases'!$B$3:$B$500,"&lt;="&amp;DATE($B284,12,31))/1000</f>
        <v>0</v>
      </c>
      <c r="J284" s="9" t="n">
        <f aca="false">C284*(D284+0.5*(G284-H284+I284-F284))</f>
        <v>0</v>
      </c>
      <c r="K284" s="9" t="n">
        <f aca="false">C284*(E284-D284+H284-G284-I284)</f>
        <v>0</v>
      </c>
      <c r="L284" s="13" t="str">
        <f aca="false">IF(J284=0,"",C284*F284/J284)</f>
        <v/>
      </c>
      <c r="M284" s="13" t="str">
        <f aca="false">IF(J284=0,"",K284/J284)</f>
        <v/>
      </c>
      <c r="N284" s="13" t="str">
        <f aca="false">IF(J284=0,"",L284+M284)</f>
        <v/>
      </c>
    </row>
    <row r="285" customFormat="false" ht="15" hidden="false" customHeight="false" outlineLevel="0" collapsed="false">
      <c r="A285" s="8" t="s">
        <v>24</v>
      </c>
      <c r="B285" s="46" t="n">
        <v>2009</v>
      </c>
      <c r="C285" s="10" t="n">
        <f aca="false">IF(D285&gt;0,1,0)</f>
        <v>0</v>
      </c>
      <c r="D285" s="9" t="n">
        <f aca="false">IF(SUMIFS(Sales!$F$3:$F$500,Sales!$C$3:$C$500,$A285,Sales!$B$3:$B$500,"&lt;="&amp;DATE($B285-1,12,31))&gt;0,0,SUMIFS('Asset Value'!$I$4:$I$500,'Asset Value'!$C$4:$C$500,$A285,'Asset Value'!$B$4:$B$500,$B285-1)/1000)</f>
        <v>0</v>
      </c>
      <c r="E285" s="9" t="n">
        <f aca="false">IF(SUMIFS(Sales!$F$3:$F$500,Sales!$C$3:$C$500,$A285,Sales!$B$3:$B$500,"&gt;="&amp;DATE($B285,1,1),Sales!$B$3:$B$500,"&lt;="&amp;DATE($B285,12,31))&gt;0,SUMIFS(Sales!$F$3:$F$500,Sales!$C$3:$C$500,$A285,Sales!$B$3:$B$500,"&gt;="&amp;DATE($B285,1,1),Sales!$B$3:$B$500,"&lt;="&amp;DATE($B285,12,31))/1000,SUMIFS('Asset Value'!$I$4:$I$500,'Asset Value'!$C$4:$C$500,$A285,'Asset Value'!$B$4:$B$500,$B285)/1000)</f>
        <v>0</v>
      </c>
      <c r="F285" s="9" t="n">
        <f aca="false">SUMIFS(Rent!$G$3:$G$500,Rent!$D$3:$D$500,$A285,Rent!$C$3:$C$500,$B285)/1000</f>
        <v>0</v>
      </c>
      <c r="G285" s="9" t="n">
        <f aca="false">SUMIFS(Costs!$F$3:$F$500,Costs!$C$3:$C$500,$A285,Costs!$B$3:$B$500,"&gt;="&amp;DATE($B285,1,1),Costs!$B$3:$B$500,"&lt;="&amp;DATE($B285,12,31))/1000</f>
        <v>0</v>
      </c>
      <c r="H285" s="9" t="n">
        <f aca="false">SUMIFS('Partial Sales'!$F$3:$F$500,'Partial Sales'!$C$3:$C$500,$A285,'Partial Sales'!$B$3:$B$500,"&gt;="&amp;DATE($B285,1,1),'Partial Sales'!$B$3:$B$500,"&lt;="&amp;DATE($B285,12,31))/1000</f>
        <v>0</v>
      </c>
      <c r="I285" s="9" t="n">
        <f aca="false">SUMIFS('Partial Purchases'!$F$3:$F$500,'Partial Purchases'!$C$3:$C$500,$A285,'Partial Purchases'!$B$3:$B$500,"&gt;="&amp;DATE($B285,1,1),'Partial Purchases'!$B$3:$B$500,"&lt;="&amp;DATE($B285,12,31))/1000</f>
        <v>0</v>
      </c>
      <c r="J285" s="9" t="n">
        <f aca="false">C285*(D285+0.5*(G285-H285+I285-F285))</f>
        <v>0</v>
      </c>
      <c r="K285" s="9" t="n">
        <f aca="false">C285*(E285-D285+H285-G285-I285)</f>
        <v>0</v>
      </c>
      <c r="L285" s="13" t="str">
        <f aca="false">IF(J285=0,"",C285*F285/J285)</f>
        <v/>
      </c>
      <c r="M285" s="13" t="str">
        <f aca="false">IF(J285=0,"",K285/J285)</f>
        <v/>
      </c>
      <c r="N285" s="13" t="str">
        <f aca="false">IF(J285=0,"",L285+M285)</f>
        <v/>
      </c>
    </row>
    <row r="286" customFormat="false" ht="15" hidden="false" customHeight="false" outlineLevel="0" collapsed="false">
      <c r="A286" s="8" t="s">
        <v>24</v>
      </c>
      <c r="B286" s="46" t="n">
        <v>2010</v>
      </c>
      <c r="C286" s="10" t="n">
        <f aca="false">IF(D286&gt;0,1,0)</f>
        <v>0</v>
      </c>
      <c r="D286" s="9" t="n">
        <f aca="false">IF(SUMIFS(Sales!$F$3:$F$500,Sales!$C$3:$C$500,$A286,Sales!$B$3:$B$500,"&lt;="&amp;DATE($B286-1,12,31))&gt;0,0,SUMIFS('Asset Value'!$I$4:$I$500,'Asset Value'!$C$4:$C$500,$A286,'Asset Value'!$B$4:$B$500,$B286-1)/1000)</f>
        <v>0</v>
      </c>
      <c r="E286" s="9" t="n">
        <f aca="false">IF(SUMIFS(Sales!$F$3:$F$500,Sales!$C$3:$C$500,$A286,Sales!$B$3:$B$500,"&gt;="&amp;DATE($B286,1,1),Sales!$B$3:$B$500,"&lt;="&amp;DATE($B286,12,31))&gt;0,SUMIFS(Sales!$F$3:$F$500,Sales!$C$3:$C$500,$A286,Sales!$B$3:$B$500,"&gt;="&amp;DATE($B286,1,1),Sales!$B$3:$B$500,"&lt;="&amp;DATE($B286,12,31))/1000,SUMIFS('Asset Value'!$I$4:$I$500,'Asset Value'!$C$4:$C$500,$A286,'Asset Value'!$B$4:$B$500,$B286)/1000)</f>
        <v>0</v>
      </c>
      <c r="F286" s="9" t="n">
        <f aca="false">SUMIFS(Rent!$G$3:$G$500,Rent!$D$3:$D$500,$A286,Rent!$C$3:$C$500,$B286)/1000</f>
        <v>0</v>
      </c>
      <c r="G286" s="9" t="n">
        <f aca="false">SUMIFS(Costs!$F$3:$F$500,Costs!$C$3:$C$500,$A286,Costs!$B$3:$B$500,"&gt;="&amp;DATE($B286,1,1),Costs!$B$3:$B$500,"&lt;="&amp;DATE($B286,12,31))/1000</f>
        <v>0</v>
      </c>
      <c r="H286" s="9" t="n">
        <f aca="false">SUMIFS('Partial Sales'!$F$3:$F$500,'Partial Sales'!$C$3:$C$500,$A286,'Partial Sales'!$B$3:$B$500,"&gt;="&amp;DATE($B286,1,1),'Partial Sales'!$B$3:$B$500,"&lt;="&amp;DATE($B286,12,31))/1000</f>
        <v>0</v>
      </c>
      <c r="I286" s="9" t="n">
        <f aca="false">SUMIFS('Partial Purchases'!$F$3:$F$500,'Partial Purchases'!$C$3:$C$500,$A286,'Partial Purchases'!$B$3:$B$500,"&gt;="&amp;DATE($B286,1,1),'Partial Purchases'!$B$3:$B$500,"&lt;="&amp;DATE($B286,12,31))/1000</f>
        <v>0</v>
      </c>
      <c r="J286" s="9" t="n">
        <f aca="false">C286*(D286+0.5*(G286-H286+I286-F286))</f>
        <v>0</v>
      </c>
      <c r="K286" s="9" t="n">
        <f aca="false">C286*(E286-D286+H286-G286-I286)</f>
        <v>0</v>
      </c>
      <c r="L286" s="13" t="str">
        <f aca="false">IF(J286=0,"",C286*F286/J286)</f>
        <v/>
      </c>
      <c r="M286" s="13" t="str">
        <f aca="false">IF(J286=0,"",K286/J286)</f>
        <v/>
      </c>
      <c r="N286" s="13" t="str">
        <f aca="false">IF(J286=0,"",L286+M286)</f>
        <v/>
      </c>
    </row>
    <row r="287" customFormat="false" ht="15" hidden="false" customHeight="false" outlineLevel="0" collapsed="false">
      <c r="A287" s="8" t="s">
        <v>24</v>
      </c>
      <c r="B287" s="46" t="n">
        <v>2011</v>
      </c>
      <c r="C287" s="10" t="n">
        <f aca="false">IF(D287&gt;0,1,0)</f>
        <v>0</v>
      </c>
      <c r="D287" s="9" t="n">
        <f aca="false">IF(SUMIFS(Sales!$F$3:$F$500,Sales!$C$3:$C$500,$A287,Sales!$B$3:$B$500,"&lt;="&amp;DATE($B287-1,12,31))&gt;0,0,SUMIFS('Asset Value'!$I$4:$I$500,'Asset Value'!$C$4:$C$500,$A287,'Asset Value'!$B$4:$B$500,$B287-1)/1000)</f>
        <v>0</v>
      </c>
      <c r="E287" s="9" t="n">
        <f aca="false">IF(SUMIFS(Sales!$F$3:$F$500,Sales!$C$3:$C$500,$A287,Sales!$B$3:$B$500,"&gt;="&amp;DATE($B287,1,1),Sales!$B$3:$B$500,"&lt;="&amp;DATE($B287,12,31))&gt;0,SUMIFS(Sales!$F$3:$F$500,Sales!$C$3:$C$500,$A287,Sales!$B$3:$B$500,"&gt;="&amp;DATE($B287,1,1),Sales!$B$3:$B$500,"&lt;="&amp;DATE($B287,12,31))/1000,SUMIFS('Asset Value'!$I$4:$I$500,'Asset Value'!$C$4:$C$500,$A287,'Asset Value'!$B$4:$B$500,$B287)/1000)</f>
        <v>0</v>
      </c>
      <c r="F287" s="9" t="n">
        <f aca="false">SUMIFS(Rent!$G$3:$G$500,Rent!$D$3:$D$500,$A287,Rent!$C$3:$C$500,$B287)/1000</f>
        <v>0</v>
      </c>
      <c r="G287" s="9" t="n">
        <f aca="false">SUMIFS(Costs!$F$3:$F$500,Costs!$C$3:$C$500,$A287,Costs!$B$3:$B$500,"&gt;="&amp;DATE($B287,1,1),Costs!$B$3:$B$500,"&lt;="&amp;DATE($B287,12,31))/1000</f>
        <v>0</v>
      </c>
      <c r="H287" s="9" t="n">
        <f aca="false">SUMIFS('Partial Sales'!$F$3:$F$500,'Partial Sales'!$C$3:$C$500,$A287,'Partial Sales'!$B$3:$B$500,"&gt;="&amp;DATE($B287,1,1),'Partial Sales'!$B$3:$B$500,"&lt;="&amp;DATE($B287,12,31))/1000</f>
        <v>0</v>
      </c>
      <c r="I287" s="9" t="n">
        <f aca="false">SUMIFS('Partial Purchases'!$F$3:$F$500,'Partial Purchases'!$C$3:$C$500,$A287,'Partial Purchases'!$B$3:$B$500,"&gt;="&amp;DATE($B287,1,1),'Partial Purchases'!$B$3:$B$500,"&lt;="&amp;DATE($B287,12,31))/1000</f>
        <v>0</v>
      </c>
      <c r="J287" s="9" t="n">
        <f aca="false">C287*(D287+0.5*(G287-H287+I287-F287))</f>
        <v>0</v>
      </c>
      <c r="K287" s="9" t="n">
        <f aca="false">C287*(E287-D287+H287-G287-I287)</f>
        <v>0</v>
      </c>
      <c r="L287" s="13" t="str">
        <f aca="false">IF(J287=0,"",C287*F287/J287)</f>
        <v/>
      </c>
      <c r="M287" s="13" t="str">
        <f aca="false">IF(J287=0,"",K287/J287)</f>
        <v/>
      </c>
      <c r="N287" s="13" t="str">
        <f aca="false">IF(J287=0,"",L287+M287)</f>
        <v/>
      </c>
    </row>
    <row r="288" customFormat="false" ht="15" hidden="false" customHeight="false" outlineLevel="0" collapsed="false">
      <c r="A288" s="8" t="s">
        <v>24</v>
      </c>
      <c r="B288" s="46" t="n">
        <v>2012</v>
      </c>
      <c r="C288" s="10" t="n">
        <f aca="false">IF(D288&gt;0,1,0)</f>
        <v>0</v>
      </c>
      <c r="D288" s="9" t="n">
        <f aca="false">IF(SUMIFS(Sales!$F$3:$F$500,Sales!$C$3:$C$500,$A288,Sales!$B$3:$B$500,"&lt;="&amp;DATE($B288-1,12,31))&gt;0,0,SUMIFS('Asset Value'!$I$4:$I$500,'Asset Value'!$C$4:$C$500,$A288,'Asset Value'!$B$4:$B$500,$B288-1)/1000)</f>
        <v>0</v>
      </c>
      <c r="E288" s="9" t="n">
        <f aca="false">IF(SUMIFS(Sales!$F$3:$F$500,Sales!$C$3:$C$500,$A288,Sales!$B$3:$B$500,"&gt;="&amp;DATE($B288,1,1),Sales!$B$3:$B$500,"&lt;="&amp;DATE($B288,12,31))&gt;0,SUMIFS(Sales!$F$3:$F$500,Sales!$C$3:$C$500,$A288,Sales!$B$3:$B$500,"&gt;="&amp;DATE($B288,1,1),Sales!$B$3:$B$500,"&lt;="&amp;DATE($B288,12,31))/1000,SUMIFS('Asset Value'!$I$4:$I$500,'Asset Value'!$C$4:$C$500,$A288,'Asset Value'!$B$4:$B$500,$B288)/1000)</f>
        <v>0</v>
      </c>
      <c r="F288" s="9" t="n">
        <f aca="false">SUMIFS(Rent!$G$3:$G$500,Rent!$D$3:$D$500,$A288,Rent!$C$3:$C$500,$B288)/1000</f>
        <v>0</v>
      </c>
      <c r="G288" s="9" t="n">
        <f aca="false">SUMIFS(Costs!$F$3:$F$500,Costs!$C$3:$C$500,$A288,Costs!$B$3:$B$500,"&gt;="&amp;DATE($B288,1,1),Costs!$B$3:$B$500,"&lt;="&amp;DATE($B288,12,31))/1000</f>
        <v>0</v>
      </c>
      <c r="H288" s="9" t="n">
        <f aca="false">SUMIFS('Partial Sales'!$F$3:$F$500,'Partial Sales'!$C$3:$C$500,$A288,'Partial Sales'!$B$3:$B$500,"&gt;="&amp;DATE($B288,1,1),'Partial Sales'!$B$3:$B$500,"&lt;="&amp;DATE($B288,12,31))/1000</f>
        <v>0</v>
      </c>
      <c r="I288" s="9" t="n">
        <f aca="false">SUMIFS('Partial Purchases'!$F$3:$F$500,'Partial Purchases'!$C$3:$C$500,$A288,'Partial Purchases'!$B$3:$B$500,"&gt;="&amp;DATE($B288,1,1),'Partial Purchases'!$B$3:$B$500,"&lt;="&amp;DATE($B288,12,31))/1000</f>
        <v>0</v>
      </c>
      <c r="J288" s="9" t="n">
        <f aca="false">C288*(D288+0.5*(G288-H288+I288-F288))</f>
        <v>0</v>
      </c>
      <c r="K288" s="9" t="n">
        <f aca="false">C288*(E288-D288+H288-G288-I288)</f>
        <v>0</v>
      </c>
      <c r="L288" s="13" t="str">
        <f aca="false">IF(J288=0,"",C288*F288/J288)</f>
        <v/>
      </c>
      <c r="M288" s="13" t="str">
        <f aca="false">IF(J288=0,"",K288/J288)</f>
        <v/>
      </c>
      <c r="N288" s="13" t="str">
        <f aca="false">IF(J288=0,"",L288+M288)</f>
        <v/>
      </c>
    </row>
    <row r="289" customFormat="false" ht="15" hidden="false" customHeight="false" outlineLevel="0" collapsed="false">
      <c r="A289" s="8" t="s">
        <v>24</v>
      </c>
      <c r="B289" s="46" t="n">
        <v>2013</v>
      </c>
      <c r="C289" s="10" t="n">
        <f aca="false">IF(D289&gt;0,1,0)</f>
        <v>0</v>
      </c>
      <c r="D289" s="9" t="n">
        <f aca="false">IF(SUMIFS(Sales!$F$3:$F$500,Sales!$C$3:$C$500,$A289,Sales!$B$3:$B$500,"&lt;="&amp;DATE($B289-1,12,31))&gt;0,0,SUMIFS('Asset Value'!$I$4:$I$500,'Asset Value'!$C$4:$C$500,$A289,'Asset Value'!$B$4:$B$500,$B289-1)/1000)</f>
        <v>0</v>
      </c>
      <c r="E289" s="9" t="n">
        <f aca="false">IF(SUMIFS(Sales!$F$3:$F$500,Sales!$C$3:$C$500,$A289,Sales!$B$3:$B$500,"&gt;="&amp;DATE($B289,1,1),Sales!$B$3:$B$500,"&lt;="&amp;DATE($B289,12,31))&gt;0,SUMIFS(Sales!$F$3:$F$500,Sales!$C$3:$C$500,$A289,Sales!$B$3:$B$500,"&gt;="&amp;DATE($B289,1,1),Sales!$B$3:$B$500,"&lt;="&amp;DATE($B289,12,31))/1000,SUMIFS('Asset Value'!$I$4:$I$500,'Asset Value'!$C$4:$C$500,$A289,'Asset Value'!$B$4:$B$500,$B289)/1000)</f>
        <v>0</v>
      </c>
      <c r="F289" s="9" t="n">
        <f aca="false">SUMIFS(Rent!$G$3:$G$500,Rent!$D$3:$D$500,$A289,Rent!$C$3:$C$500,$B289)/1000</f>
        <v>0</v>
      </c>
      <c r="G289" s="9" t="n">
        <f aca="false">SUMIFS(Costs!$F$3:$F$500,Costs!$C$3:$C$500,$A289,Costs!$B$3:$B$500,"&gt;="&amp;DATE($B289,1,1),Costs!$B$3:$B$500,"&lt;="&amp;DATE($B289,12,31))/1000</f>
        <v>0</v>
      </c>
      <c r="H289" s="9" t="n">
        <f aca="false">SUMIFS('Partial Sales'!$F$3:$F$500,'Partial Sales'!$C$3:$C$500,$A289,'Partial Sales'!$B$3:$B$500,"&gt;="&amp;DATE($B289,1,1),'Partial Sales'!$B$3:$B$500,"&lt;="&amp;DATE($B289,12,31))/1000</f>
        <v>0</v>
      </c>
      <c r="I289" s="9" t="n">
        <f aca="false">SUMIFS('Partial Purchases'!$F$3:$F$500,'Partial Purchases'!$C$3:$C$500,$A289,'Partial Purchases'!$B$3:$B$500,"&gt;="&amp;DATE($B289,1,1),'Partial Purchases'!$B$3:$B$500,"&lt;="&amp;DATE($B289,12,31))/1000</f>
        <v>0</v>
      </c>
      <c r="J289" s="9" t="n">
        <f aca="false">C289*(D289+0.5*(G289-H289+I289-F289))</f>
        <v>0</v>
      </c>
      <c r="K289" s="9" t="n">
        <f aca="false">C289*(E289-D289+H289-G289-I289)</f>
        <v>0</v>
      </c>
      <c r="L289" s="13" t="str">
        <f aca="false">IF(J289=0,"",C289*F289/J289)</f>
        <v/>
      </c>
      <c r="M289" s="13" t="str">
        <f aca="false">IF(J289=0,"",K289/J289)</f>
        <v/>
      </c>
      <c r="N289" s="13" t="str">
        <f aca="false">IF(J289=0,"",L289+M289)</f>
        <v/>
      </c>
    </row>
    <row r="290" customFormat="false" ht="15" hidden="false" customHeight="false" outlineLevel="0" collapsed="false">
      <c r="A290" s="8" t="s">
        <v>24</v>
      </c>
      <c r="B290" s="46" t="n">
        <v>2014</v>
      </c>
      <c r="C290" s="10" t="n">
        <f aca="false">IF(D290&gt;0,1,0)</f>
        <v>0</v>
      </c>
      <c r="D290" s="9" t="n">
        <f aca="false">IF(SUMIFS(Sales!$F$3:$F$500,Sales!$C$3:$C$500,$A290,Sales!$B$3:$B$500,"&lt;="&amp;DATE($B290-1,12,31))&gt;0,0,SUMIFS('Asset Value'!$I$4:$I$500,'Asset Value'!$C$4:$C$500,$A290,'Asset Value'!$B$4:$B$500,$B290-1)/1000)</f>
        <v>0</v>
      </c>
      <c r="E290" s="9" t="n">
        <f aca="false">IF(SUMIFS(Sales!$F$3:$F$500,Sales!$C$3:$C$500,$A290,Sales!$B$3:$B$500,"&gt;="&amp;DATE($B290,1,1),Sales!$B$3:$B$500,"&lt;="&amp;DATE($B290,12,31))&gt;0,SUMIFS(Sales!$F$3:$F$500,Sales!$C$3:$C$500,$A290,Sales!$B$3:$B$500,"&gt;="&amp;DATE($B290,1,1),Sales!$B$3:$B$500,"&lt;="&amp;DATE($B290,12,31))/1000,SUMIFS('Asset Value'!$I$4:$I$500,'Asset Value'!$C$4:$C$500,$A290,'Asset Value'!$B$4:$B$500,$B290)/1000)</f>
        <v>0</v>
      </c>
      <c r="F290" s="9" t="n">
        <f aca="false">SUMIFS(Rent!$G$3:$G$500,Rent!$D$3:$D$500,$A290,Rent!$C$3:$C$500,$B290)/1000</f>
        <v>0</v>
      </c>
      <c r="G290" s="9" t="n">
        <f aca="false">SUMIFS(Costs!$F$3:$F$500,Costs!$C$3:$C$500,$A290,Costs!$B$3:$B$500,"&gt;="&amp;DATE($B290,1,1),Costs!$B$3:$B$500,"&lt;="&amp;DATE($B290,12,31))/1000</f>
        <v>0</v>
      </c>
      <c r="H290" s="9" t="n">
        <f aca="false">SUMIFS('Partial Sales'!$F$3:$F$500,'Partial Sales'!$C$3:$C$500,$A290,'Partial Sales'!$B$3:$B$500,"&gt;="&amp;DATE($B290,1,1),'Partial Sales'!$B$3:$B$500,"&lt;="&amp;DATE($B290,12,31))/1000</f>
        <v>0</v>
      </c>
      <c r="I290" s="9" t="n">
        <f aca="false">SUMIFS('Partial Purchases'!$F$3:$F$500,'Partial Purchases'!$C$3:$C$500,$A290,'Partial Purchases'!$B$3:$B$500,"&gt;="&amp;DATE($B290,1,1),'Partial Purchases'!$B$3:$B$500,"&lt;="&amp;DATE($B290,12,31))/1000</f>
        <v>0</v>
      </c>
      <c r="J290" s="9" t="n">
        <f aca="false">C290*(D290+0.5*(G290-H290+I290-F290))</f>
        <v>0</v>
      </c>
      <c r="K290" s="9" t="n">
        <f aca="false">C290*(E290-D290+H290-G290-I290)</f>
        <v>0</v>
      </c>
      <c r="L290" s="13" t="str">
        <f aca="false">IF(J290=0,"",C290*F290/J290)</f>
        <v/>
      </c>
      <c r="M290" s="13" t="str">
        <f aca="false">IF(J290=0,"",K290/J290)</f>
        <v/>
      </c>
      <c r="N290" s="13" t="str">
        <f aca="false">IF(J290=0,"",L290+M290)</f>
        <v/>
      </c>
    </row>
    <row r="291" customFormat="false" ht="15" hidden="false" customHeight="false" outlineLevel="0" collapsed="false">
      <c r="A291" s="47" t="s">
        <v>24</v>
      </c>
      <c r="B291" s="48" t="n">
        <v>2015</v>
      </c>
      <c r="C291" s="49" t="n">
        <f aca="false">IF(D291&gt;0,1,0)</f>
        <v>0</v>
      </c>
      <c r="D291" s="50" t="n">
        <f aca="false">IF(SUMIFS(Sales!$F$3:$F$500,Sales!$C$3:$C$500,$A291,Sales!$B$3:$B$500,"&lt;="&amp;DATE($B291-1,12,31))&gt;0,0,SUMIFS('Asset Value'!$I$4:$I$500,'Asset Value'!$C$4:$C$500,$A291,'Asset Value'!$B$4:$B$500,$B291-1)/1000)</f>
        <v>0</v>
      </c>
      <c r="E291" s="50" t="n">
        <f aca="false">IF(SUMIFS(Sales!$F$3:$F$500,Sales!$C$3:$C$500,$A291,Sales!$B$3:$B$500,"&gt;="&amp;DATE($B291,1,1),Sales!$B$3:$B$500,"&lt;="&amp;DATE($B291,12,31))&gt;0,SUMIFS(Sales!$F$3:$F$500,Sales!$C$3:$C$500,$A291,Sales!$B$3:$B$500,"&gt;="&amp;DATE($B291,1,1),Sales!$B$3:$B$500,"&lt;="&amp;DATE($B291,12,31))/1000,SUMIFS('Asset Value'!$I$4:$I$500,'Asset Value'!$C$4:$C$500,$A291,'Asset Value'!$B$4:$B$500,$B291)/1000)</f>
        <v>0</v>
      </c>
      <c r="F291" s="50" t="n">
        <f aca="false">SUMIFS(Rent!$G$3:$G$500,Rent!$D$3:$D$500,$A291,Rent!$C$3:$C$500,$B291)/1000</f>
        <v>0</v>
      </c>
      <c r="G291" s="50" t="n">
        <f aca="false">SUMIFS(Costs!$F$3:$F$500,Costs!$C$3:$C$500,$A291,Costs!$B$3:$B$500,"&gt;="&amp;DATE($B291,1,1),Costs!$B$3:$B$500,"&lt;="&amp;DATE($B291,12,31))/1000</f>
        <v>0</v>
      </c>
      <c r="H291" s="50" t="n">
        <f aca="false">SUMIFS('Partial Sales'!$F$3:$F$500,'Partial Sales'!$C$3:$C$500,$A291,'Partial Sales'!$B$3:$B$500,"&gt;="&amp;DATE($B291,1,1),'Partial Sales'!$B$3:$B$500,"&lt;="&amp;DATE($B291,12,31))/1000</f>
        <v>0</v>
      </c>
      <c r="I291" s="50" t="n">
        <f aca="false">SUMIFS('Partial Purchases'!$F$3:$F$500,'Partial Purchases'!$C$3:$C$500,$A291,'Partial Purchases'!$B$3:$B$500,"&gt;="&amp;DATE($B291,1,1),'Partial Purchases'!$B$3:$B$500,"&lt;="&amp;DATE($B291,12,31))/1000</f>
        <v>0</v>
      </c>
      <c r="J291" s="50" t="n">
        <f aca="false">C291*(D291+0.5*(G291-H291+I291-F291))</f>
        <v>0</v>
      </c>
      <c r="K291" s="50" t="n">
        <f aca="false">C291*(E291-D291+H291-G291-I291)</f>
        <v>0</v>
      </c>
      <c r="L291" s="44" t="str">
        <f aca="false">IF(J291=0,"",C291*F291/J291)</f>
        <v/>
      </c>
      <c r="M291" s="44" t="str">
        <f aca="false">IF(J291=0,"",K291/J291)</f>
        <v/>
      </c>
      <c r="N291" s="44" t="str">
        <f aca="false">IF(J291=0,"",L291+M291)</f>
        <v/>
      </c>
    </row>
    <row r="292" customFormat="false" ht="15" hidden="false" customHeight="false" outlineLevel="0" collapsed="false">
      <c r="A292" s="8" t="s">
        <v>25</v>
      </c>
      <c r="B292" s="46" t="n">
        <v>2008</v>
      </c>
      <c r="C292" s="10" t="n">
        <f aca="false">IF(D292&gt;0,1,0)</f>
        <v>0</v>
      </c>
      <c r="D292" s="9" t="n">
        <f aca="false">IF(SUMIFS(Sales!$F$3:$F$500,Sales!$C$3:$C$500,$A292,Sales!$B$3:$B$500,"&lt;="&amp;DATE($B292-1,12,31))&gt;0,0,SUMIFS('Asset Value'!$I$4:$I$500,'Asset Value'!$C$4:$C$500,$A292,'Asset Value'!$B$4:$B$500,$B292-1)/1000)</f>
        <v>0</v>
      </c>
      <c r="E292" s="9" t="n">
        <f aca="false">IF(SUMIFS(Sales!$F$3:$F$500,Sales!$C$3:$C$500,$A292,Sales!$B$3:$B$500,"&gt;="&amp;DATE($B292,1,1),Sales!$B$3:$B$500,"&lt;="&amp;DATE($B292,12,31))&gt;0,SUMIFS(Sales!$F$3:$F$500,Sales!$C$3:$C$500,$A292,Sales!$B$3:$B$500,"&gt;="&amp;DATE($B292,1,1),Sales!$B$3:$B$500,"&lt;="&amp;DATE($B292,12,31))/1000,SUMIFS('Asset Value'!$I$4:$I$500,'Asset Value'!$C$4:$C$500,$A292,'Asset Value'!$B$4:$B$500,$B292)/1000)</f>
        <v>0</v>
      </c>
      <c r="F292" s="9" t="n">
        <f aca="false">SUMIFS(Rent!$G$3:$G$500,Rent!$D$3:$D$500,$A292,Rent!$C$3:$C$500,$B292)/1000</f>
        <v>0</v>
      </c>
      <c r="G292" s="9" t="n">
        <f aca="false">SUMIFS(Costs!$F$3:$F$500,Costs!$C$3:$C$500,$A292,Costs!$B$3:$B$500,"&gt;="&amp;DATE($B292,1,1),Costs!$B$3:$B$500,"&lt;="&amp;DATE($B292,12,31))/1000</f>
        <v>0</v>
      </c>
      <c r="H292" s="9" t="n">
        <f aca="false">SUMIFS('Partial Sales'!$F$3:$F$500,'Partial Sales'!$C$3:$C$500,$A292,'Partial Sales'!$B$3:$B$500,"&gt;="&amp;DATE($B292,1,1),'Partial Sales'!$B$3:$B$500,"&lt;="&amp;DATE($B292,12,31))/1000</f>
        <v>0</v>
      </c>
      <c r="I292" s="9" t="n">
        <f aca="false">SUMIFS('Partial Purchases'!$F$3:$F$500,'Partial Purchases'!$C$3:$C$500,$A292,'Partial Purchases'!$B$3:$B$500,"&gt;="&amp;DATE($B292,1,1),'Partial Purchases'!$B$3:$B$500,"&lt;="&amp;DATE($B292,12,31))/1000</f>
        <v>0</v>
      </c>
      <c r="J292" s="9" t="n">
        <f aca="false">C292*(D292+0.5*(G292-H292+I292-F292))</f>
        <v>0</v>
      </c>
      <c r="K292" s="9" t="n">
        <f aca="false">C292*(E292-D292+H292-G292-I292)</f>
        <v>0</v>
      </c>
      <c r="L292" s="13" t="str">
        <f aca="false">IF(J292=0,"",C292*F292/J292)</f>
        <v/>
      </c>
      <c r="M292" s="13" t="str">
        <f aca="false">IF(J292=0,"",K292/J292)</f>
        <v/>
      </c>
      <c r="N292" s="13" t="str">
        <f aca="false">IF(J292=0,"",L292+M292)</f>
        <v/>
      </c>
    </row>
    <row r="293" customFormat="false" ht="15" hidden="false" customHeight="false" outlineLevel="0" collapsed="false">
      <c r="A293" s="8" t="s">
        <v>25</v>
      </c>
      <c r="B293" s="46" t="n">
        <v>2009</v>
      </c>
      <c r="C293" s="10" t="n">
        <f aca="false">IF(D293&gt;0,1,0)</f>
        <v>0</v>
      </c>
      <c r="D293" s="9" t="n">
        <f aca="false">IF(SUMIFS(Sales!$F$3:$F$500,Sales!$C$3:$C$500,$A293,Sales!$B$3:$B$500,"&lt;="&amp;DATE($B293-1,12,31))&gt;0,0,SUMIFS('Asset Value'!$I$4:$I$500,'Asset Value'!$C$4:$C$500,$A293,'Asset Value'!$B$4:$B$500,$B293-1)/1000)</f>
        <v>0</v>
      </c>
      <c r="E293" s="9" t="n">
        <f aca="false">IF(SUMIFS(Sales!$F$3:$F$500,Sales!$C$3:$C$500,$A293,Sales!$B$3:$B$500,"&gt;="&amp;DATE($B293,1,1),Sales!$B$3:$B$500,"&lt;="&amp;DATE($B293,12,31))&gt;0,SUMIFS(Sales!$F$3:$F$500,Sales!$C$3:$C$500,$A293,Sales!$B$3:$B$500,"&gt;="&amp;DATE($B293,1,1),Sales!$B$3:$B$500,"&lt;="&amp;DATE($B293,12,31))/1000,SUMIFS('Asset Value'!$I$4:$I$500,'Asset Value'!$C$4:$C$500,$A293,'Asset Value'!$B$4:$B$500,$B293)/1000)</f>
        <v>0</v>
      </c>
      <c r="F293" s="9" t="n">
        <f aca="false">SUMIFS(Rent!$G$3:$G$500,Rent!$D$3:$D$500,$A293,Rent!$C$3:$C$500,$B293)/1000</f>
        <v>0</v>
      </c>
      <c r="G293" s="9" t="n">
        <f aca="false">SUMIFS(Costs!$F$3:$F$500,Costs!$C$3:$C$500,$A293,Costs!$B$3:$B$500,"&gt;="&amp;DATE($B293,1,1),Costs!$B$3:$B$500,"&lt;="&amp;DATE($B293,12,31))/1000</f>
        <v>0</v>
      </c>
      <c r="H293" s="9" t="n">
        <f aca="false">SUMIFS('Partial Sales'!$F$3:$F$500,'Partial Sales'!$C$3:$C$500,$A293,'Partial Sales'!$B$3:$B$500,"&gt;="&amp;DATE($B293,1,1),'Partial Sales'!$B$3:$B$500,"&lt;="&amp;DATE($B293,12,31))/1000</f>
        <v>0</v>
      </c>
      <c r="I293" s="9" t="n">
        <f aca="false">SUMIFS('Partial Purchases'!$F$3:$F$500,'Partial Purchases'!$C$3:$C$500,$A293,'Partial Purchases'!$B$3:$B$500,"&gt;="&amp;DATE($B293,1,1),'Partial Purchases'!$B$3:$B$500,"&lt;="&amp;DATE($B293,12,31))/1000</f>
        <v>0</v>
      </c>
      <c r="J293" s="9" t="n">
        <f aca="false">C293*(D293+0.5*(G293-H293+I293-F293))</f>
        <v>0</v>
      </c>
      <c r="K293" s="9" t="n">
        <f aca="false">C293*(E293-D293+H293-G293-I293)</f>
        <v>0</v>
      </c>
      <c r="L293" s="13" t="str">
        <f aca="false">IF(J293=0,"",C293*F293/J293)</f>
        <v/>
      </c>
      <c r="M293" s="13" t="str">
        <f aca="false">IF(J293=0,"",K293/J293)</f>
        <v/>
      </c>
      <c r="N293" s="13" t="str">
        <f aca="false">IF(J293=0,"",L293+M293)</f>
        <v/>
      </c>
    </row>
    <row r="294" customFormat="false" ht="15" hidden="false" customHeight="false" outlineLevel="0" collapsed="false">
      <c r="A294" s="8" t="s">
        <v>25</v>
      </c>
      <c r="B294" s="46" t="n">
        <v>2010</v>
      </c>
      <c r="C294" s="10" t="n">
        <f aca="false">IF(D294&gt;0,1,0)</f>
        <v>0</v>
      </c>
      <c r="D294" s="9" t="n">
        <f aca="false">IF(SUMIFS(Sales!$F$3:$F$500,Sales!$C$3:$C$500,$A294,Sales!$B$3:$B$500,"&lt;="&amp;DATE($B294-1,12,31))&gt;0,0,SUMIFS('Asset Value'!$I$4:$I$500,'Asset Value'!$C$4:$C$500,$A294,'Asset Value'!$B$4:$B$500,$B294-1)/1000)</f>
        <v>0</v>
      </c>
      <c r="E294" s="9" t="n">
        <f aca="false">IF(SUMIFS(Sales!$F$3:$F$500,Sales!$C$3:$C$500,$A294,Sales!$B$3:$B$500,"&gt;="&amp;DATE($B294,1,1),Sales!$B$3:$B$500,"&lt;="&amp;DATE($B294,12,31))&gt;0,SUMIFS(Sales!$F$3:$F$500,Sales!$C$3:$C$500,$A294,Sales!$B$3:$B$500,"&gt;="&amp;DATE($B294,1,1),Sales!$B$3:$B$500,"&lt;="&amp;DATE($B294,12,31))/1000,SUMIFS('Asset Value'!$I$4:$I$500,'Asset Value'!$C$4:$C$500,$A294,'Asset Value'!$B$4:$B$500,$B294)/1000)</f>
        <v>0</v>
      </c>
      <c r="F294" s="9" t="n">
        <f aca="false">SUMIFS(Rent!$G$3:$G$500,Rent!$D$3:$D$500,$A294,Rent!$C$3:$C$500,$B294)/1000</f>
        <v>0</v>
      </c>
      <c r="G294" s="9" t="n">
        <f aca="false">SUMIFS(Costs!$F$3:$F$500,Costs!$C$3:$C$500,$A294,Costs!$B$3:$B$500,"&gt;="&amp;DATE($B294,1,1),Costs!$B$3:$B$500,"&lt;="&amp;DATE($B294,12,31))/1000</f>
        <v>0</v>
      </c>
      <c r="H294" s="9" t="n">
        <f aca="false">SUMIFS('Partial Sales'!$F$3:$F$500,'Partial Sales'!$C$3:$C$500,$A294,'Partial Sales'!$B$3:$B$500,"&gt;="&amp;DATE($B294,1,1),'Partial Sales'!$B$3:$B$500,"&lt;="&amp;DATE($B294,12,31))/1000</f>
        <v>0</v>
      </c>
      <c r="I294" s="9" t="n">
        <f aca="false">SUMIFS('Partial Purchases'!$F$3:$F$500,'Partial Purchases'!$C$3:$C$500,$A294,'Partial Purchases'!$B$3:$B$500,"&gt;="&amp;DATE($B294,1,1),'Partial Purchases'!$B$3:$B$500,"&lt;="&amp;DATE($B294,12,31))/1000</f>
        <v>0</v>
      </c>
      <c r="J294" s="9" t="n">
        <f aca="false">C294*(D294+0.5*(G294-H294+I294-F294))</f>
        <v>0</v>
      </c>
      <c r="K294" s="9" t="n">
        <f aca="false">C294*(E294-D294+H294-G294-I294)</f>
        <v>0</v>
      </c>
      <c r="L294" s="13" t="str">
        <f aca="false">IF(J294=0,"",C294*F294/J294)</f>
        <v/>
      </c>
      <c r="M294" s="13" t="str">
        <f aca="false">IF(J294=0,"",K294/J294)</f>
        <v/>
      </c>
      <c r="N294" s="13" t="str">
        <f aca="false">IF(J294=0,"",L294+M294)</f>
        <v/>
      </c>
    </row>
    <row r="295" customFormat="false" ht="15" hidden="false" customHeight="false" outlineLevel="0" collapsed="false">
      <c r="A295" s="8" t="s">
        <v>25</v>
      </c>
      <c r="B295" s="46" t="n">
        <v>2011</v>
      </c>
      <c r="C295" s="10" t="n">
        <f aca="false">IF(D295&gt;0,1,0)</f>
        <v>0</v>
      </c>
      <c r="D295" s="9" t="n">
        <f aca="false">IF(SUMIFS(Sales!$F$3:$F$500,Sales!$C$3:$C$500,$A295,Sales!$B$3:$B$500,"&lt;="&amp;DATE($B295-1,12,31))&gt;0,0,SUMIFS('Asset Value'!$I$4:$I$500,'Asset Value'!$C$4:$C$500,$A295,'Asset Value'!$B$4:$B$500,$B295-1)/1000)</f>
        <v>0</v>
      </c>
      <c r="E295" s="9" t="n">
        <f aca="false">IF(SUMIFS(Sales!$F$3:$F$500,Sales!$C$3:$C$500,$A295,Sales!$B$3:$B$500,"&gt;="&amp;DATE($B295,1,1),Sales!$B$3:$B$500,"&lt;="&amp;DATE($B295,12,31))&gt;0,SUMIFS(Sales!$F$3:$F$500,Sales!$C$3:$C$500,$A295,Sales!$B$3:$B$500,"&gt;="&amp;DATE($B295,1,1),Sales!$B$3:$B$500,"&lt;="&amp;DATE($B295,12,31))/1000,SUMIFS('Asset Value'!$I$4:$I$500,'Asset Value'!$C$4:$C$500,$A295,'Asset Value'!$B$4:$B$500,$B295)/1000)</f>
        <v>0</v>
      </c>
      <c r="F295" s="9" t="n">
        <f aca="false">SUMIFS(Rent!$G$3:$G$500,Rent!$D$3:$D$500,$A295,Rent!$C$3:$C$500,$B295)/1000</f>
        <v>0</v>
      </c>
      <c r="G295" s="9" t="n">
        <f aca="false">SUMIFS(Costs!$F$3:$F$500,Costs!$C$3:$C$500,$A295,Costs!$B$3:$B$500,"&gt;="&amp;DATE($B295,1,1),Costs!$B$3:$B$500,"&lt;="&amp;DATE($B295,12,31))/1000</f>
        <v>0</v>
      </c>
      <c r="H295" s="9" t="n">
        <f aca="false">SUMIFS('Partial Sales'!$F$3:$F$500,'Partial Sales'!$C$3:$C$500,$A295,'Partial Sales'!$B$3:$B$500,"&gt;="&amp;DATE($B295,1,1),'Partial Sales'!$B$3:$B$500,"&lt;="&amp;DATE($B295,12,31))/1000</f>
        <v>0</v>
      </c>
      <c r="I295" s="9" t="n">
        <f aca="false">SUMIFS('Partial Purchases'!$F$3:$F$500,'Partial Purchases'!$C$3:$C$500,$A295,'Partial Purchases'!$B$3:$B$500,"&gt;="&amp;DATE($B295,1,1),'Partial Purchases'!$B$3:$B$500,"&lt;="&amp;DATE($B295,12,31))/1000</f>
        <v>0</v>
      </c>
      <c r="J295" s="9" t="n">
        <f aca="false">C295*(D295+0.5*(G295-H295+I295-F295))</f>
        <v>0</v>
      </c>
      <c r="K295" s="9" t="n">
        <f aca="false">C295*(E295-D295+H295-G295-I295)</f>
        <v>0</v>
      </c>
      <c r="L295" s="13" t="str">
        <f aca="false">IF(J295=0,"",C295*F295/J295)</f>
        <v/>
      </c>
      <c r="M295" s="13" t="str">
        <f aca="false">IF(J295=0,"",K295/J295)</f>
        <v/>
      </c>
      <c r="N295" s="13" t="str">
        <f aca="false">IF(J295=0,"",L295+M295)</f>
        <v/>
      </c>
    </row>
    <row r="296" customFormat="false" ht="15" hidden="false" customHeight="false" outlineLevel="0" collapsed="false">
      <c r="A296" s="8" t="s">
        <v>25</v>
      </c>
      <c r="B296" s="46" t="n">
        <v>2012</v>
      </c>
      <c r="C296" s="10" t="n">
        <f aca="false">IF(D296&gt;0,1,0)</f>
        <v>0</v>
      </c>
      <c r="D296" s="9" t="n">
        <f aca="false">IF(SUMIFS(Sales!$F$3:$F$500,Sales!$C$3:$C$500,$A296,Sales!$B$3:$B$500,"&lt;="&amp;DATE($B296-1,12,31))&gt;0,0,SUMIFS('Asset Value'!$I$4:$I$500,'Asset Value'!$C$4:$C$500,$A296,'Asset Value'!$B$4:$B$500,$B296-1)/1000)</f>
        <v>0</v>
      </c>
      <c r="E296" s="9" t="n">
        <f aca="false">IF(SUMIFS(Sales!$F$3:$F$500,Sales!$C$3:$C$500,$A296,Sales!$B$3:$B$500,"&gt;="&amp;DATE($B296,1,1),Sales!$B$3:$B$500,"&lt;="&amp;DATE($B296,12,31))&gt;0,SUMIFS(Sales!$F$3:$F$500,Sales!$C$3:$C$500,$A296,Sales!$B$3:$B$500,"&gt;="&amp;DATE($B296,1,1),Sales!$B$3:$B$500,"&lt;="&amp;DATE($B296,12,31))/1000,SUMIFS('Asset Value'!$I$4:$I$500,'Asset Value'!$C$4:$C$500,$A296,'Asset Value'!$B$4:$B$500,$B296)/1000)</f>
        <v>0</v>
      </c>
      <c r="F296" s="9" t="n">
        <f aca="false">SUMIFS(Rent!$G$3:$G$500,Rent!$D$3:$D$500,$A296,Rent!$C$3:$C$500,$B296)/1000</f>
        <v>0</v>
      </c>
      <c r="G296" s="9" t="n">
        <f aca="false">SUMIFS(Costs!$F$3:$F$500,Costs!$C$3:$C$500,$A296,Costs!$B$3:$B$500,"&gt;="&amp;DATE($B296,1,1),Costs!$B$3:$B$500,"&lt;="&amp;DATE($B296,12,31))/1000</f>
        <v>0</v>
      </c>
      <c r="H296" s="9" t="n">
        <f aca="false">SUMIFS('Partial Sales'!$F$3:$F$500,'Partial Sales'!$C$3:$C$500,$A296,'Partial Sales'!$B$3:$B$500,"&gt;="&amp;DATE($B296,1,1),'Partial Sales'!$B$3:$B$500,"&lt;="&amp;DATE($B296,12,31))/1000</f>
        <v>0</v>
      </c>
      <c r="I296" s="9" t="n">
        <f aca="false">SUMIFS('Partial Purchases'!$F$3:$F$500,'Partial Purchases'!$C$3:$C$500,$A296,'Partial Purchases'!$B$3:$B$500,"&gt;="&amp;DATE($B296,1,1),'Partial Purchases'!$B$3:$B$500,"&lt;="&amp;DATE($B296,12,31))/1000</f>
        <v>0</v>
      </c>
      <c r="J296" s="9" t="n">
        <f aca="false">C296*(D296+0.5*(G296-H296+I296-F296))</f>
        <v>0</v>
      </c>
      <c r="K296" s="9" t="n">
        <f aca="false">C296*(E296-D296+H296-G296-I296)</f>
        <v>0</v>
      </c>
      <c r="L296" s="13" t="str">
        <f aca="false">IF(J296=0,"",C296*F296/J296)</f>
        <v/>
      </c>
      <c r="M296" s="13" t="str">
        <f aca="false">IF(J296=0,"",K296/J296)</f>
        <v/>
      </c>
      <c r="N296" s="13" t="str">
        <f aca="false">IF(J296=0,"",L296+M296)</f>
        <v/>
      </c>
    </row>
    <row r="297" customFormat="false" ht="15" hidden="false" customHeight="false" outlineLevel="0" collapsed="false">
      <c r="A297" s="8" t="s">
        <v>25</v>
      </c>
      <c r="B297" s="46" t="n">
        <v>2013</v>
      </c>
      <c r="C297" s="10" t="n">
        <f aca="false">IF(D297&gt;0,1,0)</f>
        <v>0</v>
      </c>
      <c r="D297" s="9" t="n">
        <f aca="false">IF(SUMIFS(Sales!$F$3:$F$500,Sales!$C$3:$C$500,$A297,Sales!$B$3:$B$500,"&lt;="&amp;DATE($B297-1,12,31))&gt;0,0,SUMIFS('Asset Value'!$I$4:$I$500,'Asset Value'!$C$4:$C$500,$A297,'Asset Value'!$B$4:$B$500,$B297-1)/1000)</f>
        <v>0</v>
      </c>
      <c r="E297" s="9" t="n">
        <f aca="false">IF(SUMIFS(Sales!$F$3:$F$500,Sales!$C$3:$C$500,$A297,Sales!$B$3:$B$500,"&gt;="&amp;DATE($B297,1,1),Sales!$B$3:$B$500,"&lt;="&amp;DATE($B297,12,31))&gt;0,SUMIFS(Sales!$F$3:$F$500,Sales!$C$3:$C$500,$A297,Sales!$B$3:$B$500,"&gt;="&amp;DATE($B297,1,1),Sales!$B$3:$B$500,"&lt;="&amp;DATE($B297,12,31))/1000,SUMIFS('Asset Value'!$I$4:$I$500,'Asset Value'!$C$4:$C$500,$A297,'Asset Value'!$B$4:$B$500,$B297)/1000)</f>
        <v>0</v>
      </c>
      <c r="F297" s="9" t="n">
        <f aca="false">SUMIFS(Rent!$G$3:$G$500,Rent!$D$3:$D$500,$A297,Rent!$C$3:$C$500,$B297)/1000</f>
        <v>0</v>
      </c>
      <c r="G297" s="9" t="n">
        <f aca="false">SUMIFS(Costs!$F$3:$F$500,Costs!$C$3:$C$500,$A297,Costs!$B$3:$B$500,"&gt;="&amp;DATE($B297,1,1),Costs!$B$3:$B$500,"&lt;="&amp;DATE($B297,12,31))/1000</f>
        <v>0</v>
      </c>
      <c r="H297" s="9" t="n">
        <f aca="false">SUMIFS('Partial Sales'!$F$3:$F$500,'Partial Sales'!$C$3:$C$500,$A297,'Partial Sales'!$B$3:$B$500,"&gt;="&amp;DATE($B297,1,1),'Partial Sales'!$B$3:$B$500,"&lt;="&amp;DATE($B297,12,31))/1000</f>
        <v>0</v>
      </c>
      <c r="I297" s="9" t="n">
        <f aca="false">SUMIFS('Partial Purchases'!$F$3:$F$500,'Partial Purchases'!$C$3:$C$500,$A297,'Partial Purchases'!$B$3:$B$500,"&gt;="&amp;DATE($B297,1,1),'Partial Purchases'!$B$3:$B$500,"&lt;="&amp;DATE($B297,12,31))/1000</f>
        <v>0</v>
      </c>
      <c r="J297" s="9" t="n">
        <f aca="false">C297*(D297+0.5*(G297-H297+I297-F297))</f>
        <v>0</v>
      </c>
      <c r="K297" s="9" t="n">
        <f aca="false">C297*(E297-D297+H297-G297-I297)</f>
        <v>0</v>
      </c>
      <c r="L297" s="13" t="str">
        <f aca="false">IF(J297=0,"",C297*F297/J297)</f>
        <v/>
      </c>
      <c r="M297" s="13" t="str">
        <f aca="false">IF(J297=0,"",K297/J297)</f>
        <v/>
      </c>
      <c r="N297" s="13" t="str">
        <f aca="false">IF(J297=0,"",L297+M297)</f>
        <v/>
      </c>
    </row>
    <row r="298" customFormat="false" ht="15" hidden="false" customHeight="false" outlineLevel="0" collapsed="false">
      <c r="A298" s="8" t="s">
        <v>25</v>
      </c>
      <c r="B298" s="46" t="n">
        <v>2014</v>
      </c>
      <c r="C298" s="10" t="n">
        <f aca="false">IF(D298&gt;0,1,0)</f>
        <v>0</v>
      </c>
      <c r="D298" s="9" t="n">
        <f aca="false">IF(SUMIFS(Sales!$F$3:$F$500,Sales!$C$3:$C$500,$A298,Sales!$B$3:$B$500,"&lt;="&amp;DATE($B298-1,12,31))&gt;0,0,SUMIFS('Asset Value'!$I$4:$I$500,'Asset Value'!$C$4:$C$500,$A298,'Asset Value'!$B$4:$B$500,$B298-1)/1000)</f>
        <v>0</v>
      </c>
      <c r="E298" s="9" t="n">
        <f aca="false">IF(SUMIFS(Sales!$F$3:$F$500,Sales!$C$3:$C$500,$A298,Sales!$B$3:$B$500,"&gt;="&amp;DATE($B298,1,1),Sales!$B$3:$B$500,"&lt;="&amp;DATE($B298,12,31))&gt;0,SUMIFS(Sales!$F$3:$F$500,Sales!$C$3:$C$500,$A298,Sales!$B$3:$B$500,"&gt;="&amp;DATE($B298,1,1),Sales!$B$3:$B$500,"&lt;="&amp;DATE($B298,12,31))/1000,SUMIFS('Asset Value'!$I$4:$I$500,'Asset Value'!$C$4:$C$500,$A298,'Asset Value'!$B$4:$B$500,$B298)/1000)</f>
        <v>0</v>
      </c>
      <c r="F298" s="9" t="n">
        <f aca="false">SUMIFS(Rent!$G$3:$G$500,Rent!$D$3:$D$500,$A298,Rent!$C$3:$C$500,$B298)/1000</f>
        <v>0</v>
      </c>
      <c r="G298" s="9" t="n">
        <f aca="false">SUMIFS(Costs!$F$3:$F$500,Costs!$C$3:$C$500,$A298,Costs!$B$3:$B$500,"&gt;="&amp;DATE($B298,1,1),Costs!$B$3:$B$500,"&lt;="&amp;DATE($B298,12,31))/1000</f>
        <v>0</v>
      </c>
      <c r="H298" s="9" t="n">
        <f aca="false">SUMIFS('Partial Sales'!$F$3:$F$500,'Partial Sales'!$C$3:$C$500,$A298,'Partial Sales'!$B$3:$B$500,"&gt;="&amp;DATE($B298,1,1),'Partial Sales'!$B$3:$B$500,"&lt;="&amp;DATE($B298,12,31))/1000</f>
        <v>0</v>
      </c>
      <c r="I298" s="9" t="n">
        <f aca="false">SUMIFS('Partial Purchases'!$F$3:$F$500,'Partial Purchases'!$C$3:$C$500,$A298,'Partial Purchases'!$B$3:$B$500,"&gt;="&amp;DATE($B298,1,1),'Partial Purchases'!$B$3:$B$500,"&lt;="&amp;DATE($B298,12,31))/1000</f>
        <v>0</v>
      </c>
      <c r="J298" s="9" t="n">
        <f aca="false">C298*(D298+0.5*(G298-H298+I298-F298))</f>
        <v>0</v>
      </c>
      <c r="K298" s="9" t="n">
        <f aca="false">C298*(E298-D298+H298-G298-I298)</f>
        <v>0</v>
      </c>
      <c r="L298" s="13" t="str">
        <f aca="false">IF(J298=0,"",C298*F298/J298)</f>
        <v/>
      </c>
      <c r="M298" s="13" t="str">
        <f aca="false">IF(J298=0,"",K298/J298)</f>
        <v/>
      </c>
      <c r="N298" s="13" t="str">
        <f aca="false">IF(J298=0,"",L298+M298)</f>
        <v/>
      </c>
    </row>
    <row r="299" customFormat="false" ht="15" hidden="false" customHeight="false" outlineLevel="0" collapsed="false">
      <c r="A299" s="47" t="s">
        <v>25</v>
      </c>
      <c r="B299" s="48" t="n">
        <v>2015</v>
      </c>
      <c r="C299" s="49" t="n">
        <f aca="false">IF(D299&gt;0,1,0)</f>
        <v>0</v>
      </c>
      <c r="D299" s="50" t="n">
        <f aca="false">IF(SUMIFS(Sales!$F$3:$F$500,Sales!$C$3:$C$500,$A299,Sales!$B$3:$B$500,"&lt;="&amp;DATE($B299-1,12,31))&gt;0,0,SUMIFS('Asset Value'!$I$4:$I$500,'Asset Value'!$C$4:$C$500,$A299,'Asset Value'!$B$4:$B$500,$B299-1)/1000)</f>
        <v>0</v>
      </c>
      <c r="E299" s="50" t="n">
        <f aca="false">IF(SUMIFS(Sales!$F$3:$F$500,Sales!$C$3:$C$500,$A299,Sales!$B$3:$B$500,"&gt;="&amp;DATE($B299,1,1),Sales!$B$3:$B$500,"&lt;="&amp;DATE($B299,12,31))&gt;0,SUMIFS(Sales!$F$3:$F$500,Sales!$C$3:$C$500,$A299,Sales!$B$3:$B$500,"&gt;="&amp;DATE($B299,1,1),Sales!$B$3:$B$500,"&lt;="&amp;DATE($B299,12,31))/1000,SUMIFS('Asset Value'!$I$4:$I$500,'Asset Value'!$C$4:$C$500,$A299,'Asset Value'!$B$4:$B$500,$B299)/1000)</f>
        <v>0</v>
      </c>
      <c r="F299" s="50" t="n">
        <f aca="false">SUMIFS(Rent!$G$3:$G$500,Rent!$D$3:$D$500,$A299,Rent!$C$3:$C$500,$B299)/1000</f>
        <v>0</v>
      </c>
      <c r="G299" s="50" t="n">
        <f aca="false">SUMIFS(Costs!$F$3:$F$500,Costs!$C$3:$C$500,$A299,Costs!$B$3:$B$500,"&gt;="&amp;DATE($B299,1,1),Costs!$B$3:$B$500,"&lt;="&amp;DATE($B299,12,31))/1000</f>
        <v>0</v>
      </c>
      <c r="H299" s="50" t="n">
        <f aca="false">SUMIFS('Partial Sales'!$F$3:$F$500,'Partial Sales'!$C$3:$C$500,$A299,'Partial Sales'!$B$3:$B$500,"&gt;="&amp;DATE($B299,1,1),'Partial Sales'!$B$3:$B$500,"&lt;="&amp;DATE($B299,12,31))/1000</f>
        <v>0</v>
      </c>
      <c r="I299" s="50" t="n">
        <f aca="false">SUMIFS('Partial Purchases'!$F$3:$F$500,'Partial Purchases'!$C$3:$C$500,$A299,'Partial Purchases'!$B$3:$B$500,"&gt;="&amp;DATE($B299,1,1),'Partial Purchases'!$B$3:$B$500,"&lt;="&amp;DATE($B299,12,31))/1000</f>
        <v>0</v>
      </c>
      <c r="J299" s="50" t="n">
        <f aca="false">C299*(D299+0.5*(G299-H299+I299-F299))</f>
        <v>0</v>
      </c>
      <c r="K299" s="50" t="n">
        <f aca="false">C299*(E299-D299+H299-G299-I299)</f>
        <v>0</v>
      </c>
      <c r="L299" s="44" t="str">
        <f aca="false">IF(J299=0,"",C299*F299/J299)</f>
        <v/>
      </c>
      <c r="M299" s="44" t="str">
        <f aca="false">IF(J299=0,"",K299/J299)</f>
        <v/>
      </c>
      <c r="N299" s="44" t="str">
        <f aca="false">IF(J299=0,"",L299+M299)</f>
        <v/>
      </c>
    </row>
    <row r="300" customFormat="false" ht="15" hidden="false" customHeight="false" outlineLevel="0" collapsed="false">
      <c r="A300" s="8" t="s">
        <v>26</v>
      </c>
      <c r="B300" s="46" t="n">
        <v>2008</v>
      </c>
      <c r="C300" s="10" t="n">
        <f aca="false">IF(D300&gt;0,1,0)</f>
        <v>0</v>
      </c>
      <c r="D300" s="9" t="n">
        <f aca="false">IF(SUMIFS(Sales!$F$3:$F$500,Sales!$C$3:$C$500,$A300,Sales!$B$3:$B$500,"&lt;="&amp;DATE($B300-1,12,31))&gt;0,0,SUMIFS('Asset Value'!$I$4:$I$500,'Asset Value'!$C$4:$C$500,$A300,'Asset Value'!$B$4:$B$500,$B300-1)/1000)</f>
        <v>0</v>
      </c>
      <c r="E300" s="9" t="n">
        <f aca="false">IF(SUMIFS(Sales!$F$3:$F$500,Sales!$C$3:$C$500,$A300,Sales!$B$3:$B$500,"&gt;="&amp;DATE($B300,1,1),Sales!$B$3:$B$500,"&lt;="&amp;DATE($B300,12,31))&gt;0,SUMIFS(Sales!$F$3:$F$500,Sales!$C$3:$C$500,$A300,Sales!$B$3:$B$500,"&gt;="&amp;DATE($B300,1,1),Sales!$B$3:$B$500,"&lt;="&amp;DATE($B300,12,31))/1000,SUMIFS('Asset Value'!$I$4:$I$500,'Asset Value'!$C$4:$C$500,$A300,'Asset Value'!$B$4:$B$500,$B300)/1000)</f>
        <v>0</v>
      </c>
      <c r="F300" s="9" t="n">
        <f aca="false">SUMIFS(Rent!$G$3:$G$500,Rent!$D$3:$D$500,$A300,Rent!$C$3:$C$500,$B300)/1000</f>
        <v>0</v>
      </c>
      <c r="G300" s="9" t="n">
        <f aca="false">SUMIFS(Costs!$F$3:$F$500,Costs!$C$3:$C$500,$A300,Costs!$B$3:$B$500,"&gt;="&amp;DATE($B300,1,1),Costs!$B$3:$B$500,"&lt;="&amp;DATE($B300,12,31))/1000</f>
        <v>0</v>
      </c>
      <c r="H300" s="9" t="n">
        <f aca="false">SUMIFS('Partial Sales'!$F$3:$F$500,'Partial Sales'!$C$3:$C$500,$A300,'Partial Sales'!$B$3:$B$500,"&gt;="&amp;DATE($B300,1,1),'Partial Sales'!$B$3:$B$500,"&lt;="&amp;DATE($B300,12,31))/1000</f>
        <v>0</v>
      </c>
      <c r="I300" s="9" t="n">
        <f aca="false">SUMIFS('Partial Purchases'!$F$3:$F$500,'Partial Purchases'!$C$3:$C$500,$A300,'Partial Purchases'!$B$3:$B$500,"&gt;="&amp;DATE($B300,1,1),'Partial Purchases'!$B$3:$B$500,"&lt;="&amp;DATE($B300,12,31))/1000</f>
        <v>0</v>
      </c>
      <c r="J300" s="9" t="n">
        <f aca="false">C300*(D300+0.5*(G300-H300+I300-F300))</f>
        <v>0</v>
      </c>
      <c r="K300" s="9" t="n">
        <f aca="false">C300*(E300-D300+H300-G300-I300)</f>
        <v>0</v>
      </c>
      <c r="L300" s="13" t="str">
        <f aca="false">IF(J300=0,"",C300*F300/J300)</f>
        <v/>
      </c>
      <c r="M300" s="13" t="str">
        <f aca="false">IF(J300=0,"",K300/J300)</f>
        <v/>
      </c>
      <c r="N300" s="13" t="str">
        <f aca="false">IF(J300=0,"",L300+M300)</f>
        <v/>
      </c>
    </row>
    <row r="301" customFormat="false" ht="15" hidden="false" customHeight="false" outlineLevel="0" collapsed="false">
      <c r="A301" s="8" t="s">
        <v>26</v>
      </c>
      <c r="B301" s="46" t="n">
        <v>2009</v>
      </c>
      <c r="C301" s="10" t="n">
        <f aca="false">IF(D301&gt;0,1,0)</f>
        <v>0</v>
      </c>
      <c r="D301" s="9" t="n">
        <f aca="false">IF(SUMIFS(Sales!$F$3:$F$500,Sales!$C$3:$C$500,$A301,Sales!$B$3:$B$500,"&lt;="&amp;DATE($B301-1,12,31))&gt;0,0,SUMIFS('Asset Value'!$I$4:$I$500,'Asset Value'!$C$4:$C$500,$A301,'Asset Value'!$B$4:$B$500,$B301-1)/1000)</f>
        <v>0</v>
      </c>
      <c r="E301" s="9" t="n">
        <f aca="false">IF(SUMIFS(Sales!$F$3:$F$500,Sales!$C$3:$C$500,$A301,Sales!$B$3:$B$500,"&gt;="&amp;DATE($B301,1,1),Sales!$B$3:$B$500,"&lt;="&amp;DATE($B301,12,31))&gt;0,SUMIFS(Sales!$F$3:$F$500,Sales!$C$3:$C$500,$A301,Sales!$B$3:$B$500,"&gt;="&amp;DATE($B301,1,1),Sales!$B$3:$B$500,"&lt;="&amp;DATE($B301,12,31))/1000,SUMIFS('Asset Value'!$I$4:$I$500,'Asset Value'!$C$4:$C$500,$A301,'Asset Value'!$B$4:$B$500,$B301)/1000)</f>
        <v>0</v>
      </c>
      <c r="F301" s="9" t="n">
        <f aca="false">SUMIFS(Rent!$G$3:$G$500,Rent!$D$3:$D$500,$A301,Rent!$C$3:$C$500,$B301)/1000</f>
        <v>0</v>
      </c>
      <c r="G301" s="9" t="n">
        <f aca="false">SUMIFS(Costs!$F$3:$F$500,Costs!$C$3:$C$500,$A301,Costs!$B$3:$B$500,"&gt;="&amp;DATE($B301,1,1),Costs!$B$3:$B$500,"&lt;="&amp;DATE($B301,12,31))/1000</f>
        <v>0</v>
      </c>
      <c r="H301" s="9" t="n">
        <f aca="false">SUMIFS('Partial Sales'!$F$3:$F$500,'Partial Sales'!$C$3:$C$500,$A301,'Partial Sales'!$B$3:$B$500,"&gt;="&amp;DATE($B301,1,1),'Partial Sales'!$B$3:$B$500,"&lt;="&amp;DATE($B301,12,31))/1000</f>
        <v>0</v>
      </c>
      <c r="I301" s="9" t="n">
        <f aca="false">SUMIFS('Partial Purchases'!$F$3:$F$500,'Partial Purchases'!$C$3:$C$500,$A301,'Partial Purchases'!$B$3:$B$500,"&gt;="&amp;DATE($B301,1,1),'Partial Purchases'!$B$3:$B$500,"&lt;="&amp;DATE($B301,12,31))/1000</f>
        <v>0</v>
      </c>
      <c r="J301" s="9" t="n">
        <f aca="false">C301*(D301+0.5*(G301-H301+I301-F301))</f>
        <v>0</v>
      </c>
      <c r="K301" s="9" t="n">
        <f aca="false">C301*(E301-D301+H301-G301-I301)</f>
        <v>0</v>
      </c>
      <c r="L301" s="13" t="str">
        <f aca="false">IF(J301=0,"",C301*F301/J301)</f>
        <v/>
      </c>
      <c r="M301" s="13" t="str">
        <f aca="false">IF(J301=0,"",K301/J301)</f>
        <v/>
      </c>
      <c r="N301" s="13" t="str">
        <f aca="false">IF(J301=0,"",L301+M301)</f>
        <v/>
      </c>
    </row>
    <row r="302" customFormat="false" ht="15" hidden="false" customHeight="false" outlineLevel="0" collapsed="false">
      <c r="A302" s="8" t="s">
        <v>26</v>
      </c>
      <c r="B302" s="46" t="n">
        <v>2010</v>
      </c>
      <c r="C302" s="10" t="n">
        <f aca="false">IF(D302&gt;0,1,0)</f>
        <v>0</v>
      </c>
      <c r="D302" s="9" t="n">
        <f aca="false">IF(SUMIFS(Sales!$F$3:$F$500,Sales!$C$3:$C$500,$A302,Sales!$B$3:$B$500,"&lt;="&amp;DATE($B302-1,12,31))&gt;0,0,SUMIFS('Asset Value'!$I$4:$I$500,'Asset Value'!$C$4:$C$500,$A302,'Asset Value'!$B$4:$B$500,$B302-1)/1000)</f>
        <v>0</v>
      </c>
      <c r="E302" s="9" t="n">
        <f aca="false">IF(SUMIFS(Sales!$F$3:$F$500,Sales!$C$3:$C$500,$A302,Sales!$B$3:$B$500,"&gt;="&amp;DATE($B302,1,1),Sales!$B$3:$B$500,"&lt;="&amp;DATE($B302,12,31))&gt;0,SUMIFS(Sales!$F$3:$F$500,Sales!$C$3:$C$500,$A302,Sales!$B$3:$B$500,"&gt;="&amp;DATE($B302,1,1),Sales!$B$3:$B$500,"&lt;="&amp;DATE($B302,12,31))/1000,SUMIFS('Asset Value'!$I$4:$I$500,'Asset Value'!$C$4:$C$500,$A302,'Asset Value'!$B$4:$B$500,$B302)/1000)</f>
        <v>0</v>
      </c>
      <c r="F302" s="9" t="n">
        <f aca="false">SUMIFS(Rent!$G$3:$G$500,Rent!$D$3:$D$500,$A302,Rent!$C$3:$C$500,$B302)/1000</f>
        <v>0</v>
      </c>
      <c r="G302" s="9" t="n">
        <f aca="false">SUMIFS(Costs!$F$3:$F$500,Costs!$C$3:$C$500,$A302,Costs!$B$3:$B$500,"&gt;="&amp;DATE($B302,1,1),Costs!$B$3:$B$500,"&lt;="&amp;DATE($B302,12,31))/1000</f>
        <v>0</v>
      </c>
      <c r="H302" s="9" t="n">
        <f aca="false">SUMIFS('Partial Sales'!$F$3:$F$500,'Partial Sales'!$C$3:$C$500,$A302,'Partial Sales'!$B$3:$B$500,"&gt;="&amp;DATE($B302,1,1),'Partial Sales'!$B$3:$B$500,"&lt;="&amp;DATE($B302,12,31))/1000</f>
        <v>0</v>
      </c>
      <c r="I302" s="9" t="n">
        <f aca="false">SUMIFS('Partial Purchases'!$F$3:$F$500,'Partial Purchases'!$C$3:$C$500,$A302,'Partial Purchases'!$B$3:$B$500,"&gt;="&amp;DATE($B302,1,1),'Partial Purchases'!$B$3:$B$500,"&lt;="&amp;DATE($B302,12,31))/1000</f>
        <v>0</v>
      </c>
      <c r="J302" s="9" t="n">
        <f aca="false">C302*(D302+0.5*(G302-H302+I302-F302))</f>
        <v>0</v>
      </c>
      <c r="K302" s="9" t="n">
        <f aca="false">C302*(E302-D302+H302-G302-I302)</f>
        <v>0</v>
      </c>
      <c r="L302" s="13" t="str">
        <f aca="false">IF(J302=0,"",C302*F302/J302)</f>
        <v/>
      </c>
      <c r="M302" s="13" t="str">
        <f aca="false">IF(J302=0,"",K302/J302)</f>
        <v/>
      </c>
      <c r="N302" s="13" t="str">
        <f aca="false">IF(J302=0,"",L302+M302)</f>
        <v/>
      </c>
    </row>
    <row r="303" customFormat="false" ht="15" hidden="false" customHeight="false" outlineLevel="0" collapsed="false">
      <c r="A303" s="8" t="s">
        <v>26</v>
      </c>
      <c r="B303" s="46" t="n">
        <v>2011</v>
      </c>
      <c r="C303" s="10" t="n">
        <f aca="false">IF(D303&gt;0,1,0)</f>
        <v>0</v>
      </c>
      <c r="D303" s="9" t="n">
        <f aca="false">IF(SUMIFS(Sales!$F$3:$F$500,Sales!$C$3:$C$500,$A303,Sales!$B$3:$B$500,"&lt;="&amp;DATE($B303-1,12,31))&gt;0,0,SUMIFS('Asset Value'!$I$4:$I$500,'Asset Value'!$C$4:$C$500,$A303,'Asset Value'!$B$4:$B$500,$B303-1)/1000)</f>
        <v>0</v>
      </c>
      <c r="E303" s="9" t="n">
        <f aca="false">IF(SUMIFS(Sales!$F$3:$F$500,Sales!$C$3:$C$500,$A303,Sales!$B$3:$B$500,"&gt;="&amp;DATE($B303,1,1),Sales!$B$3:$B$500,"&lt;="&amp;DATE($B303,12,31))&gt;0,SUMIFS(Sales!$F$3:$F$500,Sales!$C$3:$C$500,$A303,Sales!$B$3:$B$500,"&gt;="&amp;DATE($B303,1,1),Sales!$B$3:$B$500,"&lt;="&amp;DATE($B303,12,31))/1000,SUMIFS('Asset Value'!$I$4:$I$500,'Asset Value'!$C$4:$C$500,$A303,'Asset Value'!$B$4:$B$500,$B303)/1000)</f>
        <v>0</v>
      </c>
      <c r="F303" s="9" t="n">
        <f aca="false">SUMIFS(Rent!$G$3:$G$500,Rent!$D$3:$D$500,$A303,Rent!$C$3:$C$500,$B303)/1000</f>
        <v>0</v>
      </c>
      <c r="G303" s="9" t="n">
        <f aca="false">SUMIFS(Costs!$F$3:$F$500,Costs!$C$3:$C$500,$A303,Costs!$B$3:$B$500,"&gt;="&amp;DATE($B303,1,1),Costs!$B$3:$B$500,"&lt;="&amp;DATE($B303,12,31))/1000</f>
        <v>0</v>
      </c>
      <c r="H303" s="9" t="n">
        <f aca="false">SUMIFS('Partial Sales'!$F$3:$F$500,'Partial Sales'!$C$3:$C$500,$A303,'Partial Sales'!$B$3:$B$500,"&gt;="&amp;DATE($B303,1,1),'Partial Sales'!$B$3:$B$500,"&lt;="&amp;DATE($B303,12,31))/1000</f>
        <v>0</v>
      </c>
      <c r="I303" s="9" t="n">
        <f aca="false">SUMIFS('Partial Purchases'!$F$3:$F$500,'Partial Purchases'!$C$3:$C$500,$A303,'Partial Purchases'!$B$3:$B$500,"&gt;="&amp;DATE($B303,1,1),'Partial Purchases'!$B$3:$B$500,"&lt;="&amp;DATE($B303,12,31))/1000</f>
        <v>0</v>
      </c>
      <c r="J303" s="9" t="n">
        <f aca="false">C303*(D303+0.5*(G303-H303+I303-F303))</f>
        <v>0</v>
      </c>
      <c r="K303" s="9" t="n">
        <f aca="false">C303*(E303-D303+H303-G303-I303)</f>
        <v>0</v>
      </c>
      <c r="L303" s="13" t="str">
        <f aca="false">IF(J303=0,"",C303*F303/J303)</f>
        <v/>
      </c>
      <c r="M303" s="13" t="str">
        <f aca="false">IF(J303=0,"",K303/J303)</f>
        <v/>
      </c>
      <c r="N303" s="13" t="str">
        <f aca="false">IF(J303=0,"",L303+M303)</f>
        <v/>
      </c>
    </row>
    <row r="304" customFormat="false" ht="15" hidden="false" customHeight="false" outlineLevel="0" collapsed="false">
      <c r="A304" s="8" t="s">
        <v>26</v>
      </c>
      <c r="B304" s="46" t="n">
        <v>2012</v>
      </c>
      <c r="C304" s="10" t="n">
        <f aca="false">IF(D304&gt;0,1,0)</f>
        <v>0</v>
      </c>
      <c r="D304" s="9" t="n">
        <f aca="false">IF(SUMIFS(Sales!$F$3:$F$500,Sales!$C$3:$C$500,$A304,Sales!$B$3:$B$500,"&lt;="&amp;DATE($B304-1,12,31))&gt;0,0,SUMIFS('Asset Value'!$I$4:$I$500,'Asset Value'!$C$4:$C$500,$A304,'Asset Value'!$B$4:$B$500,$B304-1)/1000)</f>
        <v>0</v>
      </c>
      <c r="E304" s="9" t="n">
        <f aca="false">IF(SUMIFS(Sales!$F$3:$F$500,Sales!$C$3:$C$500,$A304,Sales!$B$3:$B$500,"&gt;="&amp;DATE($B304,1,1),Sales!$B$3:$B$500,"&lt;="&amp;DATE($B304,12,31))&gt;0,SUMIFS(Sales!$F$3:$F$500,Sales!$C$3:$C$500,$A304,Sales!$B$3:$B$500,"&gt;="&amp;DATE($B304,1,1),Sales!$B$3:$B$500,"&lt;="&amp;DATE($B304,12,31))/1000,SUMIFS('Asset Value'!$I$4:$I$500,'Asset Value'!$C$4:$C$500,$A304,'Asset Value'!$B$4:$B$500,$B304)/1000)</f>
        <v>0</v>
      </c>
      <c r="F304" s="9" t="n">
        <f aca="false">SUMIFS(Rent!$G$3:$G$500,Rent!$D$3:$D$500,$A304,Rent!$C$3:$C$500,$B304)/1000</f>
        <v>0</v>
      </c>
      <c r="G304" s="9" t="n">
        <f aca="false">SUMIFS(Costs!$F$3:$F$500,Costs!$C$3:$C$500,$A304,Costs!$B$3:$B$500,"&gt;="&amp;DATE($B304,1,1),Costs!$B$3:$B$500,"&lt;="&amp;DATE($B304,12,31))/1000</f>
        <v>0</v>
      </c>
      <c r="H304" s="9" t="n">
        <f aca="false">SUMIFS('Partial Sales'!$F$3:$F$500,'Partial Sales'!$C$3:$C$500,$A304,'Partial Sales'!$B$3:$B$500,"&gt;="&amp;DATE($B304,1,1),'Partial Sales'!$B$3:$B$500,"&lt;="&amp;DATE($B304,12,31))/1000</f>
        <v>0</v>
      </c>
      <c r="I304" s="9" t="n">
        <f aca="false">SUMIFS('Partial Purchases'!$F$3:$F$500,'Partial Purchases'!$C$3:$C$500,$A304,'Partial Purchases'!$B$3:$B$500,"&gt;="&amp;DATE($B304,1,1),'Partial Purchases'!$B$3:$B$500,"&lt;="&amp;DATE($B304,12,31))/1000</f>
        <v>0</v>
      </c>
      <c r="J304" s="9" t="n">
        <f aca="false">C304*(D304+0.5*(G304-H304+I304-F304))</f>
        <v>0</v>
      </c>
      <c r="K304" s="9" t="n">
        <f aca="false">C304*(E304-D304+H304-G304-I304)</f>
        <v>0</v>
      </c>
      <c r="L304" s="13" t="str">
        <f aca="false">IF(J304=0,"",C304*F304/J304)</f>
        <v/>
      </c>
      <c r="M304" s="13" t="str">
        <f aca="false">IF(J304=0,"",K304/J304)</f>
        <v/>
      </c>
      <c r="N304" s="13" t="str">
        <f aca="false">IF(J304=0,"",L304+M304)</f>
        <v/>
      </c>
    </row>
    <row r="305" customFormat="false" ht="15" hidden="false" customHeight="false" outlineLevel="0" collapsed="false">
      <c r="A305" s="8" t="s">
        <v>26</v>
      </c>
      <c r="B305" s="46" t="n">
        <v>2013</v>
      </c>
      <c r="C305" s="10" t="n">
        <f aca="false">IF(D305&gt;0,1,0)</f>
        <v>0</v>
      </c>
      <c r="D305" s="9" t="n">
        <f aca="false">IF(SUMIFS(Sales!$F$3:$F$500,Sales!$C$3:$C$500,$A305,Sales!$B$3:$B$500,"&lt;="&amp;DATE($B305-1,12,31))&gt;0,0,SUMIFS('Asset Value'!$I$4:$I$500,'Asset Value'!$C$4:$C$500,$A305,'Asset Value'!$B$4:$B$500,$B305-1)/1000)</f>
        <v>0</v>
      </c>
      <c r="E305" s="9" t="n">
        <f aca="false">IF(SUMIFS(Sales!$F$3:$F$500,Sales!$C$3:$C$500,$A305,Sales!$B$3:$B$500,"&gt;="&amp;DATE($B305,1,1),Sales!$B$3:$B$500,"&lt;="&amp;DATE($B305,12,31))&gt;0,SUMIFS(Sales!$F$3:$F$500,Sales!$C$3:$C$500,$A305,Sales!$B$3:$B$500,"&gt;="&amp;DATE($B305,1,1),Sales!$B$3:$B$500,"&lt;="&amp;DATE($B305,12,31))/1000,SUMIFS('Asset Value'!$I$4:$I$500,'Asset Value'!$C$4:$C$500,$A305,'Asset Value'!$B$4:$B$500,$B305)/1000)</f>
        <v>0</v>
      </c>
      <c r="F305" s="9" t="n">
        <f aca="false">SUMIFS(Rent!$G$3:$G$500,Rent!$D$3:$D$500,$A305,Rent!$C$3:$C$500,$B305)/1000</f>
        <v>0</v>
      </c>
      <c r="G305" s="9" t="n">
        <f aca="false">SUMIFS(Costs!$F$3:$F$500,Costs!$C$3:$C$500,$A305,Costs!$B$3:$B$500,"&gt;="&amp;DATE($B305,1,1),Costs!$B$3:$B$500,"&lt;="&amp;DATE($B305,12,31))/1000</f>
        <v>0</v>
      </c>
      <c r="H305" s="9" t="n">
        <f aca="false">SUMIFS('Partial Sales'!$F$3:$F$500,'Partial Sales'!$C$3:$C$500,$A305,'Partial Sales'!$B$3:$B$500,"&gt;="&amp;DATE($B305,1,1),'Partial Sales'!$B$3:$B$500,"&lt;="&amp;DATE($B305,12,31))/1000</f>
        <v>0</v>
      </c>
      <c r="I305" s="9" t="n">
        <f aca="false">SUMIFS('Partial Purchases'!$F$3:$F$500,'Partial Purchases'!$C$3:$C$500,$A305,'Partial Purchases'!$B$3:$B$500,"&gt;="&amp;DATE($B305,1,1),'Partial Purchases'!$B$3:$B$500,"&lt;="&amp;DATE($B305,12,31))/1000</f>
        <v>0</v>
      </c>
      <c r="J305" s="9" t="n">
        <f aca="false">C305*(D305+0.5*(G305-H305+I305-F305))</f>
        <v>0</v>
      </c>
      <c r="K305" s="9" t="n">
        <f aca="false">C305*(E305-D305+H305-G305-I305)</f>
        <v>0</v>
      </c>
      <c r="L305" s="13" t="str">
        <f aca="false">IF(J305=0,"",C305*F305/J305)</f>
        <v/>
      </c>
      <c r="M305" s="13" t="str">
        <f aca="false">IF(J305=0,"",K305/J305)</f>
        <v/>
      </c>
      <c r="N305" s="13" t="str">
        <f aca="false">IF(J305=0,"",L305+M305)</f>
        <v/>
      </c>
    </row>
    <row r="306" customFormat="false" ht="15" hidden="false" customHeight="false" outlineLevel="0" collapsed="false">
      <c r="A306" s="8" t="s">
        <v>26</v>
      </c>
      <c r="B306" s="46" t="n">
        <v>2014</v>
      </c>
      <c r="C306" s="10" t="n">
        <f aca="false">IF(D306&gt;0,1,0)</f>
        <v>0</v>
      </c>
      <c r="D306" s="9" t="n">
        <f aca="false">IF(SUMIFS(Sales!$F$3:$F$500,Sales!$C$3:$C$500,$A306,Sales!$B$3:$B$500,"&lt;="&amp;DATE($B306-1,12,31))&gt;0,0,SUMIFS('Asset Value'!$I$4:$I$500,'Asset Value'!$C$4:$C$500,$A306,'Asset Value'!$B$4:$B$500,$B306-1)/1000)</f>
        <v>0</v>
      </c>
      <c r="E306" s="9" t="n">
        <f aca="false">IF(SUMIFS(Sales!$F$3:$F$500,Sales!$C$3:$C$500,$A306,Sales!$B$3:$B$500,"&gt;="&amp;DATE($B306,1,1),Sales!$B$3:$B$500,"&lt;="&amp;DATE($B306,12,31))&gt;0,SUMIFS(Sales!$F$3:$F$500,Sales!$C$3:$C$500,$A306,Sales!$B$3:$B$500,"&gt;="&amp;DATE($B306,1,1),Sales!$B$3:$B$500,"&lt;="&amp;DATE($B306,12,31))/1000,SUMIFS('Asset Value'!$I$4:$I$500,'Asset Value'!$C$4:$C$500,$A306,'Asset Value'!$B$4:$B$500,$B306)/1000)</f>
        <v>0</v>
      </c>
      <c r="F306" s="9" t="n">
        <f aca="false">SUMIFS(Rent!$G$3:$G$500,Rent!$D$3:$D$500,$A306,Rent!$C$3:$C$500,$B306)/1000</f>
        <v>0</v>
      </c>
      <c r="G306" s="9" t="n">
        <f aca="false">SUMIFS(Costs!$F$3:$F$500,Costs!$C$3:$C$500,$A306,Costs!$B$3:$B$500,"&gt;="&amp;DATE($B306,1,1),Costs!$B$3:$B$500,"&lt;="&amp;DATE($B306,12,31))/1000</f>
        <v>0</v>
      </c>
      <c r="H306" s="9" t="n">
        <f aca="false">SUMIFS('Partial Sales'!$F$3:$F$500,'Partial Sales'!$C$3:$C$500,$A306,'Partial Sales'!$B$3:$B$500,"&gt;="&amp;DATE($B306,1,1),'Partial Sales'!$B$3:$B$500,"&lt;="&amp;DATE($B306,12,31))/1000</f>
        <v>0</v>
      </c>
      <c r="I306" s="9" t="n">
        <f aca="false">SUMIFS('Partial Purchases'!$F$3:$F$500,'Partial Purchases'!$C$3:$C$500,$A306,'Partial Purchases'!$B$3:$B$500,"&gt;="&amp;DATE($B306,1,1),'Partial Purchases'!$B$3:$B$500,"&lt;="&amp;DATE($B306,12,31))/1000</f>
        <v>0</v>
      </c>
      <c r="J306" s="9" t="n">
        <f aca="false">C306*(D306+0.5*(G306-H306+I306-F306))</f>
        <v>0</v>
      </c>
      <c r="K306" s="9" t="n">
        <f aca="false">C306*(E306-D306+H306-G306-I306)</f>
        <v>0</v>
      </c>
      <c r="L306" s="13" t="str">
        <f aca="false">IF(J306=0,"",C306*F306/J306)</f>
        <v/>
      </c>
      <c r="M306" s="13" t="str">
        <f aca="false">IF(J306=0,"",K306/J306)</f>
        <v/>
      </c>
      <c r="N306" s="13" t="str">
        <f aca="false">IF(J306=0,"",L306+M306)</f>
        <v/>
      </c>
    </row>
    <row r="307" customFormat="false" ht="15" hidden="false" customHeight="false" outlineLevel="0" collapsed="false">
      <c r="A307" s="47" t="s">
        <v>26</v>
      </c>
      <c r="B307" s="48" t="n">
        <v>2015</v>
      </c>
      <c r="C307" s="49" t="n">
        <f aca="false">IF(D307&gt;0,1,0)</f>
        <v>0</v>
      </c>
      <c r="D307" s="50" t="n">
        <f aca="false">IF(SUMIFS(Sales!$F$3:$F$500,Sales!$C$3:$C$500,$A307,Sales!$B$3:$B$500,"&lt;="&amp;DATE($B307-1,12,31))&gt;0,0,SUMIFS('Asset Value'!$I$4:$I$500,'Asset Value'!$C$4:$C$500,$A307,'Asset Value'!$B$4:$B$500,$B307-1)/1000)</f>
        <v>0</v>
      </c>
      <c r="E307" s="50" t="n">
        <f aca="false">IF(SUMIFS(Sales!$F$3:$F$500,Sales!$C$3:$C$500,$A307,Sales!$B$3:$B$500,"&gt;="&amp;DATE($B307,1,1),Sales!$B$3:$B$500,"&lt;="&amp;DATE($B307,12,31))&gt;0,SUMIFS(Sales!$F$3:$F$500,Sales!$C$3:$C$500,$A307,Sales!$B$3:$B$500,"&gt;="&amp;DATE($B307,1,1),Sales!$B$3:$B$500,"&lt;="&amp;DATE($B307,12,31))/1000,SUMIFS('Asset Value'!$I$4:$I$500,'Asset Value'!$C$4:$C$500,$A307,'Asset Value'!$B$4:$B$500,$B307)/1000)</f>
        <v>0</v>
      </c>
      <c r="F307" s="50" t="n">
        <f aca="false">SUMIFS(Rent!$G$3:$G$500,Rent!$D$3:$D$500,$A307,Rent!$C$3:$C$500,$B307)/1000</f>
        <v>0</v>
      </c>
      <c r="G307" s="50" t="n">
        <f aca="false">SUMIFS(Costs!$F$3:$F$500,Costs!$C$3:$C$500,$A307,Costs!$B$3:$B$500,"&gt;="&amp;DATE($B307,1,1),Costs!$B$3:$B$500,"&lt;="&amp;DATE($B307,12,31))/1000</f>
        <v>0</v>
      </c>
      <c r="H307" s="50" t="n">
        <f aca="false">SUMIFS('Partial Sales'!$F$3:$F$500,'Partial Sales'!$C$3:$C$500,$A307,'Partial Sales'!$B$3:$B$500,"&gt;="&amp;DATE($B307,1,1),'Partial Sales'!$B$3:$B$500,"&lt;="&amp;DATE($B307,12,31))/1000</f>
        <v>0</v>
      </c>
      <c r="I307" s="50" t="n">
        <f aca="false">SUMIFS('Partial Purchases'!$F$3:$F$500,'Partial Purchases'!$C$3:$C$500,$A307,'Partial Purchases'!$B$3:$B$500,"&gt;="&amp;DATE($B307,1,1),'Partial Purchases'!$B$3:$B$500,"&lt;="&amp;DATE($B307,12,31))/1000</f>
        <v>0</v>
      </c>
      <c r="J307" s="50" t="n">
        <f aca="false">C307*(D307+0.5*(G307-H307+I307-F307))</f>
        <v>0</v>
      </c>
      <c r="K307" s="50" t="n">
        <f aca="false">C307*(E307-D307+H307-G307-I307)</f>
        <v>0</v>
      </c>
      <c r="L307" s="44" t="str">
        <f aca="false">IF(J307=0,"",C307*F307/J307)</f>
        <v/>
      </c>
      <c r="M307" s="44" t="str">
        <f aca="false">IF(J307=0,"",K307/J307)</f>
        <v/>
      </c>
      <c r="N307" s="44" t="str">
        <f aca="false">IF(J307=0,"",L307+M307)</f>
        <v/>
      </c>
    </row>
    <row r="308" customFormat="false" ht="15" hidden="false" customHeight="false" outlineLevel="0" collapsed="false">
      <c r="A308" s="8" t="s">
        <v>27</v>
      </c>
      <c r="B308" s="46" t="n">
        <v>2008</v>
      </c>
      <c r="C308" s="10" t="n">
        <f aca="false">IF(D308&gt;0,1,0)</f>
        <v>0</v>
      </c>
      <c r="D308" s="9" t="n">
        <f aca="false">IF(SUMIFS(Sales!$F$3:$F$500,Sales!$C$3:$C$500,$A308,Sales!$B$3:$B$500,"&lt;="&amp;DATE($B308-1,12,31))&gt;0,0,SUMIFS('Asset Value'!$I$4:$I$500,'Asset Value'!$C$4:$C$500,$A308,'Asset Value'!$B$4:$B$500,$B308-1)/1000)</f>
        <v>0</v>
      </c>
      <c r="E308" s="9" t="n">
        <f aca="false">IF(SUMIFS(Sales!$F$3:$F$500,Sales!$C$3:$C$500,$A308,Sales!$B$3:$B$500,"&gt;="&amp;DATE($B308,1,1),Sales!$B$3:$B$500,"&lt;="&amp;DATE($B308,12,31))&gt;0,SUMIFS(Sales!$F$3:$F$500,Sales!$C$3:$C$500,$A308,Sales!$B$3:$B$500,"&gt;="&amp;DATE($B308,1,1),Sales!$B$3:$B$500,"&lt;="&amp;DATE($B308,12,31))/1000,SUMIFS('Asset Value'!$I$4:$I$500,'Asset Value'!$C$4:$C$500,$A308,'Asset Value'!$B$4:$B$500,$B308)/1000)</f>
        <v>0</v>
      </c>
      <c r="F308" s="9" t="n">
        <f aca="false">SUMIFS(Rent!$G$3:$G$500,Rent!$D$3:$D$500,$A308,Rent!$C$3:$C$500,$B308)/1000</f>
        <v>0</v>
      </c>
      <c r="G308" s="9" t="n">
        <f aca="false">SUMIFS(Costs!$F$3:$F$500,Costs!$C$3:$C$500,$A308,Costs!$B$3:$B$500,"&gt;="&amp;DATE($B308,1,1),Costs!$B$3:$B$500,"&lt;="&amp;DATE($B308,12,31))/1000</f>
        <v>0</v>
      </c>
      <c r="H308" s="9" t="n">
        <f aca="false">SUMIFS('Partial Sales'!$F$3:$F$500,'Partial Sales'!$C$3:$C$500,$A308,'Partial Sales'!$B$3:$B$500,"&gt;="&amp;DATE($B308,1,1),'Partial Sales'!$B$3:$B$500,"&lt;="&amp;DATE($B308,12,31))/1000</f>
        <v>0</v>
      </c>
      <c r="I308" s="9" t="n">
        <f aca="false">SUMIFS('Partial Purchases'!$F$3:$F$500,'Partial Purchases'!$C$3:$C$500,$A308,'Partial Purchases'!$B$3:$B$500,"&gt;="&amp;DATE($B308,1,1),'Partial Purchases'!$B$3:$B$500,"&lt;="&amp;DATE($B308,12,31))/1000</f>
        <v>0</v>
      </c>
      <c r="J308" s="9" t="n">
        <f aca="false">C308*(D308+0.5*(G308-H308+I308-F308))</f>
        <v>0</v>
      </c>
      <c r="K308" s="9" t="n">
        <f aca="false">C308*(E308-D308+H308-G308-I308)</f>
        <v>0</v>
      </c>
      <c r="L308" s="13" t="str">
        <f aca="false">IF(J308=0,"",C308*F308/J308)</f>
        <v/>
      </c>
      <c r="M308" s="13" t="str">
        <f aca="false">IF(J308=0,"",K308/J308)</f>
        <v/>
      </c>
      <c r="N308" s="13" t="str">
        <f aca="false">IF(J308=0,"",L308+M308)</f>
        <v/>
      </c>
    </row>
    <row r="309" customFormat="false" ht="15" hidden="false" customHeight="false" outlineLevel="0" collapsed="false">
      <c r="A309" s="8" t="s">
        <v>27</v>
      </c>
      <c r="B309" s="46" t="n">
        <v>2009</v>
      </c>
      <c r="C309" s="10" t="n">
        <f aca="false">IF(D309&gt;0,1,0)</f>
        <v>0</v>
      </c>
      <c r="D309" s="9" t="n">
        <f aca="false">IF(SUMIFS(Sales!$F$3:$F$500,Sales!$C$3:$C$500,$A309,Sales!$B$3:$B$500,"&lt;="&amp;DATE($B309-1,12,31))&gt;0,0,SUMIFS('Asset Value'!$I$4:$I$500,'Asset Value'!$C$4:$C$500,$A309,'Asset Value'!$B$4:$B$500,$B309-1)/1000)</f>
        <v>0</v>
      </c>
      <c r="E309" s="9" t="n">
        <f aca="false">IF(SUMIFS(Sales!$F$3:$F$500,Sales!$C$3:$C$500,$A309,Sales!$B$3:$B$500,"&gt;="&amp;DATE($B309,1,1),Sales!$B$3:$B$500,"&lt;="&amp;DATE($B309,12,31))&gt;0,SUMIFS(Sales!$F$3:$F$500,Sales!$C$3:$C$500,$A309,Sales!$B$3:$B$500,"&gt;="&amp;DATE($B309,1,1),Sales!$B$3:$B$500,"&lt;="&amp;DATE($B309,12,31))/1000,SUMIFS('Asset Value'!$I$4:$I$500,'Asset Value'!$C$4:$C$500,$A309,'Asset Value'!$B$4:$B$500,$B309)/1000)</f>
        <v>0</v>
      </c>
      <c r="F309" s="9" t="n">
        <f aca="false">SUMIFS(Rent!$G$3:$G$500,Rent!$D$3:$D$500,$A309,Rent!$C$3:$C$500,$B309)/1000</f>
        <v>0</v>
      </c>
      <c r="G309" s="9" t="n">
        <f aca="false">SUMIFS(Costs!$F$3:$F$500,Costs!$C$3:$C$500,$A309,Costs!$B$3:$B$500,"&gt;="&amp;DATE($B309,1,1),Costs!$B$3:$B$500,"&lt;="&amp;DATE($B309,12,31))/1000</f>
        <v>0</v>
      </c>
      <c r="H309" s="9" t="n">
        <f aca="false">SUMIFS('Partial Sales'!$F$3:$F$500,'Partial Sales'!$C$3:$C$500,$A309,'Partial Sales'!$B$3:$B$500,"&gt;="&amp;DATE($B309,1,1),'Partial Sales'!$B$3:$B$500,"&lt;="&amp;DATE($B309,12,31))/1000</f>
        <v>0</v>
      </c>
      <c r="I309" s="9" t="n">
        <f aca="false">SUMIFS('Partial Purchases'!$F$3:$F$500,'Partial Purchases'!$C$3:$C$500,$A309,'Partial Purchases'!$B$3:$B$500,"&gt;="&amp;DATE($B309,1,1),'Partial Purchases'!$B$3:$B$500,"&lt;="&amp;DATE($B309,12,31))/1000</f>
        <v>0</v>
      </c>
      <c r="J309" s="9" t="n">
        <f aca="false">C309*(D309+0.5*(G309-H309+I309-F309))</f>
        <v>0</v>
      </c>
      <c r="K309" s="9" t="n">
        <f aca="false">C309*(E309-D309+H309-G309-I309)</f>
        <v>0</v>
      </c>
      <c r="L309" s="13" t="str">
        <f aca="false">IF(J309=0,"",C309*F309/J309)</f>
        <v/>
      </c>
      <c r="M309" s="13" t="str">
        <f aca="false">IF(J309=0,"",K309/J309)</f>
        <v/>
      </c>
      <c r="N309" s="13" t="str">
        <f aca="false">IF(J309=0,"",L309+M309)</f>
        <v/>
      </c>
    </row>
    <row r="310" customFormat="false" ht="15" hidden="false" customHeight="false" outlineLevel="0" collapsed="false">
      <c r="A310" s="8" t="s">
        <v>27</v>
      </c>
      <c r="B310" s="46" t="n">
        <v>2010</v>
      </c>
      <c r="C310" s="10" t="n">
        <f aca="false">IF(D310&gt;0,1,0)</f>
        <v>0</v>
      </c>
      <c r="D310" s="9" t="n">
        <f aca="false">IF(SUMIFS(Sales!$F$3:$F$500,Sales!$C$3:$C$500,$A310,Sales!$B$3:$B$500,"&lt;="&amp;DATE($B310-1,12,31))&gt;0,0,SUMIFS('Asset Value'!$I$4:$I$500,'Asset Value'!$C$4:$C$500,$A310,'Asset Value'!$B$4:$B$500,$B310-1)/1000)</f>
        <v>0</v>
      </c>
      <c r="E310" s="9" t="n">
        <f aca="false">IF(SUMIFS(Sales!$F$3:$F$500,Sales!$C$3:$C$500,$A310,Sales!$B$3:$B$500,"&gt;="&amp;DATE($B310,1,1),Sales!$B$3:$B$500,"&lt;="&amp;DATE($B310,12,31))&gt;0,SUMIFS(Sales!$F$3:$F$500,Sales!$C$3:$C$500,$A310,Sales!$B$3:$B$500,"&gt;="&amp;DATE($B310,1,1),Sales!$B$3:$B$500,"&lt;="&amp;DATE($B310,12,31))/1000,SUMIFS('Asset Value'!$I$4:$I$500,'Asset Value'!$C$4:$C$500,$A310,'Asset Value'!$B$4:$B$500,$B310)/1000)</f>
        <v>0</v>
      </c>
      <c r="F310" s="9" t="n">
        <f aca="false">SUMIFS(Rent!$G$3:$G$500,Rent!$D$3:$D$500,$A310,Rent!$C$3:$C$500,$B310)/1000</f>
        <v>0</v>
      </c>
      <c r="G310" s="9" t="n">
        <f aca="false">SUMIFS(Costs!$F$3:$F$500,Costs!$C$3:$C$500,$A310,Costs!$B$3:$B$500,"&gt;="&amp;DATE($B310,1,1),Costs!$B$3:$B$500,"&lt;="&amp;DATE($B310,12,31))/1000</f>
        <v>0</v>
      </c>
      <c r="H310" s="9" t="n">
        <f aca="false">SUMIFS('Partial Sales'!$F$3:$F$500,'Partial Sales'!$C$3:$C$500,$A310,'Partial Sales'!$B$3:$B$500,"&gt;="&amp;DATE($B310,1,1),'Partial Sales'!$B$3:$B$500,"&lt;="&amp;DATE($B310,12,31))/1000</f>
        <v>0</v>
      </c>
      <c r="I310" s="9" t="n">
        <f aca="false">SUMIFS('Partial Purchases'!$F$3:$F$500,'Partial Purchases'!$C$3:$C$500,$A310,'Partial Purchases'!$B$3:$B$500,"&gt;="&amp;DATE($B310,1,1),'Partial Purchases'!$B$3:$B$500,"&lt;="&amp;DATE($B310,12,31))/1000</f>
        <v>0</v>
      </c>
      <c r="J310" s="9" t="n">
        <f aca="false">C310*(D310+0.5*(G310-H310+I310-F310))</f>
        <v>0</v>
      </c>
      <c r="K310" s="9" t="n">
        <f aca="false">C310*(E310-D310+H310-G310-I310)</f>
        <v>0</v>
      </c>
      <c r="L310" s="13" t="str">
        <f aca="false">IF(J310=0,"",C310*F310/J310)</f>
        <v/>
      </c>
      <c r="M310" s="13" t="str">
        <f aca="false">IF(J310=0,"",K310/J310)</f>
        <v/>
      </c>
      <c r="N310" s="13" t="str">
        <f aca="false">IF(J310=0,"",L310+M310)</f>
        <v/>
      </c>
    </row>
    <row r="311" customFormat="false" ht="15" hidden="false" customHeight="false" outlineLevel="0" collapsed="false">
      <c r="A311" s="8" t="s">
        <v>27</v>
      </c>
      <c r="B311" s="46" t="n">
        <v>2011</v>
      </c>
      <c r="C311" s="10" t="n">
        <f aca="false">IF(D311&gt;0,1,0)</f>
        <v>0</v>
      </c>
      <c r="D311" s="9" t="n">
        <f aca="false">IF(SUMIFS(Sales!$F$3:$F$500,Sales!$C$3:$C$500,$A311,Sales!$B$3:$B$500,"&lt;="&amp;DATE($B311-1,12,31))&gt;0,0,SUMIFS('Asset Value'!$I$4:$I$500,'Asset Value'!$C$4:$C$500,$A311,'Asset Value'!$B$4:$B$500,$B311-1)/1000)</f>
        <v>0</v>
      </c>
      <c r="E311" s="9" t="n">
        <f aca="false">IF(SUMIFS(Sales!$F$3:$F$500,Sales!$C$3:$C$500,$A311,Sales!$B$3:$B$500,"&gt;="&amp;DATE($B311,1,1),Sales!$B$3:$B$500,"&lt;="&amp;DATE($B311,12,31))&gt;0,SUMIFS(Sales!$F$3:$F$500,Sales!$C$3:$C$500,$A311,Sales!$B$3:$B$500,"&gt;="&amp;DATE($B311,1,1),Sales!$B$3:$B$500,"&lt;="&amp;DATE($B311,12,31))/1000,SUMIFS('Asset Value'!$I$4:$I$500,'Asset Value'!$C$4:$C$500,$A311,'Asset Value'!$B$4:$B$500,$B311)/1000)</f>
        <v>0</v>
      </c>
      <c r="F311" s="9" t="n">
        <f aca="false">SUMIFS(Rent!$G$3:$G$500,Rent!$D$3:$D$500,$A311,Rent!$C$3:$C$500,$B311)/1000</f>
        <v>0</v>
      </c>
      <c r="G311" s="9" t="n">
        <f aca="false">SUMIFS(Costs!$F$3:$F$500,Costs!$C$3:$C$500,$A311,Costs!$B$3:$B$500,"&gt;="&amp;DATE($B311,1,1),Costs!$B$3:$B$500,"&lt;="&amp;DATE($B311,12,31))/1000</f>
        <v>0</v>
      </c>
      <c r="H311" s="9" t="n">
        <f aca="false">SUMIFS('Partial Sales'!$F$3:$F$500,'Partial Sales'!$C$3:$C$500,$A311,'Partial Sales'!$B$3:$B$500,"&gt;="&amp;DATE($B311,1,1),'Partial Sales'!$B$3:$B$500,"&lt;="&amp;DATE($B311,12,31))/1000</f>
        <v>0</v>
      </c>
      <c r="I311" s="9" t="n">
        <f aca="false">SUMIFS('Partial Purchases'!$F$3:$F$500,'Partial Purchases'!$C$3:$C$500,$A311,'Partial Purchases'!$B$3:$B$500,"&gt;="&amp;DATE($B311,1,1),'Partial Purchases'!$B$3:$B$500,"&lt;="&amp;DATE($B311,12,31))/1000</f>
        <v>0</v>
      </c>
      <c r="J311" s="9" t="n">
        <f aca="false">C311*(D311+0.5*(G311-H311+I311-F311))</f>
        <v>0</v>
      </c>
      <c r="K311" s="9" t="n">
        <f aca="false">C311*(E311-D311+H311-G311-I311)</f>
        <v>0</v>
      </c>
      <c r="L311" s="13" t="str">
        <f aca="false">IF(J311=0,"",C311*F311/J311)</f>
        <v/>
      </c>
      <c r="M311" s="13" t="str">
        <f aca="false">IF(J311=0,"",K311/J311)</f>
        <v/>
      </c>
      <c r="N311" s="13" t="str">
        <f aca="false">IF(J311=0,"",L311+M311)</f>
        <v/>
      </c>
    </row>
    <row r="312" customFormat="false" ht="15" hidden="false" customHeight="false" outlineLevel="0" collapsed="false">
      <c r="A312" s="8" t="s">
        <v>27</v>
      </c>
      <c r="B312" s="46" t="n">
        <v>2012</v>
      </c>
      <c r="C312" s="10" t="n">
        <f aca="false">IF(D312&gt;0,1,0)</f>
        <v>0</v>
      </c>
      <c r="D312" s="9" t="n">
        <f aca="false">IF(SUMIFS(Sales!$F$3:$F$500,Sales!$C$3:$C$500,$A312,Sales!$B$3:$B$500,"&lt;="&amp;DATE($B312-1,12,31))&gt;0,0,SUMIFS('Asset Value'!$I$4:$I$500,'Asset Value'!$C$4:$C$500,$A312,'Asset Value'!$B$4:$B$500,$B312-1)/1000)</f>
        <v>0</v>
      </c>
      <c r="E312" s="9" t="n">
        <f aca="false">IF(SUMIFS(Sales!$F$3:$F$500,Sales!$C$3:$C$500,$A312,Sales!$B$3:$B$500,"&gt;="&amp;DATE($B312,1,1),Sales!$B$3:$B$500,"&lt;="&amp;DATE($B312,12,31))&gt;0,SUMIFS(Sales!$F$3:$F$500,Sales!$C$3:$C$500,$A312,Sales!$B$3:$B$500,"&gt;="&amp;DATE($B312,1,1),Sales!$B$3:$B$500,"&lt;="&amp;DATE($B312,12,31))/1000,SUMIFS('Asset Value'!$I$4:$I$500,'Asset Value'!$C$4:$C$500,$A312,'Asset Value'!$B$4:$B$500,$B312)/1000)</f>
        <v>0</v>
      </c>
      <c r="F312" s="9" t="n">
        <f aca="false">SUMIFS(Rent!$G$3:$G$500,Rent!$D$3:$D$500,$A312,Rent!$C$3:$C$500,$B312)/1000</f>
        <v>0</v>
      </c>
      <c r="G312" s="9" t="n">
        <f aca="false">SUMIFS(Costs!$F$3:$F$500,Costs!$C$3:$C$500,$A312,Costs!$B$3:$B$500,"&gt;="&amp;DATE($B312,1,1),Costs!$B$3:$B$500,"&lt;="&amp;DATE($B312,12,31))/1000</f>
        <v>0</v>
      </c>
      <c r="H312" s="9" t="n">
        <f aca="false">SUMIFS('Partial Sales'!$F$3:$F$500,'Partial Sales'!$C$3:$C$500,$A312,'Partial Sales'!$B$3:$B$500,"&gt;="&amp;DATE($B312,1,1),'Partial Sales'!$B$3:$B$500,"&lt;="&amp;DATE($B312,12,31))/1000</f>
        <v>0</v>
      </c>
      <c r="I312" s="9" t="n">
        <f aca="false">SUMIFS('Partial Purchases'!$F$3:$F$500,'Partial Purchases'!$C$3:$C$500,$A312,'Partial Purchases'!$B$3:$B$500,"&gt;="&amp;DATE($B312,1,1),'Partial Purchases'!$B$3:$B$500,"&lt;="&amp;DATE($B312,12,31))/1000</f>
        <v>0</v>
      </c>
      <c r="J312" s="9" t="n">
        <f aca="false">C312*(D312+0.5*(G312-H312+I312-F312))</f>
        <v>0</v>
      </c>
      <c r="K312" s="9" t="n">
        <f aca="false">C312*(E312-D312+H312-G312-I312)</f>
        <v>0</v>
      </c>
      <c r="L312" s="13" t="str">
        <f aca="false">IF(J312=0,"",C312*F312/J312)</f>
        <v/>
      </c>
      <c r="M312" s="13" t="str">
        <f aca="false">IF(J312=0,"",K312/J312)</f>
        <v/>
      </c>
      <c r="N312" s="13" t="str">
        <f aca="false">IF(J312=0,"",L312+M312)</f>
        <v/>
      </c>
    </row>
    <row r="313" customFormat="false" ht="15" hidden="false" customHeight="false" outlineLevel="0" collapsed="false">
      <c r="A313" s="8" t="s">
        <v>27</v>
      </c>
      <c r="B313" s="46" t="n">
        <v>2013</v>
      </c>
      <c r="C313" s="10" t="n">
        <f aca="false">IF(D313&gt;0,1,0)</f>
        <v>0</v>
      </c>
      <c r="D313" s="9" t="n">
        <f aca="false">IF(SUMIFS(Sales!$F$3:$F$500,Sales!$C$3:$C$500,$A313,Sales!$B$3:$B$500,"&lt;="&amp;DATE($B313-1,12,31))&gt;0,0,SUMIFS('Asset Value'!$I$4:$I$500,'Asset Value'!$C$4:$C$500,$A313,'Asset Value'!$B$4:$B$500,$B313-1)/1000)</f>
        <v>0</v>
      </c>
      <c r="E313" s="9" t="n">
        <f aca="false">IF(SUMIFS(Sales!$F$3:$F$500,Sales!$C$3:$C$500,$A313,Sales!$B$3:$B$500,"&gt;="&amp;DATE($B313,1,1),Sales!$B$3:$B$500,"&lt;="&amp;DATE($B313,12,31))&gt;0,SUMIFS(Sales!$F$3:$F$500,Sales!$C$3:$C$500,$A313,Sales!$B$3:$B$500,"&gt;="&amp;DATE($B313,1,1),Sales!$B$3:$B$500,"&lt;="&amp;DATE($B313,12,31))/1000,SUMIFS('Asset Value'!$I$4:$I$500,'Asset Value'!$C$4:$C$500,$A313,'Asset Value'!$B$4:$B$500,$B313)/1000)</f>
        <v>0</v>
      </c>
      <c r="F313" s="9" t="n">
        <f aca="false">SUMIFS(Rent!$G$3:$G$500,Rent!$D$3:$D$500,$A313,Rent!$C$3:$C$500,$B313)/1000</f>
        <v>0</v>
      </c>
      <c r="G313" s="9" t="n">
        <f aca="false">SUMIFS(Costs!$F$3:$F$500,Costs!$C$3:$C$500,$A313,Costs!$B$3:$B$500,"&gt;="&amp;DATE($B313,1,1),Costs!$B$3:$B$500,"&lt;="&amp;DATE($B313,12,31))/1000</f>
        <v>0</v>
      </c>
      <c r="H313" s="9" t="n">
        <f aca="false">SUMIFS('Partial Sales'!$F$3:$F$500,'Partial Sales'!$C$3:$C$500,$A313,'Partial Sales'!$B$3:$B$500,"&gt;="&amp;DATE($B313,1,1),'Partial Sales'!$B$3:$B$500,"&lt;="&amp;DATE($B313,12,31))/1000</f>
        <v>0</v>
      </c>
      <c r="I313" s="9" t="n">
        <f aca="false">SUMIFS('Partial Purchases'!$F$3:$F$500,'Partial Purchases'!$C$3:$C$500,$A313,'Partial Purchases'!$B$3:$B$500,"&gt;="&amp;DATE($B313,1,1),'Partial Purchases'!$B$3:$B$500,"&lt;="&amp;DATE($B313,12,31))/1000</f>
        <v>0</v>
      </c>
      <c r="J313" s="9" t="n">
        <f aca="false">C313*(D313+0.5*(G313-H313+I313-F313))</f>
        <v>0</v>
      </c>
      <c r="K313" s="9" t="n">
        <f aca="false">C313*(E313-D313+H313-G313-I313)</f>
        <v>0</v>
      </c>
      <c r="L313" s="13" t="str">
        <f aca="false">IF(J313=0,"",C313*F313/J313)</f>
        <v/>
      </c>
      <c r="M313" s="13" t="str">
        <f aca="false">IF(J313=0,"",K313/J313)</f>
        <v/>
      </c>
      <c r="N313" s="13" t="str">
        <f aca="false">IF(J313=0,"",L313+M313)</f>
        <v/>
      </c>
    </row>
    <row r="314" customFormat="false" ht="15" hidden="false" customHeight="false" outlineLevel="0" collapsed="false">
      <c r="A314" s="8" t="s">
        <v>27</v>
      </c>
      <c r="B314" s="46" t="n">
        <v>2014</v>
      </c>
      <c r="C314" s="10" t="n">
        <f aca="false">IF(D314&gt;0,1,0)</f>
        <v>0</v>
      </c>
      <c r="D314" s="9" t="n">
        <f aca="false">IF(SUMIFS(Sales!$F$3:$F$500,Sales!$C$3:$C$500,$A314,Sales!$B$3:$B$500,"&lt;="&amp;DATE($B314-1,12,31))&gt;0,0,SUMIFS('Asset Value'!$I$4:$I$500,'Asset Value'!$C$4:$C$500,$A314,'Asset Value'!$B$4:$B$500,$B314-1)/1000)</f>
        <v>0</v>
      </c>
      <c r="E314" s="9" t="n">
        <f aca="false">IF(SUMIFS(Sales!$F$3:$F$500,Sales!$C$3:$C$500,$A314,Sales!$B$3:$B$500,"&gt;="&amp;DATE($B314,1,1),Sales!$B$3:$B$500,"&lt;="&amp;DATE($B314,12,31))&gt;0,SUMIFS(Sales!$F$3:$F$500,Sales!$C$3:$C$500,$A314,Sales!$B$3:$B$500,"&gt;="&amp;DATE($B314,1,1),Sales!$B$3:$B$500,"&lt;="&amp;DATE($B314,12,31))/1000,SUMIFS('Asset Value'!$I$4:$I$500,'Asset Value'!$C$4:$C$500,$A314,'Asset Value'!$B$4:$B$500,$B314)/1000)</f>
        <v>0</v>
      </c>
      <c r="F314" s="9" t="n">
        <f aca="false">SUMIFS(Rent!$G$3:$G$500,Rent!$D$3:$D$500,$A314,Rent!$C$3:$C$500,$B314)/1000</f>
        <v>0</v>
      </c>
      <c r="G314" s="9" t="n">
        <f aca="false">SUMIFS(Costs!$F$3:$F$500,Costs!$C$3:$C$500,$A314,Costs!$B$3:$B$500,"&gt;="&amp;DATE($B314,1,1),Costs!$B$3:$B$500,"&lt;="&amp;DATE($B314,12,31))/1000</f>
        <v>0</v>
      </c>
      <c r="H314" s="9" t="n">
        <f aca="false">SUMIFS('Partial Sales'!$F$3:$F$500,'Partial Sales'!$C$3:$C$500,$A314,'Partial Sales'!$B$3:$B$500,"&gt;="&amp;DATE($B314,1,1),'Partial Sales'!$B$3:$B$500,"&lt;="&amp;DATE($B314,12,31))/1000</f>
        <v>0</v>
      </c>
      <c r="I314" s="9" t="n">
        <f aca="false">SUMIFS('Partial Purchases'!$F$3:$F$500,'Partial Purchases'!$C$3:$C$500,$A314,'Partial Purchases'!$B$3:$B$500,"&gt;="&amp;DATE($B314,1,1),'Partial Purchases'!$B$3:$B$500,"&lt;="&amp;DATE($B314,12,31))/1000</f>
        <v>0</v>
      </c>
      <c r="J314" s="9" t="n">
        <f aca="false">C314*(D314+0.5*(G314-H314+I314-F314))</f>
        <v>0</v>
      </c>
      <c r="K314" s="9" t="n">
        <f aca="false">C314*(E314-D314+H314-G314-I314)</f>
        <v>0</v>
      </c>
      <c r="L314" s="13" t="str">
        <f aca="false">IF(J314=0,"",C314*F314/J314)</f>
        <v/>
      </c>
      <c r="M314" s="13" t="str">
        <f aca="false">IF(J314=0,"",K314/J314)</f>
        <v/>
      </c>
      <c r="N314" s="13" t="str">
        <f aca="false">IF(J314=0,"",L314+M314)</f>
        <v/>
      </c>
    </row>
    <row r="315" customFormat="false" ht="15" hidden="false" customHeight="false" outlineLevel="0" collapsed="false">
      <c r="A315" s="47" t="s">
        <v>27</v>
      </c>
      <c r="B315" s="48" t="n">
        <v>2015</v>
      </c>
      <c r="C315" s="49" t="n">
        <f aca="false">IF(D315&gt;0,1,0)</f>
        <v>0</v>
      </c>
      <c r="D315" s="50" t="n">
        <f aca="false">IF(SUMIFS(Sales!$F$3:$F$500,Sales!$C$3:$C$500,$A315,Sales!$B$3:$B$500,"&lt;="&amp;DATE($B315-1,12,31))&gt;0,0,SUMIFS('Asset Value'!$I$4:$I$500,'Asset Value'!$C$4:$C$500,$A315,'Asset Value'!$B$4:$B$500,$B315-1)/1000)</f>
        <v>0</v>
      </c>
      <c r="E315" s="50" t="n">
        <f aca="false">IF(SUMIFS(Sales!$F$3:$F$500,Sales!$C$3:$C$500,$A315,Sales!$B$3:$B$500,"&gt;="&amp;DATE($B315,1,1),Sales!$B$3:$B$500,"&lt;="&amp;DATE($B315,12,31))&gt;0,SUMIFS(Sales!$F$3:$F$500,Sales!$C$3:$C$500,$A315,Sales!$B$3:$B$500,"&gt;="&amp;DATE($B315,1,1),Sales!$B$3:$B$500,"&lt;="&amp;DATE($B315,12,31))/1000,SUMIFS('Asset Value'!$I$4:$I$500,'Asset Value'!$C$4:$C$500,$A315,'Asset Value'!$B$4:$B$500,$B315)/1000)</f>
        <v>0</v>
      </c>
      <c r="F315" s="50" t="n">
        <f aca="false">SUMIFS(Rent!$G$3:$G$500,Rent!$D$3:$D$500,$A315,Rent!$C$3:$C$500,$B315)/1000</f>
        <v>0</v>
      </c>
      <c r="G315" s="50" t="n">
        <f aca="false">SUMIFS(Costs!$F$3:$F$500,Costs!$C$3:$C$500,$A315,Costs!$B$3:$B$500,"&gt;="&amp;DATE($B315,1,1),Costs!$B$3:$B$500,"&lt;="&amp;DATE($B315,12,31))/1000</f>
        <v>0</v>
      </c>
      <c r="H315" s="50" t="n">
        <f aca="false">SUMIFS('Partial Sales'!$F$3:$F$500,'Partial Sales'!$C$3:$C$500,$A315,'Partial Sales'!$B$3:$B$500,"&gt;="&amp;DATE($B315,1,1),'Partial Sales'!$B$3:$B$500,"&lt;="&amp;DATE($B315,12,31))/1000</f>
        <v>0</v>
      </c>
      <c r="I315" s="50" t="n">
        <f aca="false">SUMIFS('Partial Purchases'!$F$3:$F$500,'Partial Purchases'!$C$3:$C$500,$A315,'Partial Purchases'!$B$3:$B$500,"&gt;="&amp;DATE($B315,1,1),'Partial Purchases'!$B$3:$B$500,"&lt;="&amp;DATE($B315,12,31))/1000</f>
        <v>0</v>
      </c>
      <c r="J315" s="50" t="n">
        <f aca="false">C315*(D315+0.5*(G315-H315+I315-F315))</f>
        <v>0</v>
      </c>
      <c r="K315" s="50" t="n">
        <f aca="false">C315*(E315-D315+H315-G315-I315)</f>
        <v>0</v>
      </c>
      <c r="L315" s="44" t="str">
        <f aca="false">IF(J315=0,"",C315*F315/J315)</f>
        <v/>
      </c>
      <c r="M315" s="44" t="str">
        <f aca="false">IF(J315=0,"",K315/J315)</f>
        <v/>
      </c>
      <c r="N315" s="44" t="str">
        <f aca="false">IF(J315=0,"",L315+M315)</f>
        <v/>
      </c>
    </row>
    <row r="316" customFormat="false" ht="15" hidden="false" customHeight="false" outlineLevel="0" collapsed="false">
      <c r="A316" s="8" t="s">
        <v>28</v>
      </c>
      <c r="B316" s="46" t="n">
        <v>2008</v>
      </c>
      <c r="C316" s="10" t="n">
        <f aca="false">IF(D316&gt;0,1,0)</f>
        <v>0</v>
      </c>
      <c r="D316" s="9" t="n">
        <f aca="false">IF(SUMIFS(Sales!$F$3:$F$500,Sales!$C$3:$C$500,$A316,Sales!$B$3:$B$500,"&lt;="&amp;DATE($B316-1,12,31))&gt;0,0,SUMIFS('Asset Value'!$I$4:$I$500,'Asset Value'!$C$4:$C$500,$A316,'Asset Value'!$B$4:$B$500,$B316-1)/1000)</f>
        <v>0</v>
      </c>
      <c r="E316" s="9" t="n">
        <f aca="false">IF(SUMIFS(Sales!$F$3:$F$500,Sales!$C$3:$C$500,$A316,Sales!$B$3:$B$500,"&gt;="&amp;DATE($B316,1,1),Sales!$B$3:$B$500,"&lt;="&amp;DATE($B316,12,31))&gt;0,SUMIFS(Sales!$F$3:$F$500,Sales!$C$3:$C$500,$A316,Sales!$B$3:$B$500,"&gt;="&amp;DATE($B316,1,1),Sales!$B$3:$B$500,"&lt;="&amp;DATE($B316,12,31))/1000,SUMIFS('Asset Value'!$I$4:$I$500,'Asset Value'!$C$4:$C$500,$A316,'Asset Value'!$B$4:$B$500,$B316)/1000)</f>
        <v>0</v>
      </c>
      <c r="F316" s="9" t="n">
        <f aca="false">SUMIFS(Rent!$G$3:$G$500,Rent!$D$3:$D$500,$A316,Rent!$C$3:$C$500,$B316)/1000</f>
        <v>0</v>
      </c>
      <c r="G316" s="9" t="n">
        <f aca="false">SUMIFS(Costs!$F$3:$F$500,Costs!$C$3:$C$500,$A316,Costs!$B$3:$B$500,"&gt;="&amp;DATE($B316,1,1),Costs!$B$3:$B$500,"&lt;="&amp;DATE($B316,12,31))/1000</f>
        <v>0</v>
      </c>
      <c r="H316" s="9" t="n">
        <f aca="false">SUMIFS('Partial Sales'!$F$3:$F$500,'Partial Sales'!$C$3:$C$500,$A316,'Partial Sales'!$B$3:$B$500,"&gt;="&amp;DATE($B316,1,1),'Partial Sales'!$B$3:$B$500,"&lt;="&amp;DATE($B316,12,31))/1000</f>
        <v>0</v>
      </c>
      <c r="I316" s="9" t="n">
        <f aca="false">SUMIFS('Partial Purchases'!$F$3:$F$500,'Partial Purchases'!$C$3:$C$500,$A316,'Partial Purchases'!$B$3:$B$500,"&gt;="&amp;DATE($B316,1,1),'Partial Purchases'!$B$3:$B$500,"&lt;="&amp;DATE($B316,12,31))/1000</f>
        <v>0</v>
      </c>
      <c r="J316" s="9" t="n">
        <f aca="false">C316*(D316+0.5*(G316-H316+I316-F316))</f>
        <v>0</v>
      </c>
      <c r="K316" s="9" t="n">
        <f aca="false">C316*(E316-D316+H316-G316-I316)</f>
        <v>0</v>
      </c>
      <c r="L316" s="13" t="str">
        <f aca="false">IF(J316=0,"",C316*F316/J316)</f>
        <v/>
      </c>
      <c r="M316" s="13" t="str">
        <f aca="false">IF(J316=0,"",K316/J316)</f>
        <v/>
      </c>
      <c r="N316" s="13" t="str">
        <f aca="false">IF(J316=0,"",L316+M316)</f>
        <v/>
      </c>
    </row>
    <row r="317" customFormat="false" ht="15" hidden="false" customHeight="false" outlineLevel="0" collapsed="false">
      <c r="A317" s="8" t="s">
        <v>28</v>
      </c>
      <c r="B317" s="46" t="n">
        <v>2009</v>
      </c>
      <c r="C317" s="10" t="n">
        <f aca="false">IF(D317&gt;0,1,0)</f>
        <v>0</v>
      </c>
      <c r="D317" s="9" t="n">
        <f aca="false">IF(SUMIFS(Sales!$F$3:$F$500,Sales!$C$3:$C$500,$A317,Sales!$B$3:$B$500,"&lt;="&amp;DATE($B317-1,12,31))&gt;0,0,SUMIFS('Asset Value'!$I$4:$I$500,'Asset Value'!$C$4:$C$500,$A317,'Asset Value'!$B$4:$B$500,$B317-1)/1000)</f>
        <v>0</v>
      </c>
      <c r="E317" s="9" t="n">
        <f aca="false">IF(SUMIFS(Sales!$F$3:$F$500,Sales!$C$3:$C$500,$A317,Sales!$B$3:$B$500,"&gt;="&amp;DATE($B317,1,1),Sales!$B$3:$B$500,"&lt;="&amp;DATE($B317,12,31))&gt;0,SUMIFS(Sales!$F$3:$F$500,Sales!$C$3:$C$500,$A317,Sales!$B$3:$B$500,"&gt;="&amp;DATE($B317,1,1),Sales!$B$3:$B$500,"&lt;="&amp;DATE($B317,12,31))/1000,SUMIFS('Asset Value'!$I$4:$I$500,'Asset Value'!$C$4:$C$500,$A317,'Asset Value'!$B$4:$B$500,$B317)/1000)</f>
        <v>0</v>
      </c>
      <c r="F317" s="9" t="n">
        <f aca="false">SUMIFS(Rent!$G$3:$G$500,Rent!$D$3:$D$500,$A317,Rent!$C$3:$C$500,$B317)/1000</f>
        <v>0</v>
      </c>
      <c r="G317" s="9" t="n">
        <f aca="false">SUMIFS(Costs!$F$3:$F$500,Costs!$C$3:$C$500,$A317,Costs!$B$3:$B$500,"&gt;="&amp;DATE($B317,1,1),Costs!$B$3:$B$500,"&lt;="&amp;DATE($B317,12,31))/1000</f>
        <v>0</v>
      </c>
      <c r="H317" s="9" t="n">
        <f aca="false">SUMIFS('Partial Sales'!$F$3:$F$500,'Partial Sales'!$C$3:$C$500,$A317,'Partial Sales'!$B$3:$B$500,"&gt;="&amp;DATE($B317,1,1),'Partial Sales'!$B$3:$B$500,"&lt;="&amp;DATE($B317,12,31))/1000</f>
        <v>0</v>
      </c>
      <c r="I317" s="9" t="n">
        <f aca="false">SUMIFS('Partial Purchases'!$F$3:$F$500,'Partial Purchases'!$C$3:$C$500,$A317,'Partial Purchases'!$B$3:$B$500,"&gt;="&amp;DATE($B317,1,1),'Partial Purchases'!$B$3:$B$500,"&lt;="&amp;DATE($B317,12,31))/1000</f>
        <v>0</v>
      </c>
      <c r="J317" s="9" t="n">
        <f aca="false">C317*(D317+0.5*(G317-H317+I317-F317))</f>
        <v>0</v>
      </c>
      <c r="K317" s="9" t="n">
        <f aca="false">C317*(E317-D317+H317-G317-I317)</f>
        <v>0</v>
      </c>
      <c r="L317" s="13" t="str">
        <f aca="false">IF(J317=0,"",C317*F317/J317)</f>
        <v/>
      </c>
      <c r="M317" s="13" t="str">
        <f aca="false">IF(J317=0,"",K317/J317)</f>
        <v/>
      </c>
      <c r="N317" s="13" t="str">
        <f aca="false">IF(J317=0,"",L317+M317)</f>
        <v/>
      </c>
    </row>
    <row r="318" customFormat="false" ht="15" hidden="false" customHeight="false" outlineLevel="0" collapsed="false">
      <c r="A318" s="8" t="s">
        <v>28</v>
      </c>
      <c r="B318" s="46" t="n">
        <v>2010</v>
      </c>
      <c r="C318" s="10" t="n">
        <f aca="false">IF(D318&gt;0,1,0)</f>
        <v>0</v>
      </c>
      <c r="D318" s="9" t="n">
        <f aca="false">IF(SUMIFS(Sales!$F$3:$F$500,Sales!$C$3:$C$500,$A318,Sales!$B$3:$B$500,"&lt;="&amp;DATE($B318-1,12,31))&gt;0,0,SUMIFS('Asset Value'!$I$4:$I$500,'Asset Value'!$C$4:$C$500,$A318,'Asset Value'!$B$4:$B$500,$B318-1)/1000)</f>
        <v>0</v>
      </c>
      <c r="E318" s="9" t="n">
        <f aca="false">IF(SUMIFS(Sales!$F$3:$F$500,Sales!$C$3:$C$500,$A318,Sales!$B$3:$B$500,"&gt;="&amp;DATE($B318,1,1),Sales!$B$3:$B$500,"&lt;="&amp;DATE($B318,12,31))&gt;0,SUMIFS(Sales!$F$3:$F$500,Sales!$C$3:$C$500,$A318,Sales!$B$3:$B$500,"&gt;="&amp;DATE($B318,1,1),Sales!$B$3:$B$500,"&lt;="&amp;DATE($B318,12,31))/1000,SUMIFS('Asset Value'!$I$4:$I$500,'Asset Value'!$C$4:$C$500,$A318,'Asset Value'!$B$4:$B$500,$B318)/1000)</f>
        <v>0</v>
      </c>
      <c r="F318" s="9" t="n">
        <f aca="false">SUMIFS(Rent!$G$3:$G$500,Rent!$D$3:$D$500,$A318,Rent!$C$3:$C$500,$B318)/1000</f>
        <v>0</v>
      </c>
      <c r="G318" s="9" t="n">
        <f aca="false">SUMIFS(Costs!$F$3:$F$500,Costs!$C$3:$C$500,$A318,Costs!$B$3:$B$500,"&gt;="&amp;DATE($B318,1,1),Costs!$B$3:$B$500,"&lt;="&amp;DATE($B318,12,31))/1000</f>
        <v>0</v>
      </c>
      <c r="H318" s="9" t="n">
        <f aca="false">SUMIFS('Partial Sales'!$F$3:$F$500,'Partial Sales'!$C$3:$C$500,$A318,'Partial Sales'!$B$3:$B$500,"&gt;="&amp;DATE($B318,1,1),'Partial Sales'!$B$3:$B$500,"&lt;="&amp;DATE($B318,12,31))/1000</f>
        <v>0</v>
      </c>
      <c r="I318" s="9" t="n">
        <f aca="false">SUMIFS('Partial Purchases'!$F$3:$F$500,'Partial Purchases'!$C$3:$C$500,$A318,'Partial Purchases'!$B$3:$B$500,"&gt;="&amp;DATE($B318,1,1),'Partial Purchases'!$B$3:$B$500,"&lt;="&amp;DATE($B318,12,31))/1000</f>
        <v>0</v>
      </c>
      <c r="J318" s="9" t="n">
        <f aca="false">C318*(D318+0.5*(G318-H318+I318-F318))</f>
        <v>0</v>
      </c>
      <c r="K318" s="9" t="n">
        <f aca="false">C318*(E318-D318+H318-G318-I318)</f>
        <v>0</v>
      </c>
      <c r="L318" s="13" t="str">
        <f aca="false">IF(J318=0,"",C318*F318/J318)</f>
        <v/>
      </c>
      <c r="M318" s="13" t="str">
        <f aca="false">IF(J318=0,"",K318/J318)</f>
        <v/>
      </c>
      <c r="N318" s="13" t="str">
        <f aca="false">IF(J318=0,"",L318+M318)</f>
        <v/>
      </c>
    </row>
    <row r="319" customFormat="false" ht="15" hidden="false" customHeight="false" outlineLevel="0" collapsed="false">
      <c r="A319" s="8" t="s">
        <v>28</v>
      </c>
      <c r="B319" s="46" t="n">
        <v>2011</v>
      </c>
      <c r="C319" s="10" t="n">
        <f aca="false">IF(D319&gt;0,1,0)</f>
        <v>0</v>
      </c>
      <c r="D319" s="9" t="n">
        <f aca="false">IF(SUMIFS(Sales!$F$3:$F$500,Sales!$C$3:$C$500,$A319,Sales!$B$3:$B$500,"&lt;="&amp;DATE($B319-1,12,31))&gt;0,0,SUMIFS('Asset Value'!$I$4:$I$500,'Asset Value'!$C$4:$C$500,$A319,'Asset Value'!$B$4:$B$500,$B319-1)/1000)</f>
        <v>0</v>
      </c>
      <c r="E319" s="9" t="n">
        <f aca="false">IF(SUMIFS(Sales!$F$3:$F$500,Sales!$C$3:$C$500,$A319,Sales!$B$3:$B$500,"&gt;="&amp;DATE($B319,1,1),Sales!$B$3:$B$500,"&lt;="&amp;DATE($B319,12,31))&gt;0,SUMIFS(Sales!$F$3:$F$500,Sales!$C$3:$C$500,$A319,Sales!$B$3:$B$500,"&gt;="&amp;DATE($B319,1,1),Sales!$B$3:$B$500,"&lt;="&amp;DATE($B319,12,31))/1000,SUMIFS('Asset Value'!$I$4:$I$500,'Asset Value'!$C$4:$C$500,$A319,'Asset Value'!$B$4:$B$500,$B319)/1000)</f>
        <v>0</v>
      </c>
      <c r="F319" s="9" t="n">
        <f aca="false">SUMIFS(Rent!$G$3:$G$500,Rent!$D$3:$D$500,$A319,Rent!$C$3:$C$500,$B319)/1000</f>
        <v>0</v>
      </c>
      <c r="G319" s="9" t="n">
        <f aca="false">SUMIFS(Costs!$F$3:$F$500,Costs!$C$3:$C$500,$A319,Costs!$B$3:$B$500,"&gt;="&amp;DATE($B319,1,1),Costs!$B$3:$B$500,"&lt;="&amp;DATE($B319,12,31))/1000</f>
        <v>0</v>
      </c>
      <c r="H319" s="9" t="n">
        <f aca="false">SUMIFS('Partial Sales'!$F$3:$F$500,'Partial Sales'!$C$3:$C$500,$A319,'Partial Sales'!$B$3:$B$500,"&gt;="&amp;DATE($B319,1,1),'Partial Sales'!$B$3:$B$500,"&lt;="&amp;DATE($B319,12,31))/1000</f>
        <v>0</v>
      </c>
      <c r="I319" s="9" t="n">
        <f aca="false">SUMIFS('Partial Purchases'!$F$3:$F$500,'Partial Purchases'!$C$3:$C$500,$A319,'Partial Purchases'!$B$3:$B$500,"&gt;="&amp;DATE($B319,1,1),'Partial Purchases'!$B$3:$B$500,"&lt;="&amp;DATE($B319,12,31))/1000</f>
        <v>0</v>
      </c>
      <c r="J319" s="9" t="n">
        <f aca="false">C319*(D319+0.5*(G319-H319+I319-F319))</f>
        <v>0</v>
      </c>
      <c r="K319" s="9" t="n">
        <f aca="false">C319*(E319-D319+H319-G319-I319)</f>
        <v>0</v>
      </c>
      <c r="L319" s="13" t="str">
        <f aca="false">IF(J319=0,"",C319*F319/J319)</f>
        <v/>
      </c>
      <c r="M319" s="13" t="str">
        <f aca="false">IF(J319=0,"",K319/J319)</f>
        <v/>
      </c>
      <c r="N319" s="13" t="str">
        <f aca="false">IF(J319=0,"",L319+M319)</f>
        <v/>
      </c>
    </row>
    <row r="320" customFormat="false" ht="15" hidden="false" customHeight="false" outlineLevel="0" collapsed="false">
      <c r="A320" s="8" t="s">
        <v>28</v>
      </c>
      <c r="B320" s="46" t="n">
        <v>2012</v>
      </c>
      <c r="C320" s="10" t="n">
        <f aca="false">IF(D320&gt;0,1,0)</f>
        <v>0</v>
      </c>
      <c r="D320" s="9" t="n">
        <f aca="false">IF(SUMIFS(Sales!$F$3:$F$500,Sales!$C$3:$C$500,$A320,Sales!$B$3:$B$500,"&lt;="&amp;DATE($B320-1,12,31))&gt;0,0,SUMIFS('Asset Value'!$I$4:$I$500,'Asset Value'!$C$4:$C$500,$A320,'Asset Value'!$B$4:$B$500,$B320-1)/1000)</f>
        <v>0</v>
      </c>
      <c r="E320" s="9" t="n">
        <f aca="false">IF(SUMIFS(Sales!$F$3:$F$500,Sales!$C$3:$C$500,$A320,Sales!$B$3:$B$500,"&gt;="&amp;DATE($B320,1,1),Sales!$B$3:$B$500,"&lt;="&amp;DATE($B320,12,31))&gt;0,SUMIFS(Sales!$F$3:$F$500,Sales!$C$3:$C$500,$A320,Sales!$B$3:$B$500,"&gt;="&amp;DATE($B320,1,1),Sales!$B$3:$B$500,"&lt;="&amp;DATE($B320,12,31))/1000,SUMIFS('Asset Value'!$I$4:$I$500,'Asset Value'!$C$4:$C$500,$A320,'Asset Value'!$B$4:$B$500,$B320)/1000)</f>
        <v>0</v>
      </c>
      <c r="F320" s="9" t="n">
        <f aca="false">SUMIFS(Rent!$G$3:$G$500,Rent!$D$3:$D$500,$A320,Rent!$C$3:$C$500,$B320)/1000</f>
        <v>0</v>
      </c>
      <c r="G320" s="9" t="n">
        <f aca="false">SUMIFS(Costs!$F$3:$F$500,Costs!$C$3:$C$500,$A320,Costs!$B$3:$B$500,"&gt;="&amp;DATE($B320,1,1),Costs!$B$3:$B$500,"&lt;="&amp;DATE($B320,12,31))/1000</f>
        <v>0</v>
      </c>
      <c r="H320" s="9" t="n">
        <f aca="false">SUMIFS('Partial Sales'!$F$3:$F$500,'Partial Sales'!$C$3:$C$500,$A320,'Partial Sales'!$B$3:$B$500,"&gt;="&amp;DATE($B320,1,1),'Partial Sales'!$B$3:$B$500,"&lt;="&amp;DATE($B320,12,31))/1000</f>
        <v>0</v>
      </c>
      <c r="I320" s="9" t="n">
        <f aca="false">SUMIFS('Partial Purchases'!$F$3:$F$500,'Partial Purchases'!$C$3:$C$500,$A320,'Partial Purchases'!$B$3:$B$500,"&gt;="&amp;DATE($B320,1,1),'Partial Purchases'!$B$3:$B$500,"&lt;="&amp;DATE($B320,12,31))/1000</f>
        <v>0</v>
      </c>
      <c r="J320" s="9" t="n">
        <f aca="false">C320*(D320+0.5*(G320-H320+I320-F320))</f>
        <v>0</v>
      </c>
      <c r="K320" s="9" t="n">
        <f aca="false">C320*(E320-D320+H320-G320-I320)</f>
        <v>0</v>
      </c>
      <c r="L320" s="13" t="str">
        <f aca="false">IF(J320=0,"",C320*F320/J320)</f>
        <v/>
      </c>
      <c r="M320" s="13" t="str">
        <f aca="false">IF(J320=0,"",K320/J320)</f>
        <v/>
      </c>
      <c r="N320" s="13" t="str">
        <f aca="false">IF(J320=0,"",L320+M320)</f>
        <v/>
      </c>
    </row>
    <row r="321" customFormat="false" ht="15" hidden="false" customHeight="false" outlineLevel="0" collapsed="false">
      <c r="A321" s="8" t="s">
        <v>28</v>
      </c>
      <c r="B321" s="46" t="n">
        <v>2013</v>
      </c>
      <c r="C321" s="10" t="n">
        <f aca="false">IF(D321&gt;0,1,0)</f>
        <v>0</v>
      </c>
      <c r="D321" s="9" t="n">
        <f aca="false">IF(SUMIFS(Sales!$F$3:$F$500,Sales!$C$3:$C$500,$A321,Sales!$B$3:$B$500,"&lt;="&amp;DATE($B321-1,12,31))&gt;0,0,SUMIFS('Asset Value'!$I$4:$I$500,'Asset Value'!$C$4:$C$500,$A321,'Asset Value'!$B$4:$B$500,$B321-1)/1000)</f>
        <v>0</v>
      </c>
      <c r="E321" s="9" t="n">
        <f aca="false">IF(SUMIFS(Sales!$F$3:$F$500,Sales!$C$3:$C$500,$A321,Sales!$B$3:$B$500,"&gt;="&amp;DATE($B321,1,1),Sales!$B$3:$B$500,"&lt;="&amp;DATE($B321,12,31))&gt;0,SUMIFS(Sales!$F$3:$F$500,Sales!$C$3:$C$500,$A321,Sales!$B$3:$B$500,"&gt;="&amp;DATE($B321,1,1),Sales!$B$3:$B$500,"&lt;="&amp;DATE($B321,12,31))/1000,SUMIFS('Asset Value'!$I$4:$I$500,'Asset Value'!$C$4:$C$500,$A321,'Asset Value'!$B$4:$B$500,$B321)/1000)</f>
        <v>0</v>
      </c>
      <c r="F321" s="9" t="n">
        <f aca="false">SUMIFS(Rent!$G$3:$G$500,Rent!$D$3:$D$500,$A321,Rent!$C$3:$C$500,$B321)/1000</f>
        <v>0</v>
      </c>
      <c r="G321" s="9" t="n">
        <f aca="false">SUMIFS(Costs!$F$3:$F$500,Costs!$C$3:$C$500,$A321,Costs!$B$3:$B$500,"&gt;="&amp;DATE($B321,1,1),Costs!$B$3:$B$500,"&lt;="&amp;DATE($B321,12,31))/1000</f>
        <v>0</v>
      </c>
      <c r="H321" s="9" t="n">
        <f aca="false">SUMIFS('Partial Sales'!$F$3:$F$500,'Partial Sales'!$C$3:$C$500,$A321,'Partial Sales'!$B$3:$B$500,"&gt;="&amp;DATE($B321,1,1),'Partial Sales'!$B$3:$B$500,"&lt;="&amp;DATE($B321,12,31))/1000</f>
        <v>0</v>
      </c>
      <c r="I321" s="9" t="n">
        <f aca="false">SUMIFS('Partial Purchases'!$F$3:$F$500,'Partial Purchases'!$C$3:$C$500,$A321,'Partial Purchases'!$B$3:$B$500,"&gt;="&amp;DATE($B321,1,1),'Partial Purchases'!$B$3:$B$500,"&lt;="&amp;DATE($B321,12,31))/1000</f>
        <v>0</v>
      </c>
      <c r="J321" s="9" t="n">
        <f aca="false">C321*(D321+0.5*(G321-H321+I321-F321))</f>
        <v>0</v>
      </c>
      <c r="K321" s="9" t="n">
        <f aca="false">C321*(E321-D321+H321-G321-I321)</f>
        <v>0</v>
      </c>
      <c r="L321" s="13" t="str">
        <f aca="false">IF(J321=0,"",C321*F321/J321)</f>
        <v/>
      </c>
      <c r="M321" s="13" t="str">
        <f aca="false">IF(J321=0,"",K321/J321)</f>
        <v/>
      </c>
      <c r="N321" s="13" t="str">
        <f aca="false">IF(J321=0,"",L321+M321)</f>
        <v/>
      </c>
    </row>
    <row r="322" customFormat="false" ht="15" hidden="false" customHeight="false" outlineLevel="0" collapsed="false">
      <c r="A322" s="8" t="s">
        <v>28</v>
      </c>
      <c r="B322" s="46" t="n">
        <v>2014</v>
      </c>
      <c r="C322" s="10" t="n">
        <f aca="false">IF(D322&gt;0,1,0)</f>
        <v>0</v>
      </c>
      <c r="D322" s="9" t="n">
        <f aca="false">IF(SUMIFS(Sales!$F$3:$F$500,Sales!$C$3:$C$500,$A322,Sales!$B$3:$B$500,"&lt;="&amp;DATE($B322-1,12,31))&gt;0,0,SUMIFS('Asset Value'!$I$4:$I$500,'Asset Value'!$C$4:$C$500,$A322,'Asset Value'!$B$4:$B$500,$B322-1)/1000)</f>
        <v>0</v>
      </c>
      <c r="E322" s="9" t="n">
        <f aca="false">IF(SUMIFS(Sales!$F$3:$F$500,Sales!$C$3:$C$500,$A322,Sales!$B$3:$B$500,"&gt;="&amp;DATE($B322,1,1),Sales!$B$3:$B$500,"&lt;="&amp;DATE($B322,12,31))&gt;0,SUMIFS(Sales!$F$3:$F$500,Sales!$C$3:$C$500,$A322,Sales!$B$3:$B$500,"&gt;="&amp;DATE($B322,1,1),Sales!$B$3:$B$500,"&lt;="&amp;DATE($B322,12,31))/1000,SUMIFS('Asset Value'!$I$4:$I$500,'Asset Value'!$C$4:$C$500,$A322,'Asset Value'!$B$4:$B$500,$B322)/1000)</f>
        <v>0</v>
      </c>
      <c r="F322" s="9" t="n">
        <f aca="false">SUMIFS(Rent!$G$3:$G$500,Rent!$D$3:$D$500,$A322,Rent!$C$3:$C$500,$B322)/1000</f>
        <v>0</v>
      </c>
      <c r="G322" s="9" t="n">
        <f aca="false">SUMIFS(Costs!$F$3:$F$500,Costs!$C$3:$C$500,$A322,Costs!$B$3:$B$500,"&gt;="&amp;DATE($B322,1,1),Costs!$B$3:$B$500,"&lt;="&amp;DATE($B322,12,31))/1000</f>
        <v>0</v>
      </c>
      <c r="H322" s="9" t="n">
        <f aca="false">SUMIFS('Partial Sales'!$F$3:$F$500,'Partial Sales'!$C$3:$C$500,$A322,'Partial Sales'!$B$3:$B$500,"&gt;="&amp;DATE($B322,1,1),'Partial Sales'!$B$3:$B$500,"&lt;="&amp;DATE($B322,12,31))/1000</f>
        <v>0</v>
      </c>
      <c r="I322" s="9" t="n">
        <f aca="false">SUMIFS('Partial Purchases'!$F$3:$F$500,'Partial Purchases'!$C$3:$C$500,$A322,'Partial Purchases'!$B$3:$B$500,"&gt;="&amp;DATE($B322,1,1),'Partial Purchases'!$B$3:$B$500,"&lt;="&amp;DATE($B322,12,31))/1000</f>
        <v>0</v>
      </c>
      <c r="J322" s="9" t="n">
        <f aca="false">C322*(D322+0.5*(G322-H322+I322-F322))</f>
        <v>0</v>
      </c>
      <c r="K322" s="9" t="n">
        <f aca="false">C322*(E322-D322+H322-G322-I322)</f>
        <v>0</v>
      </c>
      <c r="L322" s="13" t="str">
        <f aca="false">IF(J322=0,"",C322*F322/J322)</f>
        <v/>
      </c>
      <c r="M322" s="13" t="str">
        <f aca="false">IF(J322=0,"",K322/J322)</f>
        <v/>
      </c>
      <c r="N322" s="13" t="str">
        <f aca="false">IF(J322=0,"",L322+M322)</f>
        <v/>
      </c>
    </row>
    <row r="323" customFormat="false" ht="15" hidden="false" customHeight="false" outlineLevel="0" collapsed="false">
      <c r="A323" s="47" t="s">
        <v>28</v>
      </c>
      <c r="B323" s="48" t="n">
        <v>2015</v>
      </c>
      <c r="C323" s="49" t="n">
        <f aca="false">IF(D323&gt;0,1,0)</f>
        <v>0</v>
      </c>
      <c r="D323" s="50" t="n">
        <f aca="false">IF(SUMIFS(Sales!$F$3:$F$500,Sales!$C$3:$C$500,$A323,Sales!$B$3:$B$500,"&lt;="&amp;DATE($B323-1,12,31))&gt;0,0,SUMIFS('Asset Value'!$I$4:$I$500,'Asset Value'!$C$4:$C$500,$A323,'Asset Value'!$B$4:$B$500,$B323-1)/1000)</f>
        <v>0</v>
      </c>
      <c r="E323" s="50" t="n">
        <f aca="false">IF(SUMIFS(Sales!$F$3:$F$500,Sales!$C$3:$C$500,$A323,Sales!$B$3:$B$500,"&gt;="&amp;DATE($B323,1,1),Sales!$B$3:$B$500,"&lt;="&amp;DATE($B323,12,31))&gt;0,SUMIFS(Sales!$F$3:$F$500,Sales!$C$3:$C$500,$A323,Sales!$B$3:$B$500,"&gt;="&amp;DATE($B323,1,1),Sales!$B$3:$B$500,"&lt;="&amp;DATE($B323,12,31))/1000,SUMIFS('Asset Value'!$I$4:$I$500,'Asset Value'!$C$4:$C$500,$A323,'Asset Value'!$B$4:$B$500,$B323)/1000)</f>
        <v>0</v>
      </c>
      <c r="F323" s="50" t="n">
        <f aca="false">SUMIFS(Rent!$G$3:$G$500,Rent!$D$3:$D$500,$A323,Rent!$C$3:$C$500,$B323)/1000</f>
        <v>0</v>
      </c>
      <c r="G323" s="50" t="n">
        <f aca="false">SUMIFS(Costs!$F$3:$F$500,Costs!$C$3:$C$500,$A323,Costs!$B$3:$B$500,"&gt;="&amp;DATE($B323,1,1),Costs!$B$3:$B$500,"&lt;="&amp;DATE($B323,12,31))/1000</f>
        <v>0</v>
      </c>
      <c r="H323" s="50" t="n">
        <f aca="false">SUMIFS('Partial Sales'!$F$3:$F$500,'Partial Sales'!$C$3:$C$500,$A323,'Partial Sales'!$B$3:$B$500,"&gt;="&amp;DATE($B323,1,1),'Partial Sales'!$B$3:$B$500,"&lt;="&amp;DATE($B323,12,31))/1000</f>
        <v>0</v>
      </c>
      <c r="I323" s="50" t="n">
        <f aca="false">SUMIFS('Partial Purchases'!$F$3:$F$500,'Partial Purchases'!$C$3:$C$500,$A323,'Partial Purchases'!$B$3:$B$500,"&gt;="&amp;DATE($B323,1,1),'Partial Purchases'!$B$3:$B$500,"&lt;="&amp;DATE($B323,12,31))/1000</f>
        <v>0</v>
      </c>
      <c r="J323" s="50" t="n">
        <f aca="false">C323*(D323+0.5*(G323-H323+I323-F323))</f>
        <v>0</v>
      </c>
      <c r="K323" s="50" t="n">
        <f aca="false">C323*(E323-D323+H323-G323-I323)</f>
        <v>0</v>
      </c>
      <c r="L323" s="44" t="str">
        <f aca="false">IF(J323=0,"",C323*F323/J323)</f>
        <v/>
      </c>
      <c r="M323" s="44" t="str">
        <f aca="false">IF(J323=0,"",K323/J323)</f>
        <v/>
      </c>
      <c r="N323" s="44" t="str">
        <f aca="false">IF(J323=0,"",L323+M323)</f>
        <v/>
      </c>
    </row>
    <row r="324" customFormat="false" ht="15" hidden="false" customHeight="false" outlineLevel="0" collapsed="false">
      <c r="A324" s="8" t="s">
        <v>29</v>
      </c>
      <c r="B324" s="46" t="n">
        <v>2008</v>
      </c>
      <c r="C324" s="10" t="n">
        <f aca="false">IF(D324&gt;0,1,0)</f>
        <v>0</v>
      </c>
      <c r="D324" s="9" t="n">
        <f aca="false">IF(SUMIFS(Sales!$F$3:$F$500,Sales!$C$3:$C$500,$A324,Sales!$B$3:$B$500,"&lt;="&amp;DATE($B324-1,12,31))&gt;0,0,SUMIFS('Asset Value'!$I$4:$I$500,'Asset Value'!$C$4:$C$500,$A324,'Asset Value'!$B$4:$B$500,$B324-1)/1000)</f>
        <v>0</v>
      </c>
      <c r="E324" s="9" t="n">
        <f aca="false">IF(SUMIFS(Sales!$F$3:$F$500,Sales!$C$3:$C$500,$A324,Sales!$B$3:$B$500,"&gt;="&amp;DATE($B324,1,1),Sales!$B$3:$B$500,"&lt;="&amp;DATE($B324,12,31))&gt;0,SUMIFS(Sales!$F$3:$F$500,Sales!$C$3:$C$500,$A324,Sales!$B$3:$B$500,"&gt;="&amp;DATE($B324,1,1),Sales!$B$3:$B$500,"&lt;="&amp;DATE($B324,12,31))/1000,SUMIFS('Asset Value'!$I$4:$I$500,'Asset Value'!$C$4:$C$500,$A324,'Asset Value'!$B$4:$B$500,$B324)/1000)</f>
        <v>0</v>
      </c>
      <c r="F324" s="9" t="n">
        <f aca="false">SUMIFS(Rent!$G$3:$G$500,Rent!$D$3:$D$500,$A324,Rent!$C$3:$C$500,$B324)/1000</f>
        <v>0</v>
      </c>
      <c r="G324" s="9" t="n">
        <f aca="false">SUMIFS(Costs!$F$3:$F$500,Costs!$C$3:$C$500,$A324,Costs!$B$3:$B$500,"&gt;="&amp;DATE($B324,1,1),Costs!$B$3:$B$500,"&lt;="&amp;DATE($B324,12,31))/1000</f>
        <v>0</v>
      </c>
      <c r="H324" s="9" t="n">
        <f aca="false">SUMIFS('Partial Sales'!$F$3:$F$500,'Partial Sales'!$C$3:$C$500,$A324,'Partial Sales'!$B$3:$B$500,"&gt;="&amp;DATE($B324,1,1),'Partial Sales'!$B$3:$B$500,"&lt;="&amp;DATE($B324,12,31))/1000</f>
        <v>0</v>
      </c>
      <c r="I324" s="9" t="n">
        <f aca="false">SUMIFS('Partial Purchases'!$F$3:$F$500,'Partial Purchases'!$C$3:$C$500,$A324,'Partial Purchases'!$B$3:$B$500,"&gt;="&amp;DATE($B324,1,1),'Partial Purchases'!$B$3:$B$500,"&lt;="&amp;DATE($B324,12,31))/1000</f>
        <v>0</v>
      </c>
      <c r="J324" s="9" t="n">
        <f aca="false">C324*(D324+0.5*(G324-H324+I324-F324))</f>
        <v>0</v>
      </c>
      <c r="K324" s="9" t="n">
        <f aca="false">C324*(E324-D324+H324-G324-I324)</f>
        <v>0</v>
      </c>
      <c r="L324" s="13" t="str">
        <f aca="false">IF(J324=0,"",C324*F324/J324)</f>
        <v/>
      </c>
      <c r="M324" s="13" t="str">
        <f aca="false">IF(J324=0,"",K324/J324)</f>
        <v/>
      </c>
      <c r="N324" s="13" t="str">
        <f aca="false">IF(J324=0,"",L324+M324)</f>
        <v/>
      </c>
    </row>
    <row r="325" customFormat="false" ht="15" hidden="false" customHeight="false" outlineLevel="0" collapsed="false">
      <c r="A325" s="8" t="s">
        <v>29</v>
      </c>
      <c r="B325" s="46" t="n">
        <v>2009</v>
      </c>
      <c r="C325" s="10" t="n">
        <f aca="false">IF(D325&gt;0,1,0)</f>
        <v>0</v>
      </c>
      <c r="D325" s="9" t="n">
        <f aca="false">IF(SUMIFS(Sales!$F$3:$F$500,Sales!$C$3:$C$500,$A325,Sales!$B$3:$B$500,"&lt;="&amp;DATE($B325-1,12,31))&gt;0,0,SUMIFS('Asset Value'!$I$4:$I$500,'Asset Value'!$C$4:$C$500,$A325,'Asset Value'!$B$4:$B$500,$B325-1)/1000)</f>
        <v>0</v>
      </c>
      <c r="E325" s="9" t="n">
        <f aca="false">IF(SUMIFS(Sales!$F$3:$F$500,Sales!$C$3:$C$500,$A325,Sales!$B$3:$B$500,"&gt;="&amp;DATE($B325,1,1),Sales!$B$3:$B$500,"&lt;="&amp;DATE($B325,12,31))&gt;0,SUMIFS(Sales!$F$3:$F$500,Sales!$C$3:$C$500,$A325,Sales!$B$3:$B$500,"&gt;="&amp;DATE($B325,1,1),Sales!$B$3:$B$500,"&lt;="&amp;DATE($B325,12,31))/1000,SUMIFS('Asset Value'!$I$4:$I$500,'Asset Value'!$C$4:$C$500,$A325,'Asset Value'!$B$4:$B$500,$B325)/1000)</f>
        <v>0</v>
      </c>
      <c r="F325" s="9" t="n">
        <f aca="false">SUMIFS(Rent!$G$3:$G$500,Rent!$D$3:$D$500,$A325,Rent!$C$3:$C$500,$B325)/1000</f>
        <v>0</v>
      </c>
      <c r="G325" s="9" t="n">
        <f aca="false">SUMIFS(Costs!$F$3:$F$500,Costs!$C$3:$C$500,$A325,Costs!$B$3:$B$500,"&gt;="&amp;DATE($B325,1,1),Costs!$B$3:$B$500,"&lt;="&amp;DATE($B325,12,31))/1000</f>
        <v>0</v>
      </c>
      <c r="H325" s="9" t="n">
        <f aca="false">SUMIFS('Partial Sales'!$F$3:$F$500,'Partial Sales'!$C$3:$C$500,$A325,'Partial Sales'!$B$3:$B$500,"&gt;="&amp;DATE($B325,1,1),'Partial Sales'!$B$3:$B$500,"&lt;="&amp;DATE($B325,12,31))/1000</f>
        <v>0</v>
      </c>
      <c r="I325" s="9" t="n">
        <f aca="false">SUMIFS('Partial Purchases'!$F$3:$F$500,'Partial Purchases'!$C$3:$C$500,$A325,'Partial Purchases'!$B$3:$B$500,"&gt;="&amp;DATE($B325,1,1),'Partial Purchases'!$B$3:$B$500,"&lt;="&amp;DATE($B325,12,31))/1000</f>
        <v>0</v>
      </c>
      <c r="J325" s="9" t="n">
        <f aca="false">C325*(D325+0.5*(G325-H325+I325-F325))</f>
        <v>0</v>
      </c>
      <c r="K325" s="9" t="n">
        <f aca="false">C325*(E325-D325+H325-G325-I325)</f>
        <v>0</v>
      </c>
      <c r="L325" s="13" t="str">
        <f aca="false">IF(J325=0,"",C325*F325/J325)</f>
        <v/>
      </c>
      <c r="M325" s="13" t="str">
        <f aca="false">IF(J325=0,"",K325/J325)</f>
        <v/>
      </c>
      <c r="N325" s="13" t="str">
        <f aca="false">IF(J325=0,"",L325+M325)</f>
        <v/>
      </c>
    </row>
    <row r="326" customFormat="false" ht="15" hidden="false" customHeight="false" outlineLevel="0" collapsed="false">
      <c r="A326" s="8" t="s">
        <v>29</v>
      </c>
      <c r="B326" s="46" t="n">
        <v>2010</v>
      </c>
      <c r="C326" s="10" t="n">
        <f aca="false">IF(D326&gt;0,1,0)</f>
        <v>0</v>
      </c>
      <c r="D326" s="9" t="n">
        <f aca="false">IF(SUMIFS(Sales!$F$3:$F$500,Sales!$C$3:$C$500,$A326,Sales!$B$3:$B$500,"&lt;="&amp;DATE($B326-1,12,31))&gt;0,0,SUMIFS('Asset Value'!$I$4:$I$500,'Asset Value'!$C$4:$C$500,$A326,'Asset Value'!$B$4:$B$500,$B326-1)/1000)</f>
        <v>0</v>
      </c>
      <c r="E326" s="9" t="n">
        <f aca="false">IF(SUMIFS(Sales!$F$3:$F$500,Sales!$C$3:$C$500,$A326,Sales!$B$3:$B$500,"&gt;="&amp;DATE($B326,1,1),Sales!$B$3:$B$500,"&lt;="&amp;DATE($B326,12,31))&gt;0,SUMIFS(Sales!$F$3:$F$500,Sales!$C$3:$C$500,$A326,Sales!$B$3:$B$500,"&gt;="&amp;DATE($B326,1,1),Sales!$B$3:$B$500,"&lt;="&amp;DATE($B326,12,31))/1000,SUMIFS('Asset Value'!$I$4:$I$500,'Asset Value'!$C$4:$C$500,$A326,'Asset Value'!$B$4:$B$500,$B326)/1000)</f>
        <v>0</v>
      </c>
      <c r="F326" s="9" t="n">
        <f aca="false">SUMIFS(Rent!$G$3:$G$500,Rent!$D$3:$D$500,$A326,Rent!$C$3:$C$500,$B326)/1000</f>
        <v>0</v>
      </c>
      <c r="G326" s="9" t="n">
        <f aca="false">SUMIFS(Costs!$F$3:$F$500,Costs!$C$3:$C$500,$A326,Costs!$B$3:$B$500,"&gt;="&amp;DATE($B326,1,1),Costs!$B$3:$B$500,"&lt;="&amp;DATE($B326,12,31))/1000</f>
        <v>0</v>
      </c>
      <c r="H326" s="9" t="n">
        <f aca="false">SUMIFS('Partial Sales'!$F$3:$F$500,'Partial Sales'!$C$3:$C$500,$A326,'Partial Sales'!$B$3:$B$500,"&gt;="&amp;DATE($B326,1,1),'Partial Sales'!$B$3:$B$500,"&lt;="&amp;DATE($B326,12,31))/1000</f>
        <v>0</v>
      </c>
      <c r="I326" s="9" t="n">
        <f aca="false">SUMIFS('Partial Purchases'!$F$3:$F$500,'Partial Purchases'!$C$3:$C$500,$A326,'Partial Purchases'!$B$3:$B$500,"&gt;="&amp;DATE($B326,1,1),'Partial Purchases'!$B$3:$B$500,"&lt;="&amp;DATE($B326,12,31))/1000</f>
        <v>0</v>
      </c>
      <c r="J326" s="9" t="n">
        <f aca="false">C326*(D326+0.5*(G326-H326+I326-F326))</f>
        <v>0</v>
      </c>
      <c r="K326" s="9" t="n">
        <f aca="false">C326*(E326-D326+H326-G326-I326)</f>
        <v>0</v>
      </c>
      <c r="L326" s="13" t="str">
        <f aca="false">IF(J326=0,"",C326*F326/J326)</f>
        <v/>
      </c>
      <c r="M326" s="13" t="str">
        <f aca="false">IF(J326=0,"",K326/J326)</f>
        <v/>
      </c>
      <c r="N326" s="13" t="str">
        <f aca="false">IF(J326=0,"",L326+M326)</f>
        <v/>
      </c>
    </row>
    <row r="327" customFormat="false" ht="15" hidden="false" customHeight="false" outlineLevel="0" collapsed="false">
      <c r="A327" s="8" t="s">
        <v>29</v>
      </c>
      <c r="B327" s="46" t="n">
        <v>2011</v>
      </c>
      <c r="C327" s="10" t="n">
        <f aca="false">IF(D327&gt;0,1,0)</f>
        <v>0</v>
      </c>
      <c r="D327" s="9" t="n">
        <f aca="false">IF(SUMIFS(Sales!$F$3:$F$500,Sales!$C$3:$C$500,$A327,Sales!$B$3:$B$500,"&lt;="&amp;DATE($B327-1,12,31))&gt;0,0,SUMIFS('Asset Value'!$I$4:$I$500,'Asset Value'!$C$4:$C$500,$A327,'Asset Value'!$B$4:$B$500,$B327-1)/1000)</f>
        <v>0</v>
      </c>
      <c r="E327" s="9" t="n">
        <f aca="false">IF(SUMIFS(Sales!$F$3:$F$500,Sales!$C$3:$C$500,$A327,Sales!$B$3:$B$500,"&gt;="&amp;DATE($B327,1,1),Sales!$B$3:$B$500,"&lt;="&amp;DATE($B327,12,31))&gt;0,SUMIFS(Sales!$F$3:$F$500,Sales!$C$3:$C$500,$A327,Sales!$B$3:$B$500,"&gt;="&amp;DATE($B327,1,1),Sales!$B$3:$B$500,"&lt;="&amp;DATE($B327,12,31))/1000,SUMIFS('Asset Value'!$I$4:$I$500,'Asset Value'!$C$4:$C$500,$A327,'Asset Value'!$B$4:$B$500,$B327)/1000)</f>
        <v>0</v>
      </c>
      <c r="F327" s="9" t="n">
        <f aca="false">SUMIFS(Rent!$G$3:$G$500,Rent!$D$3:$D$500,$A327,Rent!$C$3:$C$500,$B327)/1000</f>
        <v>0</v>
      </c>
      <c r="G327" s="9" t="n">
        <f aca="false">SUMIFS(Costs!$F$3:$F$500,Costs!$C$3:$C$500,$A327,Costs!$B$3:$B$500,"&gt;="&amp;DATE($B327,1,1),Costs!$B$3:$B$500,"&lt;="&amp;DATE($B327,12,31))/1000</f>
        <v>0</v>
      </c>
      <c r="H327" s="9" t="n">
        <f aca="false">SUMIFS('Partial Sales'!$F$3:$F$500,'Partial Sales'!$C$3:$C$500,$A327,'Partial Sales'!$B$3:$B$500,"&gt;="&amp;DATE($B327,1,1),'Partial Sales'!$B$3:$B$500,"&lt;="&amp;DATE($B327,12,31))/1000</f>
        <v>0</v>
      </c>
      <c r="I327" s="9" t="n">
        <f aca="false">SUMIFS('Partial Purchases'!$F$3:$F$500,'Partial Purchases'!$C$3:$C$500,$A327,'Partial Purchases'!$B$3:$B$500,"&gt;="&amp;DATE($B327,1,1),'Partial Purchases'!$B$3:$B$500,"&lt;="&amp;DATE($B327,12,31))/1000</f>
        <v>0</v>
      </c>
      <c r="J327" s="9" t="n">
        <f aca="false">C327*(D327+0.5*(G327-H327+I327-F327))</f>
        <v>0</v>
      </c>
      <c r="K327" s="9" t="n">
        <f aca="false">C327*(E327-D327+H327-G327-I327)</f>
        <v>0</v>
      </c>
      <c r="L327" s="13" t="str">
        <f aca="false">IF(J327=0,"",C327*F327/J327)</f>
        <v/>
      </c>
      <c r="M327" s="13" t="str">
        <f aca="false">IF(J327=0,"",K327/J327)</f>
        <v/>
      </c>
      <c r="N327" s="13" t="str">
        <f aca="false">IF(J327=0,"",L327+M327)</f>
        <v/>
      </c>
    </row>
    <row r="328" customFormat="false" ht="15" hidden="false" customHeight="false" outlineLevel="0" collapsed="false">
      <c r="A328" s="8" t="s">
        <v>29</v>
      </c>
      <c r="B328" s="46" t="n">
        <v>2012</v>
      </c>
      <c r="C328" s="10" t="n">
        <f aca="false">IF(D328&gt;0,1,0)</f>
        <v>0</v>
      </c>
      <c r="D328" s="9" t="n">
        <f aca="false">IF(SUMIFS(Sales!$F$3:$F$500,Sales!$C$3:$C$500,$A328,Sales!$B$3:$B$500,"&lt;="&amp;DATE($B328-1,12,31))&gt;0,0,SUMIFS('Asset Value'!$I$4:$I$500,'Asset Value'!$C$4:$C$500,$A328,'Asset Value'!$B$4:$B$500,$B328-1)/1000)</f>
        <v>0</v>
      </c>
      <c r="E328" s="9" t="n">
        <f aca="false">IF(SUMIFS(Sales!$F$3:$F$500,Sales!$C$3:$C$500,$A328,Sales!$B$3:$B$500,"&gt;="&amp;DATE($B328,1,1),Sales!$B$3:$B$500,"&lt;="&amp;DATE($B328,12,31))&gt;0,SUMIFS(Sales!$F$3:$F$500,Sales!$C$3:$C$500,$A328,Sales!$B$3:$B$500,"&gt;="&amp;DATE($B328,1,1),Sales!$B$3:$B$500,"&lt;="&amp;DATE($B328,12,31))/1000,SUMIFS('Asset Value'!$I$4:$I$500,'Asset Value'!$C$4:$C$500,$A328,'Asset Value'!$B$4:$B$500,$B328)/1000)</f>
        <v>0</v>
      </c>
      <c r="F328" s="9" t="n">
        <f aca="false">SUMIFS(Rent!$G$3:$G$500,Rent!$D$3:$D$500,$A328,Rent!$C$3:$C$500,$B328)/1000</f>
        <v>0</v>
      </c>
      <c r="G328" s="9" t="n">
        <f aca="false">SUMIFS(Costs!$F$3:$F$500,Costs!$C$3:$C$500,$A328,Costs!$B$3:$B$500,"&gt;="&amp;DATE($B328,1,1),Costs!$B$3:$B$500,"&lt;="&amp;DATE($B328,12,31))/1000</f>
        <v>0</v>
      </c>
      <c r="H328" s="9" t="n">
        <f aca="false">SUMIFS('Partial Sales'!$F$3:$F$500,'Partial Sales'!$C$3:$C$500,$A328,'Partial Sales'!$B$3:$B$500,"&gt;="&amp;DATE($B328,1,1),'Partial Sales'!$B$3:$B$500,"&lt;="&amp;DATE($B328,12,31))/1000</f>
        <v>0</v>
      </c>
      <c r="I328" s="9" t="n">
        <f aca="false">SUMIFS('Partial Purchases'!$F$3:$F$500,'Partial Purchases'!$C$3:$C$500,$A328,'Partial Purchases'!$B$3:$B$500,"&gt;="&amp;DATE($B328,1,1),'Partial Purchases'!$B$3:$B$500,"&lt;="&amp;DATE($B328,12,31))/1000</f>
        <v>0</v>
      </c>
      <c r="J328" s="9" t="n">
        <f aca="false">C328*(D328+0.5*(G328-H328+I328-F328))</f>
        <v>0</v>
      </c>
      <c r="K328" s="9" t="n">
        <f aca="false">C328*(E328-D328+H328-G328-I328)</f>
        <v>0</v>
      </c>
      <c r="L328" s="13" t="str">
        <f aca="false">IF(J328=0,"",C328*F328/J328)</f>
        <v/>
      </c>
      <c r="M328" s="13" t="str">
        <f aca="false">IF(J328=0,"",K328/J328)</f>
        <v/>
      </c>
      <c r="N328" s="13" t="str">
        <f aca="false">IF(J328=0,"",L328+M328)</f>
        <v/>
      </c>
    </row>
    <row r="329" customFormat="false" ht="15" hidden="false" customHeight="false" outlineLevel="0" collapsed="false">
      <c r="A329" s="8" t="s">
        <v>29</v>
      </c>
      <c r="B329" s="46" t="n">
        <v>2013</v>
      </c>
      <c r="C329" s="10" t="n">
        <f aca="false">IF(D329&gt;0,1,0)</f>
        <v>0</v>
      </c>
      <c r="D329" s="9" t="n">
        <f aca="false">IF(SUMIFS(Sales!$F$3:$F$500,Sales!$C$3:$C$500,$A329,Sales!$B$3:$B$500,"&lt;="&amp;DATE($B329-1,12,31))&gt;0,0,SUMIFS('Asset Value'!$I$4:$I$500,'Asset Value'!$C$4:$C$500,$A329,'Asset Value'!$B$4:$B$500,$B329-1)/1000)</f>
        <v>0</v>
      </c>
      <c r="E329" s="9" t="n">
        <f aca="false">IF(SUMIFS(Sales!$F$3:$F$500,Sales!$C$3:$C$500,$A329,Sales!$B$3:$B$500,"&gt;="&amp;DATE($B329,1,1),Sales!$B$3:$B$500,"&lt;="&amp;DATE($B329,12,31))&gt;0,SUMIFS(Sales!$F$3:$F$500,Sales!$C$3:$C$500,$A329,Sales!$B$3:$B$500,"&gt;="&amp;DATE($B329,1,1),Sales!$B$3:$B$500,"&lt;="&amp;DATE($B329,12,31))/1000,SUMIFS('Asset Value'!$I$4:$I$500,'Asset Value'!$C$4:$C$500,$A329,'Asset Value'!$B$4:$B$500,$B329)/1000)</f>
        <v>0</v>
      </c>
      <c r="F329" s="9" t="n">
        <f aca="false">SUMIFS(Rent!$G$3:$G$500,Rent!$D$3:$D$500,$A329,Rent!$C$3:$C$500,$B329)/1000</f>
        <v>0</v>
      </c>
      <c r="G329" s="9" t="n">
        <f aca="false">SUMIFS(Costs!$F$3:$F$500,Costs!$C$3:$C$500,$A329,Costs!$B$3:$B$500,"&gt;="&amp;DATE($B329,1,1),Costs!$B$3:$B$500,"&lt;="&amp;DATE($B329,12,31))/1000</f>
        <v>0</v>
      </c>
      <c r="H329" s="9" t="n">
        <f aca="false">SUMIFS('Partial Sales'!$F$3:$F$500,'Partial Sales'!$C$3:$C$500,$A329,'Partial Sales'!$B$3:$B$500,"&gt;="&amp;DATE($B329,1,1),'Partial Sales'!$B$3:$B$500,"&lt;="&amp;DATE($B329,12,31))/1000</f>
        <v>0</v>
      </c>
      <c r="I329" s="9" t="n">
        <f aca="false">SUMIFS('Partial Purchases'!$F$3:$F$500,'Partial Purchases'!$C$3:$C$500,$A329,'Partial Purchases'!$B$3:$B$500,"&gt;="&amp;DATE($B329,1,1),'Partial Purchases'!$B$3:$B$500,"&lt;="&amp;DATE($B329,12,31))/1000</f>
        <v>0</v>
      </c>
      <c r="J329" s="9" t="n">
        <f aca="false">C329*(D329+0.5*(G329-H329+I329-F329))</f>
        <v>0</v>
      </c>
      <c r="K329" s="9" t="n">
        <f aca="false">C329*(E329-D329+H329-G329-I329)</f>
        <v>0</v>
      </c>
      <c r="L329" s="13" t="str">
        <f aca="false">IF(J329=0,"",C329*F329/J329)</f>
        <v/>
      </c>
      <c r="M329" s="13" t="str">
        <f aca="false">IF(J329=0,"",K329/J329)</f>
        <v/>
      </c>
      <c r="N329" s="13" t="str">
        <f aca="false">IF(J329=0,"",L329+M329)</f>
        <v/>
      </c>
    </row>
    <row r="330" customFormat="false" ht="15" hidden="false" customHeight="false" outlineLevel="0" collapsed="false">
      <c r="A330" s="8" t="s">
        <v>29</v>
      </c>
      <c r="B330" s="46" t="n">
        <v>2014</v>
      </c>
      <c r="C330" s="10" t="n">
        <f aca="false">IF(D330&gt;0,1,0)</f>
        <v>0</v>
      </c>
      <c r="D330" s="9" t="n">
        <f aca="false">IF(SUMIFS(Sales!$F$3:$F$500,Sales!$C$3:$C$500,$A330,Sales!$B$3:$B$500,"&lt;="&amp;DATE($B330-1,12,31))&gt;0,0,SUMIFS('Asset Value'!$I$4:$I$500,'Asset Value'!$C$4:$C$500,$A330,'Asset Value'!$B$4:$B$500,$B330-1)/1000)</f>
        <v>0</v>
      </c>
      <c r="E330" s="9" t="n">
        <f aca="false">IF(SUMIFS(Sales!$F$3:$F$500,Sales!$C$3:$C$500,$A330,Sales!$B$3:$B$500,"&gt;="&amp;DATE($B330,1,1),Sales!$B$3:$B$500,"&lt;="&amp;DATE($B330,12,31))&gt;0,SUMIFS(Sales!$F$3:$F$500,Sales!$C$3:$C$500,$A330,Sales!$B$3:$B$500,"&gt;="&amp;DATE($B330,1,1),Sales!$B$3:$B$500,"&lt;="&amp;DATE($B330,12,31))/1000,SUMIFS('Asset Value'!$I$4:$I$500,'Asset Value'!$C$4:$C$500,$A330,'Asset Value'!$B$4:$B$500,$B330)/1000)</f>
        <v>0</v>
      </c>
      <c r="F330" s="9" t="n">
        <f aca="false">SUMIFS(Rent!$G$3:$G$500,Rent!$D$3:$D$500,$A330,Rent!$C$3:$C$500,$B330)/1000</f>
        <v>0</v>
      </c>
      <c r="G330" s="9" t="n">
        <f aca="false">SUMIFS(Costs!$F$3:$F$500,Costs!$C$3:$C$500,$A330,Costs!$B$3:$B$500,"&gt;="&amp;DATE($B330,1,1),Costs!$B$3:$B$500,"&lt;="&amp;DATE($B330,12,31))/1000</f>
        <v>0</v>
      </c>
      <c r="H330" s="9" t="n">
        <f aca="false">SUMIFS('Partial Sales'!$F$3:$F$500,'Partial Sales'!$C$3:$C$500,$A330,'Partial Sales'!$B$3:$B$500,"&gt;="&amp;DATE($B330,1,1),'Partial Sales'!$B$3:$B$500,"&lt;="&amp;DATE($B330,12,31))/1000</f>
        <v>0</v>
      </c>
      <c r="I330" s="9" t="n">
        <f aca="false">SUMIFS('Partial Purchases'!$F$3:$F$500,'Partial Purchases'!$C$3:$C$500,$A330,'Partial Purchases'!$B$3:$B$500,"&gt;="&amp;DATE($B330,1,1),'Partial Purchases'!$B$3:$B$500,"&lt;="&amp;DATE($B330,12,31))/1000</f>
        <v>0</v>
      </c>
      <c r="J330" s="9" t="n">
        <f aca="false">C330*(D330+0.5*(G330-H330+I330-F330))</f>
        <v>0</v>
      </c>
      <c r="K330" s="9" t="n">
        <f aca="false">C330*(E330-D330+H330-G330-I330)</f>
        <v>0</v>
      </c>
      <c r="L330" s="13" t="str">
        <f aca="false">IF(J330=0,"",C330*F330/J330)</f>
        <v/>
      </c>
      <c r="M330" s="13" t="str">
        <f aca="false">IF(J330=0,"",K330/J330)</f>
        <v/>
      </c>
      <c r="N330" s="13" t="str">
        <f aca="false">IF(J330=0,"",L330+M330)</f>
        <v/>
      </c>
    </row>
    <row r="331" customFormat="false" ht="15" hidden="false" customHeight="false" outlineLevel="0" collapsed="false">
      <c r="A331" s="47" t="s">
        <v>29</v>
      </c>
      <c r="B331" s="48" t="n">
        <v>2015</v>
      </c>
      <c r="C331" s="49" t="n">
        <f aca="false">IF(D331&gt;0,1,0)</f>
        <v>0</v>
      </c>
      <c r="D331" s="50" t="n">
        <f aca="false">IF(SUMIFS(Sales!$F$3:$F$500,Sales!$C$3:$C$500,$A331,Sales!$B$3:$B$500,"&lt;="&amp;DATE($B331-1,12,31))&gt;0,0,SUMIFS('Asset Value'!$I$4:$I$500,'Asset Value'!$C$4:$C$500,$A331,'Asset Value'!$B$4:$B$500,$B331-1)/1000)</f>
        <v>0</v>
      </c>
      <c r="E331" s="50" t="n">
        <f aca="false">IF(SUMIFS(Sales!$F$3:$F$500,Sales!$C$3:$C$500,$A331,Sales!$B$3:$B$500,"&gt;="&amp;DATE($B331,1,1),Sales!$B$3:$B$500,"&lt;="&amp;DATE($B331,12,31))&gt;0,SUMIFS(Sales!$F$3:$F$500,Sales!$C$3:$C$500,$A331,Sales!$B$3:$B$500,"&gt;="&amp;DATE($B331,1,1),Sales!$B$3:$B$500,"&lt;="&amp;DATE($B331,12,31))/1000,SUMIFS('Asset Value'!$I$4:$I$500,'Asset Value'!$C$4:$C$500,$A331,'Asset Value'!$B$4:$B$500,$B331)/1000)</f>
        <v>0</v>
      </c>
      <c r="F331" s="50" t="n">
        <f aca="false">SUMIFS(Rent!$G$3:$G$500,Rent!$D$3:$D$500,$A331,Rent!$C$3:$C$500,$B331)/1000</f>
        <v>0</v>
      </c>
      <c r="G331" s="50" t="n">
        <f aca="false">SUMIFS(Costs!$F$3:$F$500,Costs!$C$3:$C$500,$A331,Costs!$B$3:$B$500,"&gt;="&amp;DATE($B331,1,1),Costs!$B$3:$B$500,"&lt;="&amp;DATE($B331,12,31))/1000</f>
        <v>0</v>
      </c>
      <c r="H331" s="50" t="n">
        <f aca="false">SUMIFS('Partial Sales'!$F$3:$F$500,'Partial Sales'!$C$3:$C$500,$A331,'Partial Sales'!$B$3:$B$500,"&gt;="&amp;DATE($B331,1,1),'Partial Sales'!$B$3:$B$500,"&lt;="&amp;DATE($B331,12,31))/1000</f>
        <v>0</v>
      </c>
      <c r="I331" s="50" t="n">
        <f aca="false">SUMIFS('Partial Purchases'!$F$3:$F$500,'Partial Purchases'!$C$3:$C$500,$A331,'Partial Purchases'!$B$3:$B$500,"&gt;="&amp;DATE($B331,1,1),'Partial Purchases'!$B$3:$B$500,"&lt;="&amp;DATE($B331,12,31))/1000</f>
        <v>0</v>
      </c>
      <c r="J331" s="50" t="n">
        <f aca="false">C331*(D331+0.5*(G331-H331+I331-F331))</f>
        <v>0</v>
      </c>
      <c r="K331" s="50" t="n">
        <f aca="false">C331*(E331-D331+H331-G331-I331)</f>
        <v>0</v>
      </c>
      <c r="L331" s="44" t="str">
        <f aca="false">IF(J331=0,"",C331*F331/J331)</f>
        <v/>
      </c>
      <c r="M331" s="44" t="str">
        <f aca="false">IF(J331=0,"",K331/J331)</f>
        <v/>
      </c>
      <c r="N331" s="44" t="str">
        <f aca="false">IF(J331=0,"",L331+M331)</f>
        <v/>
      </c>
    </row>
    <row r="332" customFormat="false" ht="15" hidden="false" customHeight="false" outlineLevel="0" collapsed="false">
      <c r="A332" s="8" t="s">
        <v>30</v>
      </c>
      <c r="B332" s="46" t="n">
        <v>2008</v>
      </c>
      <c r="C332" s="10" t="n">
        <f aca="false">IF(D332&gt;0,1,0)</f>
        <v>0</v>
      </c>
      <c r="D332" s="9" t="n">
        <f aca="false">IF(SUMIFS(Sales!$F$3:$F$500,Sales!$C$3:$C$500,$A332,Sales!$B$3:$B$500,"&lt;="&amp;DATE($B332-1,12,31))&gt;0,0,SUMIFS('Asset Value'!$I$4:$I$500,'Asset Value'!$C$4:$C$500,$A332,'Asset Value'!$B$4:$B$500,$B332-1)/1000)</f>
        <v>0</v>
      </c>
      <c r="E332" s="9" t="n">
        <f aca="false">IF(SUMIFS(Sales!$F$3:$F$500,Sales!$C$3:$C$500,$A332,Sales!$B$3:$B$500,"&gt;="&amp;DATE($B332,1,1),Sales!$B$3:$B$500,"&lt;="&amp;DATE($B332,12,31))&gt;0,SUMIFS(Sales!$F$3:$F$500,Sales!$C$3:$C$500,$A332,Sales!$B$3:$B$500,"&gt;="&amp;DATE($B332,1,1),Sales!$B$3:$B$500,"&lt;="&amp;DATE($B332,12,31))/1000,SUMIFS('Asset Value'!$I$4:$I$500,'Asset Value'!$C$4:$C$500,$A332,'Asset Value'!$B$4:$B$500,$B332)/1000)</f>
        <v>0</v>
      </c>
      <c r="F332" s="9" t="n">
        <f aca="false">SUMIFS(Rent!$G$3:$G$500,Rent!$D$3:$D$500,$A332,Rent!$C$3:$C$500,$B332)/1000</f>
        <v>0</v>
      </c>
      <c r="G332" s="9" t="n">
        <f aca="false">SUMIFS(Costs!$F$3:$F$500,Costs!$C$3:$C$500,$A332,Costs!$B$3:$B$500,"&gt;="&amp;DATE($B332,1,1),Costs!$B$3:$B$500,"&lt;="&amp;DATE($B332,12,31))/1000</f>
        <v>0</v>
      </c>
      <c r="H332" s="9" t="n">
        <f aca="false">SUMIFS('Partial Sales'!$F$3:$F$500,'Partial Sales'!$C$3:$C$500,$A332,'Partial Sales'!$B$3:$B$500,"&gt;="&amp;DATE($B332,1,1),'Partial Sales'!$B$3:$B$500,"&lt;="&amp;DATE($B332,12,31))/1000</f>
        <v>0</v>
      </c>
      <c r="I332" s="9" t="n">
        <f aca="false">SUMIFS('Partial Purchases'!$F$3:$F$500,'Partial Purchases'!$C$3:$C$500,$A332,'Partial Purchases'!$B$3:$B$500,"&gt;="&amp;DATE($B332,1,1),'Partial Purchases'!$B$3:$B$500,"&lt;="&amp;DATE($B332,12,31))/1000</f>
        <v>0</v>
      </c>
      <c r="J332" s="9" t="n">
        <f aca="false">C332*(D332+0.5*(G332-H332+I332-F332))</f>
        <v>0</v>
      </c>
      <c r="K332" s="9" t="n">
        <f aca="false">C332*(E332-D332+H332-G332-I332)</f>
        <v>0</v>
      </c>
      <c r="L332" s="13" t="str">
        <f aca="false">IF(J332=0,"",C332*F332/J332)</f>
        <v/>
      </c>
      <c r="M332" s="13" t="str">
        <f aca="false">IF(J332=0,"",K332/J332)</f>
        <v/>
      </c>
      <c r="N332" s="13" t="str">
        <f aca="false">IF(J332=0,"",L332+M332)</f>
        <v/>
      </c>
    </row>
    <row r="333" customFormat="false" ht="15" hidden="false" customHeight="false" outlineLevel="0" collapsed="false">
      <c r="A333" s="8" t="s">
        <v>30</v>
      </c>
      <c r="B333" s="46" t="n">
        <v>2009</v>
      </c>
      <c r="C333" s="10" t="n">
        <f aca="false">IF(D333&gt;0,1,0)</f>
        <v>0</v>
      </c>
      <c r="D333" s="9" t="n">
        <f aca="false">IF(SUMIFS(Sales!$F$3:$F$500,Sales!$C$3:$C$500,$A333,Sales!$B$3:$B$500,"&lt;="&amp;DATE($B333-1,12,31))&gt;0,0,SUMIFS('Asset Value'!$I$4:$I$500,'Asset Value'!$C$4:$C$500,$A333,'Asset Value'!$B$4:$B$500,$B333-1)/1000)</f>
        <v>0</v>
      </c>
      <c r="E333" s="9" t="n">
        <f aca="false">IF(SUMIFS(Sales!$F$3:$F$500,Sales!$C$3:$C$500,$A333,Sales!$B$3:$B$500,"&gt;="&amp;DATE($B333,1,1),Sales!$B$3:$B$500,"&lt;="&amp;DATE($B333,12,31))&gt;0,SUMIFS(Sales!$F$3:$F$500,Sales!$C$3:$C$500,$A333,Sales!$B$3:$B$500,"&gt;="&amp;DATE($B333,1,1),Sales!$B$3:$B$500,"&lt;="&amp;DATE($B333,12,31))/1000,SUMIFS('Asset Value'!$I$4:$I$500,'Asset Value'!$C$4:$C$500,$A333,'Asset Value'!$B$4:$B$500,$B333)/1000)</f>
        <v>0</v>
      </c>
      <c r="F333" s="9" t="n">
        <f aca="false">SUMIFS(Rent!$G$3:$G$500,Rent!$D$3:$D$500,$A333,Rent!$C$3:$C$500,$B333)/1000</f>
        <v>0</v>
      </c>
      <c r="G333" s="9" t="n">
        <f aca="false">SUMIFS(Costs!$F$3:$F$500,Costs!$C$3:$C$500,$A333,Costs!$B$3:$B$500,"&gt;="&amp;DATE($B333,1,1),Costs!$B$3:$B$500,"&lt;="&amp;DATE($B333,12,31))/1000</f>
        <v>0</v>
      </c>
      <c r="H333" s="9" t="n">
        <f aca="false">SUMIFS('Partial Sales'!$F$3:$F$500,'Partial Sales'!$C$3:$C$500,$A333,'Partial Sales'!$B$3:$B$500,"&gt;="&amp;DATE($B333,1,1),'Partial Sales'!$B$3:$B$500,"&lt;="&amp;DATE($B333,12,31))/1000</f>
        <v>0</v>
      </c>
      <c r="I333" s="9" t="n">
        <f aca="false">SUMIFS('Partial Purchases'!$F$3:$F$500,'Partial Purchases'!$C$3:$C$500,$A333,'Partial Purchases'!$B$3:$B$500,"&gt;="&amp;DATE($B333,1,1),'Partial Purchases'!$B$3:$B$500,"&lt;="&amp;DATE($B333,12,31))/1000</f>
        <v>0</v>
      </c>
      <c r="J333" s="9" t="n">
        <f aca="false">C333*(D333+0.5*(G333-H333+I333-F333))</f>
        <v>0</v>
      </c>
      <c r="K333" s="9" t="n">
        <f aca="false">C333*(E333-D333+H333-G333-I333)</f>
        <v>0</v>
      </c>
      <c r="L333" s="13" t="str">
        <f aca="false">IF(J333=0,"",C333*F333/J333)</f>
        <v/>
      </c>
      <c r="M333" s="13" t="str">
        <f aca="false">IF(J333=0,"",K333/J333)</f>
        <v/>
      </c>
      <c r="N333" s="13" t="str">
        <f aca="false">IF(J333=0,"",L333+M333)</f>
        <v/>
      </c>
    </row>
    <row r="334" customFormat="false" ht="15" hidden="false" customHeight="false" outlineLevel="0" collapsed="false">
      <c r="A334" s="8" t="s">
        <v>30</v>
      </c>
      <c r="B334" s="46" t="n">
        <v>2010</v>
      </c>
      <c r="C334" s="10" t="n">
        <f aca="false">IF(D334&gt;0,1,0)</f>
        <v>0</v>
      </c>
      <c r="D334" s="9" t="n">
        <f aca="false">IF(SUMIFS(Sales!$F$3:$F$500,Sales!$C$3:$C$500,$A334,Sales!$B$3:$B$500,"&lt;="&amp;DATE($B334-1,12,31))&gt;0,0,SUMIFS('Asset Value'!$I$4:$I$500,'Asset Value'!$C$4:$C$500,$A334,'Asset Value'!$B$4:$B$500,$B334-1)/1000)</f>
        <v>0</v>
      </c>
      <c r="E334" s="9" t="n">
        <f aca="false">IF(SUMIFS(Sales!$F$3:$F$500,Sales!$C$3:$C$500,$A334,Sales!$B$3:$B$500,"&gt;="&amp;DATE($B334,1,1),Sales!$B$3:$B$500,"&lt;="&amp;DATE($B334,12,31))&gt;0,SUMIFS(Sales!$F$3:$F$500,Sales!$C$3:$C$500,$A334,Sales!$B$3:$B$500,"&gt;="&amp;DATE($B334,1,1),Sales!$B$3:$B$500,"&lt;="&amp;DATE($B334,12,31))/1000,SUMIFS('Asset Value'!$I$4:$I$500,'Asset Value'!$C$4:$C$500,$A334,'Asset Value'!$B$4:$B$500,$B334)/1000)</f>
        <v>0</v>
      </c>
      <c r="F334" s="9" t="n">
        <f aca="false">SUMIFS(Rent!$G$3:$G$500,Rent!$D$3:$D$500,$A334,Rent!$C$3:$C$500,$B334)/1000</f>
        <v>0</v>
      </c>
      <c r="G334" s="9" t="n">
        <f aca="false">SUMIFS(Costs!$F$3:$F$500,Costs!$C$3:$C$500,$A334,Costs!$B$3:$B$500,"&gt;="&amp;DATE($B334,1,1),Costs!$B$3:$B$500,"&lt;="&amp;DATE($B334,12,31))/1000</f>
        <v>0</v>
      </c>
      <c r="H334" s="9" t="n">
        <f aca="false">SUMIFS('Partial Sales'!$F$3:$F$500,'Partial Sales'!$C$3:$C$500,$A334,'Partial Sales'!$B$3:$B$500,"&gt;="&amp;DATE($B334,1,1),'Partial Sales'!$B$3:$B$500,"&lt;="&amp;DATE($B334,12,31))/1000</f>
        <v>0</v>
      </c>
      <c r="I334" s="9" t="n">
        <f aca="false">SUMIFS('Partial Purchases'!$F$3:$F$500,'Partial Purchases'!$C$3:$C$500,$A334,'Partial Purchases'!$B$3:$B$500,"&gt;="&amp;DATE($B334,1,1),'Partial Purchases'!$B$3:$B$500,"&lt;="&amp;DATE($B334,12,31))/1000</f>
        <v>0</v>
      </c>
      <c r="J334" s="9" t="n">
        <f aca="false">C334*(D334+0.5*(G334-H334+I334-F334))</f>
        <v>0</v>
      </c>
      <c r="K334" s="9" t="n">
        <f aca="false">C334*(E334-D334+H334-G334-I334)</f>
        <v>0</v>
      </c>
      <c r="L334" s="13" t="str">
        <f aca="false">IF(J334=0,"",C334*F334/J334)</f>
        <v/>
      </c>
      <c r="M334" s="13" t="str">
        <f aca="false">IF(J334=0,"",K334/J334)</f>
        <v/>
      </c>
      <c r="N334" s="13" t="str">
        <f aca="false">IF(J334=0,"",L334+M334)</f>
        <v/>
      </c>
    </row>
    <row r="335" customFormat="false" ht="15" hidden="false" customHeight="false" outlineLevel="0" collapsed="false">
      <c r="A335" s="8" t="s">
        <v>30</v>
      </c>
      <c r="B335" s="46" t="n">
        <v>2011</v>
      </c>
      <c r="C335" s="10" t="n">
        <f aca="false">IF(D335&gt;0,1,0)</f>
        <v>0</v>
      </c>
      <c r="D335" s="9" t="n">
        <f aca="false">IF(SUMIFS(Sales!$F$3:$F$500,Sales!$C$3:$C$500,$A335,Sales!$B$3:$B$500,"&lt;="&amp;DATE($B335-1,12,31))&gt;0,0,SUMIFS('Asset Value'!$I$4:$I$500,'Asset Value'!$C$4:$C$500,$A335,'Asset Value'!$B$4:$B$500,$B335-1)/1000)</f>
        <v>0</v>
      </c>
      <c r="E335" s="9" t="n">
        <f aca="false">IF(SUMIFS(Sales!$F$3:$F$500,Sales!$C$3:$C$500,$A335,Sales!$B$3:$B$500,"&gt;="&amp;DATE($B335,1,1),Sales!$B$3:$B$500,"&lt;="&amp;DATE($B335,12,31))&gt;0,SUMIFS(Sales!$F$3:$F$500,Sales!$C$3:$C$500,$A335,Sales!$B$3:$B$500,"&gt;="&amp;DATE($B335,1,1),Sales!$B$3:$B$500,"&lt;="&amp;DATE($B335,12,31))/1000,SUMIFS('Asset Value'!$I$4:$I$500,'Asset Value'!$C$4:$C$500,$A335,'Asset Value'!$B$4:$B$500,$B335)/1000)</f>
        <v>0</v>
      </c>
      <c r="F335" s="9" t="n">
        <f aca="false">SUMIFS(Rent!$G$3:$G$500,Rent!$D$3:$D$500,$A335,Rent!$C$3:$C$500,$B335)/1000</f>
        <v>0</v>
      </c>
      <c r="G335" s="9" t="n">
        <f aca="false">SUMIFS(Costs!$F$3:$F$500,Costs!$C$3:$C$500,$A335,Costs!$B$3:$B$500,"&gt;="&amp;DATE($B335,1,1),Costs!$B$3:$B$500,"&lt;="&amp;DATE($B335,12,31))/1000</f>
        <v>0</v>
      </c>
      <c r="H335" s="9" t="n">
        <f aca="false">SUMIFS('Partial Sales'!$F$3:$F$500,'Partial Sales'!$C$3:$C$500,$A335,'Partial Sales'!$B$3:$B$500,"&gt;="&amp;DATE($B335,1,1),'Partial Sales'!$B$3:$B$500,"&lt;="&amp;DATE($B335,12,31))/1000</f>
        <v>0</v>
      </c>
      <c r="I335" s="9" t="n">
        <f aca="false">SUMIFS('Partial Purchases'!$F$3:$F$500,'Partial Purchases'!$C$3:$C$500,$A335,'Partial Purchases'!$B$3:$B$500,"&gt;="&amp;DATE($B335,1,1),'Partial Purchases'!$B$3:$B$500,"&lt;="&amp;DATE($B335,12,31))/1000</f>
        <v>0</v>
      </c>
      <c r="J335" s="9" t="n">
        <f aca="false">C335*(D335+0.5*(G335-H335+I335-F335))</f>
        <v>0</v>
      </c>
      <c r="K335" s="9" t="n">
        <f aca="false">C335*(E335-D335+H335-G335-I335)</f>
        <v>0</v>
      </c>
      <c r="L335" s="13" t="str">
        <f aca="false">IF(J335=0,"",C335*F335/J335)</f>
        <v/>
      </c>
      <c r="M335" s="13" t="str">
        <f aca="false">IF(J335=0,"",K335/J335)</f>
        <v/>
      </c>
      <c r="N335" s="13" t="str">
        <f aca="false">IF(J335=0,"",L335+M335)</f>
        <v/>
      </c>
    </row>
    <row r="336" customFormat="false" ht="15" hidden="false" customHeight="false" outlineLevel="0" collapsed="false">
      <c r="A336" s="8" t="s">
        <v>30</v>
      </c>
      <c r="B336" s="46" t="n">
        <v>2012</v>
      </c>
      <c r="C336" s="10" t="n">
        <f aca="false">IF(D336&gt;0,1,0)</f>
        <v>0</v>
      </c>
      <c r="D336" s="9" t="n">
        <f aca="false">IF(SUMIFS(Sales!$F$3:$F$500,Sales!$C$3:$C$500,$A336,Sales!$B$3:$B$500,"&lt;="&amp;DATE($B336-1,12,31))&gt;0,0,SUMIFS('Asset Value'!$I$4:$I$500,'Asset Value'!$C$4:$C$500,$A336,'Asset Value'!$B$4:$B$500,$B336-1)/1000)</f>
        <v>0</v>
      </c>
      <c r="E336" s="9" t="n">
        <f aca="false">IF(SUMIFS(Sales!$F$3:$F$500,Sales!$C$3:$C$500,$A336,Sales!$B$3:$B$500,"&gt;="&amp;DATE($B336,1,1),Sales!$B$3:$B$500,"&lt;="&amp;DATE($B336,12,31))&gt;0,SUMIFS(Sales!$F$3:$F$500,Sales!$C$3:$C$500,$A336,Sales!$B$3:$B$500,"&gt;="&amp;DATE($B336,1,1),Sales!$B$3:$B$500,"&lt;="&amp;DATE($B336,12,31))/1000,SUMIFS('Asset Value'!$I$4:$I$500,'Asset Value'!$C$4:$C$500,$A336,'Asset Value'!$B$4:$B$500,$B336)/1000)</f>
        <v>0</v>
      </c>
      <c r="F336" s="9" t="n">
        <f aca="false">SUMIFS(Rent!$G$3:$G$500,Rent!$D$3:$D$500,$A336,Rent!$C$3:$C$500,$B336)/1000</f>
        <v>0</v>
      </c>
      <c r="G336" s="9" t="n">
        <f aca="false">SUMIFS(Costs!$F$3:$F$500,Costs!$C$3:$C$500,$A336,Costs!$B$3:$B$500,"&gt;="&amp;DATE($B336,1,1),Costs!$B$3:$B$500,"&lt;="&amp;DATE($B336,12,31))/1000</f>
        <v>0</v>
      </c>
      <c r="H336" s="9" t="n">
        <f aca="false">SUMIFS('Partial Sales'!$F$3:$F$500,'Partial Sales'!$C$3:$C$500,$A336,'Partial Sales'!$B$3:$B$500,"&gt;="&amp;DATE($B336,1,1),'Partial Sales'!$B$3:$B$500,"&lt;="&amp;DATE($B336,12,31))/1000</f>
        <v>0</v>
      </c>
      <c r="I336" s="9" t="n">
        <f aca="false">SUMIFS('Partial Purchases'!$F$3:$F$500,'Partial Purchases'!$C$3:$C$500,$A336,'Partial Purchases'!$B$3:$B$500,"&gt;="&amp;DATE($B336,1,1),'Partial Purchases'!$B$3:$B$500,"&lt;="&amp;DATE($B336,12,31))/1000</f>
        <v>0</v>
      </c>
      <c r="J336" s="9" t="n">
        <f aca="false">C336*(D336+0.5*(G336-H336+I336-F336))</f>
        <v>0</v>
      </c>
      <c r="K336" s="9" t="n">
        <f aca="false">C336*(E336-D336+H336-G336-I336)</f>
        <v>0</v>
      </c>
      <c r="L336" s="13" t="str">
        <f aca="false">IF(J336=0,"",C336*F336/J336)</f>
        <v/>
      </c>
      <c r="M336" s="13" t="str">
        <f aca="false">IF(J336=0,"",K336/J336)</f>
        <v/>
      </c>
      <c r="N336" s="13" t="str">
        <f aca="false">IF(J336=0,"",L336+M336)</f>
        <v/>
      </c>
    </row>
    <row r="337" customFormat="false" ht="15" hidden="false" customHeight="false" outlineLevel="0" collapsed="false">
      <c r="A337" s="8" t="s">
        <v>30</v>
      </c>
      <c r="B337" s="46" t="n">
        <v>2013</v>
      </c>
      <c r="C337" s="10" t="n">
        <f aca="false">IF(D337&gt;0,1,0)</f>
        <v>0</v>
      </c>
      <c r="D337" s="9" t="n">
        <f aca="false">IF(SUMIFS(Sales!$F$3:$F$500,Sales!$C$3:$C$500,$A337,Sales!$B$3:$B$500,"&lt;="&amp;DATE($B337-1,12,31))&gt;0,0,SUMIFS('Asset Value'!$I$4:$I$500,'Asset Value'!$C$4:$C$500,$A337,'Asset Value'!$B$4:$B$500,$B337-1)/1000)</f>
        <v>0</v>
      </c>
      <c r="E337" s="9" t="n">
        <f aca="false">IF(SUMIFS(Sales!$F$3:$F$500,Sales!$C$3:$C$500,$A337,Sales!$B$3:$B$500,"&gt;="&amp;DATE($B337,1,1),Sales!$B$3:$B$500,"&lt;="&amp;DATE($B337,12,31))&gt;0,SUMIFS(Sales!$F$3:$F$500,Sales!$C$3:$C$500,$A337,Sales!$B$3:$B$500,"&gt;="&amp;DATE($B337,1,1),Sales!$B$3:$B$500,"&lt;="&amp;DATE($B337,12,31))/1000,SUMIFS('Asset Value'!$I$4:$I$500,'Asset Value'!$C$4:$C$500,$A337,'Asset Value'!$B$4:$B$500,$B337)/1000)</f>
        <v>0</v>
      </c>
      <c r="F337" s="9" t="n">
        <f aca="false">SUMIFS(Rent!$G$3:$G$500,Rent!$D$3:$D$500,$A337,Rent!$C$3:$C$500,$B337)/1000</f>
        <v>0</v>
      </c>
      <c r="G337" s="9" t="n">
        <f aca="false">SUMIFS(Costs!$F$3:$F$500,Costs!$C$3:$C$500,$A337,Costs!$B$3:$B$500,"&gt;="&amp;DATE($B337,1,1),Costs!$B$3:$B$500,"&lt;="&amp;DATE($B337,12,31))/1000</f>
        <v>0</v>
      </c>
      <c r="H337" s="9" t="n">
        <f aca="false">SUMIFS('Partial Sales'!$F$3:$F$500,'Partial Sales'!$C$3:$C$500,$A337,'Partial Sales'!$B$3:$B$500,"&gt;="&amp;DATE($B337,1,1),'Partial Sales'!$B$3:$B$500,"&lt;="&amp;DATE($B337,12,31))/1000</f>
        <v>0</v>
      </c>
      <c r="I337" s="9" t="n">
        <f aca="false">SUMIFS('Partial Purchases'!$F$3:$F$500,'Partial Purchases'!$C$3:$C$500,$A337,'Partial Purchases'!$B$3:$B$500,"&gt;="&amp;DATE($B337,1,1),'Partial Purchases'!$B$3:$B$500,"&lt;="&amp;DATE($B337,12,31))/1000</f>
        <v>0</v>
      </c>
      <c r="J337" s="9" t="n">
        <f aca="false">C337*(D337+0.5*(G337-H337+I337-F337))</f>
        <v>0</v>
      </c>
      <c r="K337" s="9" t="n">
        <f aca="false">C337*(E337-D337+H337-G337-I337)</f>
        <v>0</v>
      </c>
      <c r="L337" s="13" t="str">
        <f aca="false">IF(J337=0,"",C337*F337/J337)</f>
        <v/>
      </c>
      <c r="M337" s="13" t="str">
        <f aca="false">IF(J337=0,"",K337/J337)</f>
        <v/>
      </c>
      <c r="N337" s="13" t="str">
        <f aca="false">IF(J337=0,"",L337+M337)</f>
        <v/>
      </c>
    </row>
    <row r="338" customFormat="false" ht="15" hidden="false" customHeight="false" outlineLevel="0" collapsed="false">
      <c r="A338" s="8" t="s">
        <v>30</v>
      </c>
      <c r="B338" s="46" t="n">
        <v>2014</v>
      </c>
      <c r="C338" s="10" t="n">
        <f aca="false">IF(D338&gt;0,1,0)</f>
        <v>0</v>
      </c>
      <c r="D338" s="9" t="n">
        <f aca="false">IF(SUMIFS(Sales!$F$3:$F$500,Sales!$C$3:$C$500,$A338,Sales!$B$3:$B$500,"&lt;="&amp;DATE($B338-1,12,31))&gt;0,0,SUMIFS('Asset Value'!$I$4:$I$500,'Asset Value'!$C$4:$C$500,$A338,'Asset Value'!$B$4:$B$500,$B338-1)/1000)</f>
        <v>0</v>
      </c>
      <c r="E338" s="9" t="n">
        <f aca="false">IF(SUMIFS(Sales!$F$3:$F$500,Sales!$C$3:$C$500,$A338,Sales!$B$3:$B$500,"&gt;="&amp;DATE($B338,1,1),Sales!$B$3:$B$500,"&lt;="&amp;DATE($B338,12,31))&gt;0,SUMIFS(Sales!$F$3:$F$500,Sales!$C$3:$C$500,$A338,Sales!$B$3:$B$500,"&gt;="&amp;DATE($B338,1,1),Sales!$B$3:$B$500,"&lt;="&amp;DATE($B338,12,31))/1000,SUMIFS('Asset Value'!$I$4:$I$500,'Asset Value'!$C$4:$C$500,$A338,'Asset Value'!$B$4:$B$500,$B338)/1000)</f>
        <v>0</v>
      </c>
      <c r="F338" s="9" t="n">
        <f aca="false">SUMIFS(Rent!$G$3:$G$500,Rent!$D$3:$D$500,$A338,Rent!$C$3:$C$500,$B338)/1000</f>
        <v>0</v>
      </c>
      <c r="G338" s="9" t="n">
        <f aca="false">SUMIFS(Costs!$F$3:$F$500,Costs!$C$3:$C$500,$A338,Costs!$B$3:$B$500,"&gt;="&amp;DATE($B338,1,1),Costs!$B$3:$B$500,"&lt;="&amp;DATE($B338,12,31))/1000</f>
        <v>0</v>
      </c>
      <c r="H338" s="9" t="n">
        <f aca="false">SUMIFS('Partial Sales'!$F$3:$F$500,'Partial Sales'!$C$3:$C$500,$A338,'Partial Sales'!$B$3:$B$500,"&gt;="&amp;DATE($B338,1,1),'Partial Sales'!$B$3:$B$500,"&lt;="&amp;DATE($B338,12,31))/1000</f>
        <v>0</v>
      </c>
      <c r="I338" s="9" t="n">
        <f aca="false">SUMIFS('Partial Purchases'!$F$3:$F$500,'Partial Purchases'!$C$3:$C$500,$A338,'Partial Purchases'!$B$3:$B$500,"&gt;="&amp;DATE($B338,1,1),'Partial Purchases'!$B$3:$B$500,"&lt;="&amp;DATE($B338,12,31))/1000</f>
        <v>0</v>
      </c>
      <c r="J338" s="9" t="n">
        <f aca="false">C338*(D338+0.5*(G338-H338+I338-F338))</f>
        <v>0</v>
      </c>
      <c r="K338" s="9" t="n">
        <f aca="false">C338*(E338-D338+H338-G338-I338)</f>
        <v>0</v>
      </c>
      <c r="L338" s="13" t="str">
        <f aca="false">IF(J338=0,"",C338*F338/J338)</f>
        <v/>
      </c>
      <c r="M338" s="13" t="str">
        <f aca="false">IF(J338=0,"",K338/J338)</f>
        <v/>
      </c>
      <c r="N338" s="13" t="str">
        <f aca="false">IF(J338=0,"",L338+M338)</f>
        <v/>
      </c>
    </row>
    <row r="339" customFormat="false" ht="15" hidden="false" customHeight="false" outlineLevel="0" collapsed="false">
      <c r="A339" s="47" t="s">
        <v>30</v>
      </c>
      <c r="B339" s="48" t="n">
        <v>2015</v>
      </c>
      <c r="C339" s="49" t="n">
        <f aca="false">IF(D339&gt;0,1,0)</f>
        <v>0</v>
      </c>
      <c r="D339" s="50" t="n">
        <f aca="false">IF(SUMIFS(Sales!$F$3:$F$500,Sales!$C$3:$C$500,$A339,Sales!$B$3:$B$500,"&lt;="&amp;DATE($B339-1,12,31))&gt;0,0,SUMIFS('Asset Value'!$I$4:$I$500,'Asset Value'!$C$4:$C$500,$A339,'Asset Value'!$B$4:$B$500,$B339-1)/1000)</f>
        <v>0</v>
      </c>
      <c r="E339" s="50" t="n">
        <f aca="false">IF(SUMIFS(Sales!$F$3:$F$500,Sales!$C$3:$C$500,$A339,Sales!$B$3:$B$500,"&gt;="&amp;DATE($B339,1,1),Sales!$B$3:$B$500,"&lt;="&amp;DATE($B339,12,31))&gt;0,SUMIFS(Sales!$F$3:$F$500,Sales!$C$3:$C$500,$A339,Sales!$B$3:$B$500,"&gt;="&amp;DATE($B339,1,1),Sales!$B$3:$B$500,"&lt;="&amp;DATE($B339,12,31))/1000,SUMIFS('Asset Value'!$I$4:$I$500,'Asset Value'!$C$4:$C$500,$A339,'Asset Value'!$B$4:$B$500,$B339)/1000)</f>
        <v>0</v>
      </c>
      <c r="F339" s="50" t="n">
        <f aca="false">SUMIFS(Rent!$G$3:$G$500,Rent!$D$3:$D$500,$A339,Rent!$C$3:$C$500,$B339)/1000</f>
        <v>0</v>
      </c>
      <c r="G339" s="50" t="n">
        <f aca="false">SUMIFS(Costs!$F$3:$F$500,Costs!$C$3:$C$500,$A339,Costs!$B$3:$B$500,"&gt;="&amp;DATE($B339,1,1),Costs!$B$3:$B$500,"&lt;="&amp;DATE($B339,12,31))/1000</f>
        <v>0</v>
      </c>
      <c r="H339" s="50" t="n">
        <f aca="false">SUMIFS('Partial Sales'!$F$3:$F$500,'Partial Sales'!$C$3:$C$500,$A339,'Partial Sales'!$B$3:$B$500,"&gt;="&amp;DATE($B339,1,1),'Partial Sales'!$B$3:$B$500,"&lt;="&amp;DATE($B339,12,31))/1000</f>
        <v>0</v>
      </c>
      <c r="I339" s="50" t="n">
        <f aca="false">SUMIFS('Partial Purchases'!$F$3:$F$500,'Partial Purchases'!$C$3:$C$500,$A339,'Partial Purchases'!$B$3:$B$500,"&gt;="&amp;DATE($B339,1,1),'Partial Purchases'!$B$3:$B$500,"&lt;="&amp;DATE($B339,12,31))/1000</f>
        <v>0</v>
      </c>
      <c r="J339" s="50" t="n">
        <f aca="false">C339*(D339+0.5*(G339-H339+I339-F339))</f>
        <v>0</v>
      </c>
      <c r="K339" s="50" t="n">
        <f aca="false">C339*(E339-D339+H339-G339-I339)</f>
        <v>0</v>
      </c>
      <c r="L339" s="44" t="str">
        <f aca="false">IF(J339=0,"",C339*F339/J339)</f>
        <v/>
      </c>
      <c r="M339" s="44" t="str">
        <f aca="false">IF(J339=0,"",K339/J339)</f>
        <v/>
      </c>
      <c r="N339" s="44" t="str">
        <f aca="false">IF(J339=0,"",L339+M339)</f>
        <v/>
      </c>
    </row>
    <row r="340" customFormat="false" ht="15" hidden="false" customHeight="false" outlineLevel="0" collapsed="false">
      <c r="A340" s="8" t="s">
        <v>31</v>
      </c>
      <c r="B340" s="46" t="n">
        <v>2008</v>
      </c>
      <c r="C340" s="10" t="n">
        <f aca="false">IF(D340&gt;0,1,0)</f>
        <v>0</v>
      </c>
      <c r="D340" s="9" t="n">
        <f aca="false">IF(SUMIFS(Sales!$F$3:$F$500,Sales!$C$3:$C$500,$A340,Sales!$B$3:$B$500,"&lt;="&amp;DATE($B340-1,12,31))&gt;0,0,SUMIFS('Asset Value'!$I$4:$I$500,'Asset Value'!$C$4:$C$500,$A340,'Asset Value'!$B$4:$B$500,$B340-1)/1000)</f>
        <v>0</v>
      </c>
      <c r="E340" s="9" t="n">
        <f aca="false">IF(SUMIFS(Sales!$F$3:$F$500,Sales!$C$3:$C$500,$A340,Sales!$B$3:$B$500,"&gt;="&amp;DATE($B340,1,1),Sales!$B$3:$B$500,"&lt;="&amp;DATE($B340,12,31))&gt;0,SUMIFS(Sales!$F$3:$F$500,Sales!$C$3:$C$500,$A340,Sales!$B$3:$B$500,"&gt;="&amp;DATE($B340,1,1),Sales!$B$3:$B$500,"&lt;="&amp;DATE($B340,12,31))/1000,SUMIFS('Asset Value'!$I$4:$I$500,'Asset Value'!$C$4:$C$500,$A340,'Asset Value'!$B$4:$B$500,$B340)/1000)</f>
        <v>0</v>
      </c>
      <c r="F340" s="9" t="n">
        <f aca="false">SUMIFS(Rent!$G$3:$G$500,Rent!$D$3:$D$500,$A340,Rent!$C$3:$C$500,$B340)/1000</f>
        <v>0</v>
      </c>
      <c r="G340" s="9" t="n">
        <f aca="false">SUMIFS(Costs!$F$3:$F$500,Costs!$C$3:$C$500,$A340,Costs!$B$3:$B$500,"&gt;="&amp;DATE($B340,1,1),Costs!$B$3:$B$500,"&lt;="&amp;DATE($B340,12,31))/1000</f>
        <v>0</v>
      </c>
      <c r="H340" s="9" t="n">
        <f aca="false">SUMIFS('Partial Sales'!$F$3:$F$500,'Partial Sales'!$C$3:$C$500,$A340,'Partial Sales'!$B$3:$B$500,"&gt;="&amp;DATE($B340,1,1),'Partial Sales'!$B$3:$B$500,"&lt;="&amp;DATE($B340,12,31))/1000</f>
        <v>0</v>
      </c>
      <c r="I340" s="9" t="n">
        <f aca="false">SUMIFS('Partial Purchases'!$F$3:$F$500,'Partial Purchases'!$C$3:$C$500,$A340,'Partial Purchases'!$B$3:$B$500,"&gt;="&amp;DATE($B340,1,1),'Partial Purchases'!$B$3:$B$500,"&lt;="&amp;DATE($B340,12,31))/1000</f>
        <v>0</v>
      </c>
      <c r="J340" s="9" t="n">
        <f aca="false">C340*(D340+0.5*(G340-H340+I340-F340))</f>
        <v>0</v>
      </c>
      <c r="K340" s="9" t="n">
        <f aca="false">C340*(E340-D340+H340-G340-I340)</f>
        <v>0</v>
      </c>
      <c r="L340" s="13" t="str">
        <f aca="false">IF(J340=0,"",C340*F340/J340)</f>
        <v/>
      </c>
      <c r="M340" s="13" t="str">
        <f aca="false">IF(J340=0,"",K340/J340)</f>
        <v/>
      </c>
      <c r="N340" s="13" t="str">
        <f aca="false">IF(J340=0,"",L340+M340)</f>
        <v/>
      </c>
    </row>
    <row r="341" customFormat="false" ht="15" hidden="false" customHeight="false" outlineLevel="0" collapsed="false">
      <c r="A341" s="8" t="s">
        <v>31</v>
      </c>
      <c r="B341" s="46" t="n">
        <v>2009</v>
      </c>
      <c r="C341" s="10" t="n">
        <f aca="false">IF(D341&gt;0,1,0)</f>
        <v>0</v>
      </c>
      <c r="D341" s="9" t="n">
        <f aca="false">IF(SUMIFS(Sales!$F$3:$F$500,Sales!$C$3:$C$500,$A341,Sales!$B$3:$B$500,"&lt;="&amp;DATE($B341-1,12,31))&gt;0,0,SUMIFS('Asset Value'!$I$4:$I$500,'Asset Value'!$C$4:$C$500,$A341,'Asset Value'!$B$4:$B$500,$B341-1)/1000)</f>
        <v>0</v>
      </c>
      <c r="E341" s="9" t="n">
        <f aca="false">IF(SUMIFS(Sales!$F$3:$F$500,Sales!$C$3:$C$500,$A341,Sales!$B$3:$B$500,"&gt;="&amp;DATE($B341,1,1),Sales!$B$3:$B$500,"&lt;="&amp;DATE($B341,12,31))&gt;0,SUMIFS(Sales!$F$3:$F$500,Sales!$C$3:$C$500,$A341,Sales!$B$3:$B$500,"&gt;="&amp;DATE($B341,1,1),Sales!$B$3:$B$500,"&lt;="&amp;DATE($B341,12,31))/1000,SUMIFS('Asset Value'!$I$4:$I$500,'Asset Value'!$C$4:$C$500,$A341,'Asset Value'!$B$4:$B$500,$B341)/1000)</f>
        <v>0</v>
      </c>
      <c r="F341" s="9" t="n">
        <f aca="false">SUMIFS(Rent!$G$3:$G$500,Rent!$D$3:$D$500,$A341,Rent!$C$3:$C$500,$B341)/1000</f>
        <v>0</v>
      </c>
      <c r="G341" s="9" t="n">
        <f aca="false">SUMIFS(Costs!$F$3:$F$500,Costs!$C$3:$C$500,$A341,Costs!$B$3:$B$500,"&gt;="&amp;DATE($B341,1,1),Costs!$B$3:$B$500,"&lt;="&amp;DATE($B341,12,31))/1000</f>
        <v>0</v>
      </c>
      <c r="H341" s="9" t="n">
        <f aca="false">SUMIFS('Partial Sales'!$F$3:$F$500,'Partial Sales'!$C$3:$C$500,$A341,'Partial Sales'!$B$3:$B$500,"&gt;="&amp;DATE($B341,1,1),'Partial Sales'!$B$3:$B$500,"&lt;="&amp;DATE($B341,12,31))/1000</f>
        <v>0</v>
      </c>
      <c r="I341" s="9" t="n">
        <f aca="false">SUMIFS('Partial Purchases'!$F$3:$F$500,'Partial Purchases'!$C$3:$C$500,$A341,'Partial Purchases'!$B$3:$B$500,"&gt;="&amp;DATE($B341,1,1),'Partial Purchases'!$B$3:$B$500,"&lt;="&amp;DATE($B341,12,31))/1000</f>
        <v>0</v>
      </c>
      <c r="J341" s="9" t="n">
        <f aca="false">C341*(D341+0.5*(G341-H341+I341-F341))</f>
        <v>0</v>
      </c>
      <c r="K341" s="9" t="n">
        <f aca="false">C341*(E341-D341+H341-G341-I341)</f>
        <v>0</v>
      </c>
      <c r="L341" s="13" t="str">
        <f aca="false">IF(J341=0,"",C341*F341/J341)</f>
        <v/>
      </c>
      <c r="M341" s="13" t="str">
        <f aca="false">IF(J341=0,"",K341/J341)</f>
        <v/>
      </c>
      <c r="N341" s="13" t="str">
        <f aca="false">IF(J341=0,"",L341+M341)</f>
        <v/>
      </c>
    </row>
    <row r="342" customFormat="false" ht="15" hidden="false" customHeight="false" outlineLevel="0" collapsed="false">
      <c r="A342" s="8" t="s">
        <v>31</v>
      </c>
      <c r="B342" s="46" t="n">
        <v>2010</v>
      </c>
      <c r="C342" s="10" t="n">
        <f aca="false">IF(D342&gt;0,1,0)</f>
        <v>0</v>
      </c>
      <c r="D342" s="9" t="n">
        <f aca="false">IF(SUMIFS(Sales!$F$3:$F$500,Sales!$C$3:$C$500,$A342,Sales!$B$3:$B$500,"&lt;="&amp;DATE($B342-1,12,31))&gt;0,0,SUMIFS('Asset Value'!$I$4:$I$500,'Asset Value'!$C$4:$C$500,$A342,'Asset Value'!$B$4:$B$500,$B342-1)/1000)</f>
        <v>0</v>
      </c>
      <c r="E342" s="9" t="n">
        <f aca="false">IF(SUMIFS(Sales!$F$3:$F$500,Sales!$C$3:$C$500,$A342,Sales!$B$3:$B$500,"&gt;="&amp;DATE($B342,1,1),Sales!$B$3:$B$500,"&lt;="&amp;DATE($B342,12,31))&gt;0,SUMIFS(Sales!$F$3:$F$500,Sales!$C$3:$C$500,$A342,Sales!$B$3:$B$500,"&gt;="&amp;DATE($B342,1,1),Sales!$B$3:$B$500,"&lt;="&amp;DATE($B342,12,31))/1000,SUMIFS('Asset Value'!$I$4:$I$500,'Asset Value'!$C$4:$C$500,$A342,'Asset Value'!$B$4:$B$500,$B342)/1000)</f>
        <v>0</v>
      </c>
      <c r="F342" s="9" t="n">
        <f aca="false">SUMIFS(Rent!$G$3:$G$500,Rent!$D$3:$D$500,$A342,Rent!$C$3:$C$500,$B342)/1000</f>
        <v>0</v>
      </c>
      <c r="G342" s="9" t="n">
        <f aca="false">SUMIFS(Costs!$F$3:$F$500,Costs!$C$3:$C$500,$A342,Costs!$B$3:$B$500,"&gt;="&amp;DATE($B342,1,1),Costs!$B$3:$B$500,"&lt;="&amp;DATE($B342,12,31))/1000</f>
        <v>0</v>
      </c>
      <c r="H342" s="9" t="n">
        <f aca="false">SUMIFS('Partial Sales'!$F$3:$F$500,'Partial Sales'!$C$3:$C$500,$A342,'Partial Sales'!$B$3:$B$500,"&gt;="&amp;DATE($B342,1,1),'Partial Sales'!$B$3:$B$500,"&lt;="&amp;DATE($B342,12,31))/1000</f>
        <v>0</v>
      </c>
      <c r="I342" s="9" t="n">
        <f aca="false">SUMIFS('Partial Purchases'!$F$3:$F$500,'Partial Purchases'!$C$3:$C$500,$A342,'Partial Purchases'!$B$3:$B$500,"&gt;="&amp;DATE($B342,1,1),'Partial Purchases'!$B$3:$B$500,"&lt;="&amp;DATE($B342,12,31))/1000</f>
        <v>0</v>
      </c>
      <c r="J342" s="9" t="n">
        <f aca="false">C342*(D342+0.5*(G342-H342+I342-F342))</f>
        <v>0</v>
      </c>
      <c r="K342" s="9" t="n">
        <f aca="false">C342*(E342-D342+H342-G342-I342)</f>
        <v>0</v>
      </c>
      <c r="L342" s="13" t="str">
        <f aca="false">IF(J342=0,"",C342*F342/J342)</f>
        <v/>
      </c>
      <c r="M342" s="13" t="str">
        <f aca="false">IF(J342=0,"",K342/J342)</f>
        <v/>
      </c>
      <c r="N342" s="13" t="str">
        <f aca="false">IF(J342=0,"",L342+M342)</f>
        <v/>
      </c>
    </row>
    <row r="343" customFormat="false" ht="15" hidden="false" customHeight="false" outlineLevel="0" collapsed="false">
      <c r="A343" s="8" t="s">
        <v>31</v>
      </c>
      <c r="B343" s="46" t="n">
        <v>2011</v>
      </c>
      <c r="C343" s="10" t="n">
        <f aca="false">IF(D343&gt;0,1,0)</f>
        <v>0</v>
      </c>
      <c r="D343" s="9" t="n">
        <f aca="false">IF(SUMIFS(Sales!$F$3:$F$500,Sales!$C$3:$C$500,$A343,Sales!$B$3:$B$500,"&lt;="&amp;DATE($B343-1,12,31))&gt;0,0,SUMIFS('Asset Value'!$I$4:$I$500,'Asset Value'!$C$4:$C$500,$A343,'Asset Value'!$B$4:$B$500,$B343-1)/1000)</f>
        <v>0</v>
      </c>
      <c r="E343" s="9" t="n">
        <f aca="false">IF(SUMIFS(Sales!$F$3:$F$500,Sales!$C$3:$C$500,$A343,Sales!$B$3:$B$500,"&gt;="&amp;DATE($B343,1,1),Sales!$B$3:$B$500,"&lt;="&amp;DATE($B343,12,31))&gt;0,SUMIFS(Sales!$F$3:$F$500,Sales!$C$3:$C$500,$A343,Sales!$B$3:$B$500,"&gt;="&amp;DATE($B343,1,1),Sales!$B$3:$B$500,"&lt;="&amp;DATE($B343,12,31))/1000,SUMIFS('Asset Value'!$I$4:$I$500,'Asset Value'!$C$4:$C$500,$A343,'Asset Value'!$B$4:$B$500,$B343)/1000)</f>
        <v>0</v>
      </c>
      <c r="F343" s="9" t="n">
        <f aca="false">SUMIFS(Rent!$G$3:$G$500,Rent!$D$3:$D$500,$A343,Rent!$C$3:$C$500,$B343)/1000</f>
        <v>0</v>
      </c>
      <c r="G343" s="9" t="n">
        <f aca="false">SUMIFS(Costs!$F$3:$F$500,Costs!$C$3:$C$500,$A343,Costs!$B$3:$B$500,"&gt;="&amp;DATE($B343,1,1),Costs!$B$3:$B$500,"&lt;="&amp;DATE($B343,12,31))/1000</f>
        <v>0</v>
      </c>
      <c r="H343" s="9" t="n">
        <f aca="false">SUMIFS('Partial Sales'!$F$3:$F$500,'Partial Sales'!$C$3:$C$500,$A343,'Partial Sales'!$B$3:$B$500,"&gt;="&amp;DATE($B343,1,1),'Partial Sales'!$B$3:$B$500,"&lt;="&amp;DATE($B343,12,31))/1000</f>
        <v>0</v>
      </c>
      <c r="I343" s="9" t="n">
        <f aca="false">SUMIFS('Partial Purchases'!$F$3:$F$500,'Partial Purchases'!$C$3:$C$500,$A343,'Partial Purchases'!$B$3:$B$500,"&gt;="&amp;DATE($B343,1,1),'Partial Purchases'!$B$3:$B$500,"&lt;="&amp;DATE($B343,12,31))/1000</f>
        <v>0</v>
      </c>
      <c r="J343" s="9" t="n">
        <f aca="false">C343*(D343+0.5*(G343-H343+I343-F343))</f>
        <v>0</v>
      </c>
      <c r="K343" s="9" t="n">
        <f aca="false">C343*(E343-D343+H343-G343-I343)</f>
        <v>0</v>
      </c>
      <c r="L343" s="13" t="str">
        <f aca="false">IF(J343=0,"",C343*F343/J343)</f>
        <v/>
      </c>
      <c r="M343" s="13" t="str">
        <f aca="false">IF(J343=0,"",K343/J343)</f>
        <v/>
      </c>
      <c r="N343" s="13" t="str">
        <f aca="false">IF(J343=0,"",L343+M343)</f>
        <v/>
      </c>
    </row>
    <row r="344" customFormat="false" ht="15" hidden="false" customHeight="false" outlineLevel="0" collapsed="false">
      <c r="A344" s="8" t="s">
        <v>31</v>
      </c>
      <c r="B344" s="46" t="n">
        <v>2012</v>
      </c>
      <c r="C344" s="10" t="n">
        <f aca="false">IF(D344&gt;0,1,0)</f>
        <v>0</v>
      </c>
      <c r="D344" s="9" t="n">
        <f aca="false">IF(SUMIFS(Sales!$F$3:$F$500,Sales!$C$3:$C$500,$A344,Sales!$B$3:$B$500,"&lt;="&amp;DATE($B344-1,12,31))&gt;0,0,SUMIFS('Asset Value'!$I$4:$I$500,'Asset Value'!$C$4:$C$500,$A344,'Asset Value'!$B$4:$B$500,$B344-1)/1000)</f>
        <v>0</v>
      </c>
      <c r="E344" s="9" t="n">
        <f aca="false">IF(SUMIFS(Sales!$F$3:$F$500,Sales!$C$3:$C$500,$A344,Sales!$B$3:$B$500,"&gt;="&amp;DATE($B344,1,1),Sales!$B$3:$B$500,"&lt;="&amp;DATE($B344,12,31))&gt;0,SUMIFS(Sales!$F$3:$F$500,Sales!$C$3:$C$500,$A344,Sales!$B$3:$B$500,"&gt;="&amp;DATE($B344,1,1),Sales!$B$3:$B$500,"&lt;="&amp;DATE($B344,12,31))/1000,SUMIFS('Asset Value'!$I$4:$I$500,'Asset Value'!$C$4:$C$500,$A344,'Asset Value'!$B$4:$B$500,$B344)/1000)</f>
        <v>0</v>
      </c>
      <c r="F344" s="9" t="n">
        <f aca="false">SUMIFS(Rent!$G$3:$G$500,Rent!$D$3:$D$500,$A344,Rent!$C$3:$C$500,$B344)/1000</f>
        <v>0</v>
      </c>
      <c r="G344" s="9" t="n">
        <f aca="false">SUMIFS(Costs!$F$3:$F$500,Costs!$C$3:$C$500,$A344,Costs!$B$3:$B$500,"&gt;="&amp;DATE($B344,1,1),Costs!$B$3:$B$500,"&lt;="&amp;DATE($B344,12,31))/1000</f>
        <v>0</v>
      </c>
      <c r="H344" s="9" t="n">
        <f aca="false">SUMIFS('Partial Sales'!$F$3:$F$500,'Partial Sales'!$C$3:$C$500,$A344,'Partial Sales'!$B$3:$B$500,"&gt;="&amp;DATE($B344,1,1),'Partial Sales'!$B$3:$B$500,"&lt;="&amp;DATE($B344,12,31))/1000</f>
        <v>0</v>
      </c>
      <c r="I344" s="9" t="n">
        <f aca="false">SUMIFS('Partial Purchases'!$F$3:$F$500,'Partial Purchases'!$C$3:$C$500,$A344,'Partial Purchases'!$B$3:$B$500,"&gt;="&amp;DATE($B344,1,1),'Partial Purchases'!$B$3:$B$500,"&lt;="&amp;DATE($B344,12,31))/1000</f>
        <v>0</v>
      </c>
      <c r="J344" s="9" t="n">
        <f aca="false">C344*(D344+0.5*(G344-H344+I344-F344))</f>
        <v>0</v>
      </c>
      <c r="K344" s="9" t="n">
        <f aca="false">C344*(E344-D344+H344-G344-I344)</f>
        <v>0</v>
      </c>
      <c r="L344" s="13" t="str">
        <f aca="false">IF(J344=0,"",C344*F344/J344)</f>
        <v/>
      </c>
      <c r="M344" s="13" t="str">
        <f aca="false">IF(J344=0,"",K344/J344)</f>
        <v/>
      </c>
      <c r="N344" s="13" t="str">
        <f aca="false">IF(J344=0,"",L344+M344)</f>
        <v/>
      </c>
    </row>
    <row r="345" customFormat="false" ht="15" hidden="false" customHeight="false" outlineLevel="0" collapsed="false">
      <c r="A345" s="8" t="s">
        <v>31</v>
      </c>
      <c r="B345" s="46" t="n">
        <v>2013</v>
      </c>
      <c r="C345" s="10" t="n">
        <f aca="false">IF(D345&gt;0,1,0)</f>
        <v>0</v>
      </c>
      <c r="D345" s="9" t="n">
        <f aca="false">IF(SUMIFS(Sales!$F$3:$F$500,Sales!$C$3:$C$500,$A345,Sales!$B$3:$B$500,"&lt;="&amp;DATE($B345-1,12,31))&gt;0,0,SUMIFS('Asset Value'!$I$4:$I$500,'Asset Value'!$C$4:$C$500,$A345,'Asset Value'!$B$4:$B$500,$B345-1)/1000)</f>
        <v>0</v>
      </c>
      <c r="E345" s="9" t="n">
        <f aca="false">IF(SUMIFS(Sales!$F$3:$F$500,Sales!$C$3:$C$500,$A345,Sales!$B$3:$B$500,"&gt;="&amp;DATE($B345,1,1),Sales!$B$3:$B$500,"&lt;="&amp;DATE($B345,12,31))&gt;0,SUMIFS(Sales!$F$3:$F$500,Sales!$C$3:$C$500,$A345,Sales!$B$3:$B$500,"&gt;="&amp;DATE($B345,1,1),Sales!$B$3:$B$500,"&lt;="&amp;DATE($B345,12,31))/1000,SUMIFS('Asset Value'!$I$4:$I$500,'Asset Value'!$C$4:$C$500,$A345,'Asset Value'!$B$4:$B$500,$B345)/1000)</f>
        <v>0</v>
      </c>
      <c r="F345" s="9" t="n">
        <f aca="false">SUMIFS(Rent!$G$3:$G$500,Rent!$D$3:$D$500,$A345,Rent!$C$3:$C$500,$B345)/1000</f>
        <v>0</v>
      </c>
      <c r="G345" s="9" t="n">
        <f aca="false">SUMIFS(Costs!$F$3:$F$500,Costs!$C$3:$C$500,$A345,Costs!$B$3:$B$500,"&gt;="&amp;DATE($B345,1,1),Costs!$B$3:$B$500,"&lt;="&amp;DATE($B345,12,31))/1000</f>
        <v>0</v>
      </c>
      <c r="H345" s="9" t="n">
        <f aca="false">SUMIFS('Partial Sales'!$F$3:$F$500,'Partial Sales'!$C$3:$C$500,$A345,'Partial Sales'!$B$3:$B$500,"&gt;="&amp;DATE($B345,1,1),'Partial Sales'!$B$3:$B$500,"&lt;="&amp;DATE($B345,12,31))/1000</f>
        <v>0</v>
      </c>
      <c r="I345" s="9" t="n">
        <f aca="false">SUMIFS('Partial Purchases'!$F$3:$F$500,'Partial Purchases'!$C$3:$C$500,$A345,'Partial Purchases'!$B$3:$B$500,"&gt;="&amp;DATE($B345,1,1),'Partial Purchases'!$B$3:$B$500,"&lt;="&amp;DATE($B345,12,31))/1000</f>
        <v>0</v>
      </c>
      <c r="J345" s="9" t="n">
        <f aca="false">C345*(D345+0.5*(G345-H345+I345-F345))</f>
        <v>0</v>
      </c>
      <c r="K345" s="9" t="n">
        <f aca="false">C345*(E345-D345+H345-G345-I345)</f>
        <v>0</v>
      </c>
      <c r="L345" s="13" t="str">
        <f aca="false">IF(J345=0,"",C345*F345/J345)</f>
        <v/>
      </c>
      <c r="M345" s="13" t="str">
        <f aca="false">IF(J345=0,"",K345/J345)</f>
        <v/>
      </c>
      <c r="N345" s="13" t="str">
        <f aca="false">IF(J345=0,"",L345+M345)</f>
        <v/>
      </c>
    </row>
    <row r="346" customFormat="false" ht="15" hidden="false" customHeight="false" outlineLevel="0" collapsed="false">
      <c r="A346" s="8" t="s">
        <v>31</v>
      </c>
      <c r="B346" s="46" t="n">
        <v>2014</v>
      </c>
      <c r="C346" s="10" t="n">
        <f aca="false">IF(D346&gt;0,1,0)</f>
        <v>0</v>
      </c>
      <c r="D346" s="9" t="n">
        <f aca="false">IF(SUMIFS(Sales!$F$3:$F$500,Sales!$C$3:$C$500,$A346,Sales!$B$3:$B$500,"&lt;="&amp;DATE($B346-1,12,31))&gt;0,0,SUMIFS('Asset Value'!$I$4:$I$500,'Asset Value'!$C$4:$C$500,$A346,'Asset Value'!$B$4:$B$500,$B346-1)/1000)</f>
        <v>0</v>
      </c>
      <c r="E346" s="9" t="n">
        <f aca="false">IF(SUMIFS(Sales!$F$3:$F$500,Sales!$C$3:$C$500,$A346,Sales!$B$3:$B$500,"&gt;="&amp;DATE($B346,1,1),Sales!$B$3:$B$500,"&lt;="&amp;DATE($B346,12,31))&gt;0,SUMIFS(Sales!$F$3:$F$500,Sales!$C$3:$C$500,$A346,Sales!$B$3:$B$500,"&gt;="&amp;DATE($B346,1,1),Sales!$B$3:$B$500,"&lt;="&amp;DATE($B346,12,31))/1000,SUMIFS('Asset Value'!$I$4:$I$500,'Asset Value'!$C$4:$C$500,$A346,'Asset Value'!$B$4:$B$500,$B346)/1000)</f>
        <v>0</v>
      </c>
      <c r="F346" s="9" t="n">
        <f aca="false">SUMIFS(Rent!$G$3:$G$500,Rent!$D$3:$D$500,$A346,Rent!$C$3:$C$500,$B346)/1000</f>
        <v>0</v>
      </c>
      <c r="G346" s="9" t="n">
        <f aca="false">SUMIFS(Costs!$F$3:$F$500,Costs!$C$3:$C$500,$A346,Costs!$B$3:$B$500,"&gt;="&amp;DATE($B346,1,1),Costs!$B$3:$B$500,"&lt;="&amp;DATE($B346,12,31))/1000</f>
        <v>0</v>
      </c>
      <c r="H346" s="9" t="n">
        <f aca="false">SUMIFS('Partial Sales'!$F$3:$F$500,'Partial Sales'!$C$3:$C$500,$A346,'Partial Sales'!$B$3:$B$500,"&gt;="&amp;DATE($B346,1,1),'Partial Sales'!$B$3:$B$500,"&lt;="&amp;DATE($B346,12,31))/1000</f>
        <v>0</v>
      </c>
      <c r="I346" s="9" t="n">
        <f aca="false">SUMIFS('Partial Purchases'!$F$3:$F$500,'Partial Purchases'!$C$3:$C$500,$A346,'Partial Purchases'!$B$3:$B$500,"&gt;="&amp;DATE($B346,1,1),'Partial Purchases'!$B$3:$B$500,"&lt;="&amp;DATE($B346,12,31))/1000</f>
        <v>0</v>
      </c>
      <c r="J346" s="9" t="n">
        <f aca="false">C346*(D346+0.5*(G346-H346+I346-F346))</f>
        <v>0</v>
      </c>
      <c r="K346" s="9" t="n">
        <f aca="false">C346*(E346-D346+H346-G346-I346)</f>
        <v>0</v>
      </c>
      <c r="L346" s="13" t="str">
        <f aca="false">IF(J346=0,"",C346*F346/J346)</f>
        <v/>
      </c>
      <c r="M346" s="13" t="str">
        <f aca="false">IF(J346=0,"",K346/J346)</f>
        <v/>
      </c>
      <c r="N346" s="13" t="str">
        <f aca="false">IF(J346=0,"",L346+M346)</f>
        <v/>
      </c>
    </row>
    <row r="347" customFormat="false" ht="15" hidden="false" customHeight="false" outlineLevel="0" collapsed="false">
      <c r="A347" s="47" t="s">
        <v>31</v>
      </c>
      <c r="B347" s="48" t="n">
        <v>2015</v>
      </c>
      <c r="C347" s="49" t="n">
        <f aca="false">IF(D347&gt;0,1,0)</f>
        <v>0</v>
      </c>
      <c r="D347" s="50" t="n">
        <f aca="false">IF(SUMIFS(Sales!$F$3:$F$500,Sales!$C$3:$C$500,$A347,Sales!$B$3:$B$500,"&lt;="&amp;DATE($B347-1,12,31))&gt;0,0,SUMIFS('Asset Value'!$I$4:$I$500,'Asset Value'!$C$4:$C$500,$A347,'Asset Value'!$B$4:$B$500,$B347-1)/1000)</f>
        <v>0</v>
      </c>
      <c r="E347" s="50" t="n">
        <f aca="false">IF(SUMIFS(Sales!$F$3:$F$500,Sales!$C$3:$C$500,$A347,Sales!$B$3:$B$500,"&gt;="&amp;DATE($B347,1,1),Sales!$B$3:$B$500,"&lt;="&amp;DATE($B347,12,31))&gt;0,SUMIFS(Sales!$F$3:$F$500,Sales!$C$3:$C$500,$A347,Sales!$B$3:$B$500,"&gt;="&amp;DATE($B347,1,1),Sales!$B$3:$B$500,"&lt;="&amp;DATE($B347,12,31))/1000,SUMIFS('Asset Value'!$I$4:$I$500,'Asset Value'!$C$4:$C$500,$A347,'Asset Value'!$B$4:$B$500,$B347)/1000)</f>
        <v>0</v>
      </c>
      <c r="F347" s="50" t="n">
        <f aca="false">SUMIFS(Rent!$G$3:$G$500,Rent!$D$3:$D$500,$A347,Rent!$C$3:$C$500,$B347)/1000</f>
        <v>0</v>
      </c>
      <c r="G347" s="50" t="n">
        <f aca="false">SUMIFS(Costs!$F$3:$F$500,Costs!$C$3:$C$500,$A347,Costs!$B$3:$B$500,"&gt;="&amp;DATE($B347,1,1),Costs!$B$3:$B$500,"&lt;="&amp;DATE($B347,12,31))/1000</f>
        <v>0</v>
      </c>
      <c r="H347" s="50" t="n">
        <f aca="false">SUMIFS('Partial Sales'!$F$3:$F$500,'Partial Sales'!$C$3:$C$500,$A347,'Partial Sales'!$B$3:$B$500,"&gt;="&amp;DATE($B347,1,1),'Partial Sales'!$B$3:$B$500,"&lt;="&amp;DATE($B347,12,31))/1000</f>
        <v>0</v>
      </c>
      <c r="I347" s="50" t="n">
        <f aca="false">SUMIFS('Partial Purchases'!$F$3:$F$500,'Partial Purchases'!$C$3:$C$500,$A347,'Partial Purchases'!$B$3:$B$500,"&gt;="&amp;DATE($B347,1,1),'Partial Purchases'!$B$3:$B$500,"&lt;="&amp;DATE($B347,12,31))/1000</f>
        <v>0</v>
      </c>
      <c r="J347" s="50" t="n">
        <f aca="false">C347*(D347+0.5*(G347-H347+I347-F347))</f>
        <v>0</v>
      </c>
      <c r="K347" s="50" t="n">
        <f aca="false">C347*(E347-D347+H347-G347-I347)</f>
        <v>0</v>
      </c>
      <c r="L347" s="44" t="str">
        <f aca="false">IF(J347=0,"",C347*F347/J347)</f>
        <v/>
      </c>
      <c r="M347" s="44" t="str">
        <f aca="false">IF(J347=0,"",K347/J347)</f>
        <v/>
      </c>
      <c r="N347" s="44" t="str">
        <f aca="false">IF(J347=0,"",L347+M347)</f>
        <v/>
      </c>
    </row>
    <row r="348" customFormat="false" ht="15" hidden="false" customHeight="false" outlineLevel="0" collapsed="false">
      <c r="A348" s="8" t="s">
        <v>32</v>
      </c>
      <c r="B348" s="46" t="n">
        <v>2008</v>
      </c>
      <c r="C348" s="10" t="n">
        <f aca="false">IF(D348&gt;0,1,0)</f>
        <v>0</v>
      </c>
      <c r="D348" s="9" t="n">
        <f aca="false">IF(SUMIFS(Sales!$F$3:$F$500,Sales!$C$3:$C$500,$A348,Sales!$B$3:$B$500,"&lt;="&amp;DATE($B348-1,12,31))&gt;0,0,SUMIFS('Asset Value'!$I$4:$I$500,'Asset Value'!$C$4:$C$500,$A348,'Asset Value'!$B$4:$B$500,$B348-1)/1000)</f>
        <v>0</v>
      </c>
      <c r="E348" s="9" t="n">
        <f aca="false">IF(SUMIFS(Sales!$F$3:$F$500,Sales!$C$3:$C$500,$A348,Sales!$B$3:$B$500,"&gt;="&amp;DATE($B348,1,1),Sales!$B$3:$B$500,"&lt;="&amp;DATE($B348,12,31))&gt;0,SUMIFS(Sales!$F$3:$F$500,Sales!$C$3:$C$500,$A348,Sales!$B$3:$B$500,"&gt;="&amp;DATE($B348,1,1),Sales!$B$3:$B$500,"&lt;="&amp;DATE($B348,12,31))/1000,SUMIFS('Asset Value'!$I$4:$I$500,'Asset Value'!$C$4:$C$500,$A348,'Asset Value'!$B$4:$B$500,$B348)/1000)</f>
        <v>0</v>
      </c>
      <c r="F348" s="9" t="n">
        <f aca="false">SUMIFS(Rent!$G$3:$G$500,Rent!$D$3:$D$500,$A348,Rent!$C$3:$C$500,$B348)/1000</f>
        <v>0</v>
      </c>
      <c r="G348" s="9" t="n">
        <f aca="false">SUMIFS(Costs!$F$3:$F$500,Costs!$C$3:$C$500,$A348,Costs!$B$3:$B$500,"&gt;="&amp;DATE($B348,1,1),Costs!$B$3:$B$500,"&lt;="&amp;DATE($B348,12,31))/1000</f>
        <v>0</v>
      </c>
      <c r="H348" s="9" t="n">
        <f aca="false">SUMIFS('Partial Sales'!$F$3:$F$500,'Partial Sales'!$C$3:$C$500,$A348,'Partial Sales'!$B$3:$B$500,"&gt;="&amp;DATE($B348,1,1),'Partial Sales'!$B$3:$B$500,"&lt;="&amp;DATE($B348,12,31))/1000</f>
        <v>0</v>
      </c>
      <c r="I348" s="9" t="n">
        <f aca="false">SUMIFS('Partial Purchases'!$F$3:$F$500,'Partial Purchases'!$C$3:$C$500,$A348,'Partial Purchases'!$B$3:$B$500,"&gt;="&amp;DATE($B348,1,1),'Partial Purchases'!$B$3:$B$500,"&lt;="&amp;DATE($B348,12,31))/1000</f>
        <v>0</v>
      </c>
      <c r="J348" s="9" t="n">
        <f aca="false">C348*(D348+0.5*(G348-H348+I348-F348))</f>
        <v>0</v>
      </c>
      <c r="K348" s="9" t="n">
        <f aca="false">C348*(E348-D348+H348-G348-I348)</f>
        <v>0</v>
      </c>
      <c r="L348" s="13" t="str">
        <f aca="false">IF(J348=0,"",C348*F348/J348)</f>
        <v/>
      </c>
      <c r="M348" s="13" t="str">
        <f aca="false">IF(J348=0,"",K348/J348)</f>
        <v/>
      </c>
      <c r="N348" s="13" t="str">
        <f aca="false">IF(J348=0,"",L348+M348)</f>
        <v/>
      </c>
    </row>
    <row r="349" customFormat="false" ht="15" hidden="false" customHeight="false" outlineLevel="0" collapsed="false">
      <c r="A349" s="8" t="s">
        <v>32</v>
      </c>
      <c r="B349" s="46" t="n">
        <v>2009</v>
      </c>
      <c r="C349" s="10" t="n">
        <f aca="false">IF(D349&gt;0,1,0)</f>
        <v>0</v>
      </c>
      <c r="D349" s="9" t="n">
        <f aca="false">IF(SUMIFS(Sales!$F$3:$F$500,Sales!$C$3:$C$500,$A349,Sales!$B$3:$B$500,"&lt;="&amp;DATE($B349-1,12,31))&gt;0,0,SUMIFS('Asset Value'!$I$4:$I$500,'Asset Value'!$C$4:$C$500,$A349,'Asset Value'!$B$4:$B$500,$B349-1)/1000)</f>
        <v>0</v>
      </c>
      <c r="E349" s="9" t="n">
        <f aca="false">IF(SUMIFS(Sales!$F$3:$F$500,Sales!$C$3:$C$500,$A349,Sales!$B$3:$B$500,"&gt;="&amp;DATE($B349,1,1),Sales!$B$3:$B$500,"&lt;="&amp;DATE($B349,12,31))&gt;0,SUMIFS(Sales!$F$3:$F$500,Sales!$C$3:$C$500,$A349,Sales!$B$3:$B$500,"&gt;="&amp;DATE($B349,1,1),Sales!$B$3:$B$500,"&lt;="&amp;DATE($B349,12,31))/1000,SUMIFS('Asset Value'!$I$4:$I$500,'Asset Value'!$C$4:$C$500,$A349,'Asset Value'!$B$4:$B$500,$B349)/1000)</f>
        <v>0</v>
      </c>
      <c r="F349" s="9" t="n">
        <f aca="false">SUMIFS(Rent!$G$3:$G$500,Rent!$D$3:$D$500,$A349,Rent!$C$3:$C$500,$B349)/1000</f>
        <v>0</v>
      </c>
      <c r="G349" s="9" t="n">
        <f aca="false">SUMIFS(Costs!$F$3:$F$500,Costs!$C$3:$C$500,$A349,Costs!$B$3:$B$500,"&gt;="&amp;DATE($B349,1,1),Costs!$B$3:$B$500,"&lt;="&amp;DATE($B349,12,31))/1000</f>
        <v>0</v>
      </c>
      <c r="H349" s="9" t="n">
        <f aca="false">SUMIFS('Partial Sales'!$F$3:$F$500,'Partial Sales'!$C$3:$C$500,$A349,'Partial Sales'!$B$3:$B$500,"&gt;="&amp;DATE($B349,1,1),'Partial Sales'!$B$3:$B$500,"&lt;="&amp;DATE($B349,12,31))/1000</f>
        <v>0</v>
      </c>
      <c r="I349" s="9" t="n">
        <f aca="false">SUMIFS('Partial Purchases'!$F$3:$F$500,'Partial Purchases'!$C$3:$C$500,$A349,'Partial Purchases'!$B$3:$B$500,"&gt;="&amp;DATE($B349,1,1),'Partial Purchases'!$B$3:$B$500,"&lt;="&amp;DATE($B349,12,31))/1000</f>
        <v>0</v>
      </c>
      <c r="J349" s="9" t="n">
        <f aca="false">C349*(D349+0.5*(G349-H349+I349-F349))</f>
        <v>0</v>
      </c>
      <c r="K349" s="9" t="n">
        <f aca="false">C349*(E349-D349+H349-G349-I349)</f>
        <v>0</v>
      </c>
      <c r="L349" s="13" t="str">
        <f aca="false">IF(J349=0,"",C349*F349/J349)</f>
        <v/>
      </c>
      <c r="M349" s="13" t="str">
        <f aca="false">IF(J349=0,"",K349/J349)</f>
        <v/>
      </c>
      <c r="N349" s="13" t="str">
        <f aca="false">IF(J349=0,"",L349+M349)</f>
        <v/>
      </c>
    </row>
    <row r="350" customFormat="false" ht="15" hidden="false" customHeight="false" outlineLevel="0" collapsed="false">
      <c r="A350" s="8" t="s">
        <v>32</v>
      </c>
      <c r="B350" s="46" t="n">
        <v>2010</v>
      </c>
      <c r="C350" s="10" t="n">
        <f aca="false">IF(D350&gt;0,1,0)</f>
        <v>0</v>
      </c>
      <c r="D350" s="9" t="n">
        <f aca="false">IF(SUMIFS(Sales!$F$3:$F$500,Sales!$C$3:$C$500,$A350,Sales!$B$3:$B$500,"&lt;="&amp;DATE($B350-1,12,31))&gt;0,0,SUMIFS('Asset Value'!$I$4:$I$500,'Asset Value'!$C$4:$C$500,$A350,'Asset Value'!$B$4:$B$500,$B350-1)/1000)</f>
        <v>0</v>
      </c>
      <c r="E350" s="9" t="n">
        <f aca="false">IF(SUMIFS(Sales!$F$3:$F$500,Sales!$C$3:$C$500,$A350,Sales!$B$3:$B$500,"&gt;="&amp;DATE($B350,1,1),Sales!$B$3:$B$500,"&lt;="&amp;DATE($B350,12,31))&gt;0,SUMIFS(Sales!$F$3:$F$500,Sales!$C$3:$C$500,$A350,Sales!$B$3:$B$500,"&gt;="&amp;DATE($B350,1,1),Sales!$B$3:$B$500,"&lt;="&amp;DATE($B350,12,31))/1000,SUMIFS('Asset Value'!$I$4:$I$500,'Asset Value'!$C$4:$C$500,$A350,'Asset Value'!$B$4:$B$500,$B350)/1000)</f>
        <v>0</v>
      </c>
      <c r="F350" s="9" t="n">
        <f aca="false">SUMIFS(Rent!$G$3:$G$500,Rent!$D$3:$D$500,$A350,Rent!$C$3:$C$500,$B350)/1000</f>
        <v>0</v>
      </c>
      <c r="G350" s="9" t="n">
        <f aca="false">SUMIFS(Costs!$F$3:$F$500,Costs!$C$3:$C$500,$A350,Costs!$B$3:$B$500,"&gt;="&amp;DATE($B350,1,1),Costs!$B$3:$B$500,"&lt;="&amp;DATE($B350,12,31))/1000</f>
        <v>0</v>
      </c>
      <c r="H350" s="9" t="n">
        <f aca="false">SUMIFS('Partial Sales'!$F$3:$F$500,'Partial Sales'!$C$3:$C$500,$A350,'Partial Sales'!$B$3:$B$500,"&gt;="&amp;DATE($B350,1,1),'Partial Sales'!$B$3:$B$500,"&lt;="&amp;DATE($B350,12,31))/1000</f>
        <v>0</v>
      </c>
      <c r="I350" s="9" t="n">
        <f aca="false">SUMIFS('Partial Purchases'!$F$3:$F$500,'Partial Purchases'!$C$3:$C$500,$A350,'Partial Purchases'!$B$3:$B$500,"&gt;="&amp;DATE($B350,1,1),'Partial Purchases'!$B$3:$B$500,"&lt;="&amp;DATE($B350,12,31))/1000</f>
        <v>0</v>
      </c>
      <c r="J350" s="9" t="n">
        <f aca="false">C350*(D350+0.5*(G350-H350+I350-F350))</f>
        <v>0</v>
      </c>
      <c r="K350" s="9" t="n">
        <f aca="false">C350*(E350-D350+H350-G350-I350)</f>
        <v>0</v>
      </c>
      <c r="L350" s="13" t="str">
        <f aca="false">IF(J350=0,"",C350*F350/J350)</f>
        <v/>
      </c>
      <c r="M350" s="13" t="str">
        <f aca="false">IF(J350=0,"",K350/J350)</f>
        <v/>
      </c>
      <c r="N350" s="13" t="str">
        <f aca="false">IF(J350=0,"",L350+M350)</f>
        <v/>
      </c>
    </row>
    <row r="351" customFormat="false" ht="15" hidden="false" customHeight="false" outlineLevel="0" collapsed="false">
      <c r="A351" s="8" t="s">
        <v>32</v>
      </c>
      <c r="B351" s="46" t="n">
        <v>2011</v>
      </c>
      <c r="C351" s="10" t="n">
        <f aca="false">IF(D351&gt;0,1,0)</f>
        <v>0</v>
      </c>
      <c r="D351" s="9" t="n">
        <f aca="false">IF(SUMIFS(Sales!$F$3:$F$500,Sales!$C$3:$C$500,$A351,Sales!$B$3:$B$500,"&lt;="&amp;DATE($B351-1,12,31))&gt;0,0,SUMIFS('Asset Value'!$I$4:$I$500,'Asset Value'!$C$4:$C$500,$A351,'Asset Value'!$B$4:$B$500,$B351-1)/1000)</f>
        <v>0</v>
      </c>
      <c r="E351" s="9" t="n">
        <f aca="false">IF(SUMIFS(Sales!$F$3:$F$500,Sales!$C$3:$C$500,$A351,Sales!$B$3:$B$500,"&gt;="&amp;DATE($B351,1,1),Sales!$B$3:$B$500,"&lt;="&amp;DATE($B351,12,31))&gt;0,SUMIFS(Sales!$F$3:$F$500,Sales!$C$3:$C$500,$A351,Sales!$B$3:$B$500,"&gt;="&amp;DATE($B351,1,1),Sales!$B$3:$B$500,"&lt;="&amp;DATE($B351,12,31))/1000,SUMIFS('Asset Value'!$I$4:$I$500,'Asset Value'!$C$4:$C$500,$A351,'Asset Value'!$B$4:$B$500,$B351)/1000)</f>
        <v>0</v>
      </c>
      <c r="F351" s="9" t="n">
        <f aca="false">SUMIFS(Rent!$G$3:$G$500,Rent!$D$3:$D$500,$A351,Rent!$C$3:$C$500,$B351)/1000</f>
        <v>0</v>
      </c>
      <c r="G351" s="9" t="n">
        <f aca="false">SUMIFS(Costs!$F$3:$F$500,Costs!$C$3:$C$500,$A351,Costs!$B$3:$B$500,"&gt;="&amp;DATE($B351,1,1),Costs!$B$3:$B$500,"&lt;="&amp;DATE($B351,12,31))/1000</f>
        <v>0</v>
      </c>
      <c r="H351" s="9" t="n">
        <f aca="false">SUMIFS('Partial Sales'!$F$3:$F$500,'Partial Sales'!$C$3:$C$500,$A351,'Partial Sales'!$B$3:$B$500,"&gt;="&amp;DATE($B351,1,1),'Partial Sales'!$B$3:$B$500,"&lt;="&amp;DATE($B351,12,31))/1000</f>
        <v>0</v>
      </c>
      <c r="I351" s="9" t="n">
        <f aca="false">SUMIFS('Partial Purchases'!$F$3:$F$500,'Partial Purchases'!$C$3:$C$500,$A351,'Partial Purchases'!$B$3:$B$500,"&gt;="&amp;DATE($B351,1,1),'Partial Purchases'!$B$3:$B$500,"&lt;="&amp;DATE($B351,12,31))/1000</f>
        <v>0</v>
      </c>
      <c r="J351" s="9" t="n">
        <f aca="false">C351*(D351+0.5*(G351-H351+I351-F351))</f>
        <v>0</v>
      </c>
      <c r="K351" s="9" t="n">
        <f aca="false">C351*(E351-D351+H351-G351-I351)</f>
        <v>0</v>
      </c>
      <c r="L351" s="13" t="str">
        <f aca="false">IF(J351=0,"",C351*F351/J351)</f>
        <v/>
      </c>
      <c r="M351" s="13" t="str">
        <f aca="false">IF(J351=0,"",K351/J351)</f>
        <v/>
      </c>
      <c r="N351" s="13" t="str">
        <f aca="false">IF(J351=0,"",L351+M351)</f>
        <v/>
      </c>
    </row>
    <row r="352" customFormat="false" ht="15" hidden="false" customHeight="false" outlineLevel="0" collapsed="false">
      <c r="A352" s="8" t="s">
        <v>32</v>
      </c>
      <c r="B352" s="46" t="n">
        <v>2012</v>
      </c>
      <c r="C352" s="10" t="n">
        <f aca="false">IF(D352&gt;0,1,0)</f>
        <v>0</v>
      </c>
      <c r="D352" s="9" t="n">
        <f aca="false">IF(SUMIFS(Sales!$F$3:$F$500,Sales!$C$3:$C$500,$A352,Sales!$B$3:$B$500,"&lt;="&amp;DATE($B352-1,12,31))&gt;0,0,SUMIFS('Asset Value'!$I$4:$I$500,'Asset Value'!$C$4:$C$500,$A352,'Asset Value'!$B$4:$B$500,$B352-1)/1000)</f>
        <v>0</v>
      </c>
      <c r="E352" s="9" t="n">
        <f aca="false">IF(SUMIFS(Sales!$F$3:$F$500,Sales!$C$3:$C$500,$A352,Sales!$B$3:$B$500,"&gt;="&amp;DATE($B352,1,1),Sales!$B$3:$B$500,"&lt;="&amp;DATE($B352,12,31))&gt;0,SUMIFS(Sales!$F$3:$F$500,Sales!$C$3:$C$500,$A352,Sales!$B$3:$B$500,"&gt;="&amp;DATE($B352,1,1),Sales!$B$3:$B$500,"&lt;="&amp;DATE($B352,12,31))/1000,SUMIFS('Asset Value'!$I$4:$I$500,'Asset Value'!$C$4:$C$500,$A352,'Asset Value'!$B$4:$B$500,$B352)/1000)</f>
        <v>0</v>
      </c>
      <c r="F352" s="9" t="n">
        <f aca="false">SUMIFS(Rent!$G$3:$G$500,Rent!$D$3:$D$500,$A352,Rent!$C$3:$C$500,$B352)/1000</f>
        <v>0</v>
      </c>
      <c r="G352" s="9" t="n">
        <f aca="false">SUMIFS(Costs!$F$3:$F$500,Costs!$C$3:$C$500,$A352,Costs!$B$3:$B$500,"&gt;="&amp;DATE($B352,1,1),Costs!$B$3:$B$500,"&lt;="&amp;DATE($B352,12,31))/1000</f>
        <v>0</v>
      </c>
      <c r="H352" s="9" t="n">
        <f aca="false">SUMIFS('Partial Sales'!$F$3:$F$500,'Partial Sales'!$C$3:$C$500,$A352,'Partial Sales'!$B$3:$B$500,"&gt;="&amp;DATE($B352,1,1),'Partial Sales'!$B$3:$B$500,"&lt;="&amp;DATE($B352,12,31))/1000</f>
        <v>0</v>
      </c>
      <c r="I352" s="9" t="n">
        <f aca="false">SUMIFS('Partial Purchases'!$F$3:$F$500,'Partial Purchases'!$C$3:$C$500,$A352,'Partial Purchases'!$B$3:$B$500,"&gt;="&amp;DATE($B352,1,1),'Partial Purchases'!$B$3:$B$500,"&lt;="&amp;DATE($B352,12,31))/1000</f>
        <v>0</v>
      </c>
      <c r="J352" s="9" t="n">
        <f aca="false">C352*(D352+0.5*(G352-H352+I352-F352))</f>
        <v>0</v>
      </c>
      <c r="K352" s="9" t="n">
        <f aca="false">C352*(E352-D352+H352-G352-I352)</f>
        <v>0</v>
      </c>
      <c r="L352" s="13" t="str">
        <f aca="false">IF(J352=0,"",C352*F352/J352)</f>
        <v/>
      </c>
      <c r="M352" s="13" t="str">
        <f aca="false">IF(J352=0,"",K352/J352)</f>
        <v/>
      </c>
      <c r="N352" s="13" t="str">
        <f aca="false">IF(J352=0,"",L352+M352)</f>
        <v/>
      </c>
    </row>
    <row r="353" customFormat="false" ht="15" hidden="false" customHeight="false" outlineLevel="0" collapsed="false">
      <c r="A353" s="8" t="s">
        <v>32</v>
      </c>
      <c r="B353" s="46" t="n">
        <v>2013</v>
      </c>
      <c r="C353" s="10" t="n">
        <f aca="false">IF(D353&gt;0,1,0)</f>
        <v>0</v>
      </c>
      <c r="D353" s="9" t="n">
        <f aca="false">IF(SUMIFS(Sales!$F$3:$F$500,Sales!$C$3:$C$500,$A353,Sales!$B$3:$B$500,"&lt;="&amp;DATE($B353-1,12,31))&gt;0,0,SUMIFS('Asset Value'!$I$4:$I$500,'Asset Value'!$C$4:$C$500,$A353,'Asset Value'!$B$4:$B$500,$B353-1)/1000)</f>
        <v>0</v>
      </c>
      <c r="E353" s="9" t="n">
        <f aca="false">IF(SUMIFS(Sales!$F$3:$F$500,Sales!$C$3:$C$500,$A353,Sales!$B$3:$B$500,"&gt;="&amp;DATE($B353,1,1),Sales!$B$3:$B$500,"&lt;="&amp;DATE($B353,12,31))&gt;0,SUMIFS(Sales!$F$3:$F$500,Sales!$C$3:$C$500,$A353,Sales!$B$3:$B$500,"&gt;="&amp;DATE($B353,1,1),Sales!$B$3:$B$500,"&lt;="&amp;DATE($B353,12,31))/1000,SUMIFS('Asset Value'!$I$4:$I$500,'Asset Value'!$C$4:$C$500,$A353,'Asset Value'!$B$4:$B$500,$B353)/1000)</f>
        <v>0</v>
      </c>
      <c r="F353" s="9" t="n">
        <f aca="false">SUMIFS(Rent!$G$3:$G$500,Rent!$D$3:$D$500,$A353,Rent!$C$3:$C$500,$B353)/1000</f>
        <v>0</v>
      </c>
      <c r="G353" s="9" t="n">
        <f aca="false">SUMIFS(Costs!$F$3:$F$500,Costs!$C$3:$C$500,$A353,Costs!$B$3:$B$500,"&gt;="&amp;DATE($B353,1,1),Costs!$B$3:$B$500,"&lt;="&amp;DATE($B353,12,31))/1000</f>
        <v>0</v>
      </c>
      <c r="H353" s="9" t="n">
        <f aca="false">SUMIFS('Partial Sales'!$F$3:$F$500,'Partial Sales'!$C$3:$C$500,$A353,'Partial Sales'!$B$3:$B$500,"&gt;="&amp;DATE($B353,1,1),'Partial Sales'!$B$3:$B$500,"&lt;="&amp;DATE($B353,12,31))/1000</f>
        <v>0</v>
      </c>
      <c r="I353" s="9" t="n">
        <f aca="false">SUMIFS('Partial Purchases'!$F$3:$F$500,'Partial Purchases'!$C$3:$C$500,$A353,'Partial Purchases'!$B$3:$B$500,"&gt;="&amp;DATE($B353,1,1),'Partial Purchases'!$B$3:$B$500,"&lt;="&amp;DATE($B353,12,31))/1000</f>
        <v>0</v>
      </c>
      <c r="J353" s="9" t="n">
        <f aca="false">C353*(D353+0.5*(G353-H353+I353-F353))</f>
        <v>0</v>
      </c>
      <c r="K353" s="9" t="n">
        <f aca="false">C353*(E353-D353+H353-G353-I353)</f>
        <v>0</v>
      </c>
      <c r="L353" s="13" t="str">
        <f aca="false">IF(J353=0,"",C353*F353/J353)</f>
        <v/>
      </c>
      <c r="M353" s="13" t="str">
        <f aca="false">IF(J353=0,"",K353/J353)</f>
        <v/>
      </c>
      <c r="N353" s="13" t="str">
        <f aca="false">IF(J353=0,"",L353+M353)</f>
        <v/>
      </c>
    </row>
    <row r="354" customFormat="false" ht="15" hidden="false" customHeight="false" outlineLevel="0" collapsed="false">
      <c r="A354" s="8" t="s">
        <v>32</v>
      </c>
      <c r="B354" s="46" t="n">
        <v>2014</v>
      </c>
      <c r="C354" s="10" t="n">
        <f aca="false">IF(D354&gt;0,1,0)</f>
        <v>0</v>
      </c>
      <c r="D354" s="9" t="n">
        <f aca="false">IF(SUMIFS(Sales!$F$3:$F$500,Sales!$C$3:$C$500,$A354,Sales!$B$3:$B$500,"&lt;="&amp;DATE($B354-1,12,31))&gt;0,0,SUMIFS('Asset Value'!$I$4:$I$500,'Asset Value'!$C$4:$C$500,$A354,'Asset Value'!$B$4:$B$500,$B354-1)/1000)</f>
        <v>0</v>
      </c>
      <c r="E354" s="9" t="n">
        <f aca="false">IF(SUMIFS(Sales!$F$3:$F$500,Sales!$C$3:$C$500,$A354,Sales!$B$3:$B$500,"&gt;="&amp;DATE($B354,1,1),Sales!$B$3:$B$500,"&lt;="&amp;DATE($B354,12,31))&gt;0,SUMIFS(Sales!$F$3:$F$500,Sales!$C$3:$C$500,$A354,Sales!$B$3:$B$500,"&gt;="&amp;DATE($B354,1,1),Sales!$B$3:$B$500,"&lt;="&amp;DATE($B354,12,31))/1000,SUMIFS('Asset Value'!$I$4:$I$500,'Asset Value'!$C$4:$C$500,$A354,'Asset Value'!$B$4:$B$500,$B354)/1000)</f>
        <v>0</v>
      </c>
      <c r="F354" s="9" t="n">
        <f aca="false">SUMIFS(Rent!$G$3:$G$500,Rent!$D$3:$D$500,$A354,Rent!$C$3:$C$500,$B354)/1000</f>
        <v>0</v>
      </c>
      <c r="G354" s="9" t="n">
        <f aca="false">SUMIFS(Costs!$F$3:$F$500,Costs!$C$3:$C$500,$A354,Costs!$B$3:$B$500,"&gt;="&amp;DATE($B354,1,1),Costs!$B$3:$B$500,"&lt;="&amp;DATE($B354,12,31))/1000</f>
        <v>0</v>
      </c>
      <c r="H354" s="9" t="n">
        <f aca="false">SUMIFS('Partial Sales'!$F$3:$F$500,'Partial Sales'!$C$3:$C$500,$A354,'Partial Sales'!$B$3:$B$500,"&gt;="&amp;DATE($B354,1,1),'Partial Sales'!$B$3:$B$500,"&lt;="&amp;DATE($B354,12,31))/1000</f>
        <v>0</v>
      </c>
      <c r="I354" s="9" t="n">
        <f aca="false">SUMIFS('Partial Purchases'!$F$3:$F$500,'Partial Purchases'!$C$3:$C$500,$A354,'Partial Purchases'!$B$3:$B$500,"&gt;="&amp;DATE($B354,1,1),'Partial Purchases'!$B$3:$B$500,"&lt;="&amp;DATE($B354,12,31))/1000</f>
        <v>0</v>
      </c>
      <c r="J354" s="9" t="n">
        <f aca="false">C354*(D354+0.5*(G354-H354+I354-F354))</f>
        <v>0</v>
      </c>
      <c r="K354" s="9" t="n">
        <f aca="false">C354*(E354-D354+H354-G354-I354)</f>
        <v>0</v>
      </c>
      <c r="L354" s="13" t="str">
        <f aca="false">IF(J354=0,"",C354*F354/J354)</f>
        <v/>
      </c>
      <c r="M354" s="13" t="str">
        <f aca="false">IF(J354=0,"",K354/J354)</f>
        <v/>
      </c>
      <c r="N354" s="13" t="str">
        <f aca="false">IF(J354=0,"",L354+M354)</f>
        <v/>
      </c>
    </row>
    <row r="355" customFormat="false" ht="15" hidden="false" customHeight="false" outlineLevel="0" collapsed="false">
      <c r="A355" s="47" t="s">
        <v>32</v>
      </c>
      <c r="B355" s="48" t="n">
        <v>2015</v>
      </c>
      <c r="C355" s="49" t="n">
        <f aca="false">IF(D355&gt;0,1,0)</f>
        <v>0</v>
      </c>
      <c r="D355" s="50" t="n">
        <f aca="false">IF(SUMIFS(Sales!$F$3:$F$500,Sales!$C$3:$C$500,$A355,Sales!$B$3:$B$500,"&lt;="&amp;DATE($B355-1,12,31))&gt;0,0,SUMIFS('Asset Value'!$I$4:$I$500,'Asset Value'!$C$4:$C$500,$A355,'Asset Value'!$B$4:$B$500,$B355-1)/1000)</f>
        <v>0</v>
      </c>
      <c r="E355" s="50" t="n">
        <f aca="false">IF(SUMIFS(Sales!$F$3:$F$500,Sales!$C$3:$C$500,$A355,Sales!$B$3:$B$500,"&gt;="&amp;DATE($B355,1,1),Sales!$B$3:$B$500,"&lt;="&amp;DATE($B355,12,31))&gt;0,SUMIFS(Sales!$F$3:$F$500,Sales!$C$3:$C$500,$A355,Sales!$B$3:$B$500,"&gt;="&amp;DATE($B355,1,1),Sales!$B$3:$B$500,"&lt;="&amp;DATE($B355,12,31))/1000,SUMIFS('Asset Value'!$I$4:$I$500,'Asset Value'!$C$4:$C$500,$A355,'Asset Value'!$B$4:$B$500,$B355)/1000)</f>
        <v>0</v>
      </c>
      <c r="F355" s="50" t="n">
        <f aca="false">SUMIFS(Rent!$G$3:$G$500,Rent!$D$3:$D$500,$A355,Rent!$C$3:$C$500,$B355)/1000</f>
        <v>0</v>
      </c>
      <c r="G355" s="50" t="n">
        <f aca="false">SUMIFS(Costs!$F$3:$F$500,Costs!$C$3:$C$500,$A355,Costs!$B$3:$B$500,"&gt;="&amp;DATE($B355,1,1),Costs!$B$3:$B$500,"&lt;="&amp;DATE($B355,12,31))/1000</f>
        <v>0</v>
      </c>
      <c r="H355" s="50" t="n">
        <f aca="false">SUMIFS('Partial Sales'!$F$3:$F$500,'Partial Sales'!$C$3:$C$500,$A355,'Partial Sales'!$B$3:$B$500,"&gt;="&amp;DATE($B355,1,1),'Partial Sales'!$B$3:$B$500,"&lt;="&amp;DATE($B355,12,31))/1000</f>
        <v>0</v>
      </c>
      <c r="I355" s="50" t="n">
        <f aca="false">SUMIFS('Partial Purchases'!$F$3:$F$500,'Partial Purchases'!$C$3:$C$500,$A355,'Partial Purchases'!$B$3:$B$500,"&gt;="&amp;DATE($B355,1,1),'Partial Purchases'!$B$3:$B$500,"&lt;="&amp;DATE($B355,12,31))/1000</f>
        <v>0</v>
      </c>
      <c r="J355" s="50" t="n">
        <f aca="false">C355*(D355+0.5*(G355-H355+I355-F355))</f>
        <v>0</v>
      </c>
      <c r="K355" s="50" t="n">
        <f aca="false">C355*(E355-D355+H355-G355-I355)</f>
        <v>0</v>
      </c>
      <c r="L355" s="44" t="str">
        <f aca="false">IF(J355=0,"",C355*F355/J355)</f>
        <v/>
      </c>
      <c r="M355" s="44" t="str">
        <f aca="false">IF(J355=0,"",K355/J355)</f>
        <v/>
      </c>
      <c r="N355" s="44" t="str">
        <f aca="false">IF(J355=0,"",L355+M355)</f>
        <v/>
      </c>
    </row>
    <row r="356" customFormat="false" ht="15" hidden="false" customHeight="false" outlineLevel="0" collapsed="false">
      <c r="A356" s="8" t="s">
        <v>33</v>
      </c>
      <c r="B356" s="46" t="n">
        <v>2008</v>
      </c>
      <c r="C356" s="10" t="n">
        <f aca="false">IF(D356&gt;0,1,0)</f>
        <v>0</v>
      </c>
      <c r="D356" s="9" t="n">
        <f aca="false">IF(SUMIFS(Sales!$F$3:$F$500,Sales!$C$3:$C$500,$A356,Sales!$B$3:$B$500,"&lt;="&amp;DATE($B356-1,12,31))&gt;0,0,SUMIFS('Asset Value'!$I$4:$I$500,'Asset Value'!$C$4:$C$500,$A356,'Asset Value'!$B$4:$B$500,$B356-1)/1000)</f>
        <v>0</v>
      </c>
      <c r="E356" s="9" t="n">
        <f aca="false">IF(SUMIFS(Sales!$F$3:$F$500,Sales!$C$3:$C$500,$A356,Sales!$B$3:$B$500,"&gt;="&amp;DATE($B356,1,1),Sales!$B$3:$B$500,"&lt;="&amp;DATE($B356,12,31))&gt;0,SUMIFS(Sales!$F$3:$F$500,Sales!$C$3:$C$500,$A356,Sales!$B$3:$B$500,"&gt;="&amp;DATE($B356,1,1),Sales!$B$3:$B$500,"&lt;="&amp;DATE($B356,12,31))/1000,SUMIFS('Asset Value'!$I$4:$I$500,'Asset Value'!$C$4:$C$500,$A356,'Asset Value'!$B$4:$B$500,$B356)/1000)</f>
        <v>0</v>
      </c>
      <c r="F356" s="9" t="n">
        <f aca="false">SUMIFS(Rent!$G$3:$G$500,Rent!$D$3:$D$500,$A356,Rent!$C$3:$C$500,$B356)/1000</f>
        <v>0</v>
      </c>
      <c r="G356" s="9" t="n">
        <f aca="false">SUMIFS(Costs!$F$3:$F$500,Costs!$C$3:$C$500,$A356,Costs!$B$3:$B$500,"&gt;="&amp;DATE($B356,1,1),Costs!$B$3:$B$500,"&lt;="&amp;DATE($B356,12,31))/1000</f>
        <v>0</v>
      </c>
      <c r="H356" s="9" t="n">
        <f aca="false">SUMIFS('Partial Sales'!$F$3:$F$500,'Partial Sales'!$C$3:$C$500,$A356,'Partial Sales'!$B$3:$B$500,"&gt;="&amp;DATE($B356,1,1),'Partial Sales'!$B$3:$B$500,"&lt;="&amp;DATE($B356,12,31))/1000</f>
        <v>0</v>
      </c>
      <c r="I356" s="9" t="n">
        <f aca="false">SUMIFS('Partial Purchases'!$F$3:$F$500,'Partial Purchases'!$C$3:$C$500,$A356,'Partial Purchases'!$B$3:$B$500,"&gt;="&amp;DATE($B356,1,1),'Partial Purchases'!$B$3:$B$500,"&lt;="&amp;DATE($B356,12,31))/1000</f>
        <v>0</v>
      </c>
      <c r="J356" s="9" t="n">
        <f aca="false">C356*(D356+0.5*(G356-H356+I356-F356))</f>
        <v>0</v>
      </c>
      <c r="K356" s="9" t="n">
        <f aca="false">C356*(E356-D356+H356-G356-I356)</f>
        <v>0</v>
      </c>
      <c r="L356" s="13" t="str">
        <f aca="false">IF(J356=0,"",C356*F356/J356)</f>
        <v/>
      </c>
      <c r="M356" s="13" t="str">
        <f aca="false">IF(J356=0,"",K356/J356)</f>
        <v/>
      </c>
      <c r="N356" s="13" t="str">
        <f aca="false">IF(J356=0,"",L356+M356)</f>
        <v/>
      </c>
    </row>
    <row r="357" customFormat="false" ht="15" hidden="false" customHeight="false" outlineLevel="0" collapsed="false">
      <c r="A357" s="8" t="s">
        <v>33</v>
      </c>
      <c r="B357" s="46" t="n">
        <v>2009</v>
      </c>
      <c r="C357" s="10" t="n">
        <f aca="false">IF(D357&gt;0,1,0)</f>
        <v>0</v>
      </c>
      <c r="D357" s="9" t="n">
        <f aca="false">IF(SUMIFS(Sales!$F$3:$F$500,Sales!$C$3:$C$500,$A357,Sales!$B$3:$B$500,"&lt;="&amp;DATE($B357-1,12,31))&gt;0,0,SUMIFS('Asset Value'!$I$4:$I$500,'Asset Value'!$C$4:$C$500,$A357,'Asset Value'!$B$4:$B$500,$B357-1)/1000)</f>
        <v>0</v>
      </c>
      <c r="E357" s="9" t="n">
        <f aca="false">IF(SUMIFS(Sales!$F$3:$F$500,Sales!$C$3:$C$500,$A357,Sales!$B$3:$B$500,"&gt;="&amp;DATE($B357,1,1),Sales!$B$3:$B$500,"&lt;="&amp;DATE($B357,12,31))&gt;0,SUMIFS(Sales!$F$3:$F$500,Sales!$C$3:$C$500,$A357,Sales!$B$3:$B$500,"&gt;="&amp;DATE($B357,1,1),Sales!$B$3:$B$500,"&lt;="&amp;DATE($B357,12,31))/1000,SUMIFS('Asset Value'!$I$4:$I$500,'Asset Value'!$C$4:$C$500,$A357,'Asset Value'!$B$4:$B$500,$B357)/1000)</f>
        <v>0</v>
      </c>
      <c r="F357" s="9" t="n">
        <f aca="false">SUMIFS(Rent!$G$3:$G$500,Rent!$D$3:$D$500,$A357,Rent!$C$3:$C$500,$B357)/1000</f>
        <v>0</v>
      </c>
      <c r="G357" s="9" t="n">
        <f aca="false">SUMIFS(Costs!$F$3:$F$500,Costs!$C$3:$C$500,$A357,Costs!$B$3:$B$500,"&gt;="&amp;DATE($B357,1,1),Costs!$B$3:$B$500,"&lt;="&amp;DATE($B357,12,31))/1000</f>
        <v>0</v>
      </c>
      <c r="H357" s="9" t="n">
        <f aca="false">SUMIFS('Partial Sales'!$F$3:$F$500,'Partial Sales'!$C$3:$C$500,$A357,'Partial Sales'!$B$3:$B$500,"&gt;="&amp;DATE($B357,1,1),'Partial Sales'!$B$3:$B$500,"&lt;="&amp;DATE($B357,12,31))/1000</f>
        <v>0</v>
      </c>
      <c r="I357" s="9" t="n">
        <f aca="false">SUMIFS('Partial Purchases'!$F$3:$F$500,'Partial Purchases'!$C$3:$C$500,$A357,'Partial Purchases'!$B$3:$B$500,"&gt;="&amp;DATE($B357,1,1),'Partial Purchases'!$B$3:$B$500,"&lt;="&amp;DATE($B357,12,31))/1000</f>
        <v>0</v>
      </c>
      <c r="J357" s="9" t="n">
        <f aca="false">C357*(D357+0.5*(G357-H357+I357-F357))</f>
        <v>0</v>
      </c>
      <c r="K357" s="9" t="n">
        <f aca="false">C357*(E357-D357+H357-G357-I357)</f>
        <v>0</v>
      </c>
      <c r="L357" s="13" t="str">
        <f aca="false">IF(J357=0,"",C357*F357/J357)</f>
        <v/>
      </c>
      <c r="M357" s="13" t="str">
        <f aca="false">IF(J357=0,"",K357/J357)</f>
        <v/>
      </c>
      <c r="N357" s="13" t="str">
        <f aca="false">IF(J357=0,"",L357+M357)</f>
        <v/>
      </c>
    </row>
    <row r="358" customFormat="false" ht="15" hidden="false" customHeight="false" outlineLevel="0" collapsed="false">
      <c r="A358" s="8" t="s">
        <v>33</v>
      </c>
      <c r="B358" s="46" t="n">
        <v>2010</v>
      </c>
      <c r="C358" s="10" t="n">
        <f aca="false">IF(D358&gt;0,1,0)</f>
        <v>0</v>
      </c>
      <c r="D358" s="9" t="n">
        <f aca="false">IF(SUMIFS(Sales!$F$3:$F$500,Sales!$C$3:$C$500,$A358,Sales!$B$3:$B$500,"&lt;="&amp;DATE($B358-1,12,31))&gt;0,0,SUMIFS('Asset Value'!$I$4:$I$500,'Asset Value'!$C$4:$C$500,$A358,'Asset Value'!$B$4:$B$500,$B358-1)/1000)</f>
        <v>0</v>
      </c>
      <c r="E358" s="9" t="n">
        <f aca="false">IF(SUMIFS(Sales!$F$3:$F$500,Sales!$C$3:$C$500,$A358,Sales!$B$3:$B$500,"&gt;="&amp;DATE($B358,1,1),Sales!$B$3:$B$500,"&lt;="&amp;DATE($B358,12,31))&gt;0,SUMIFS(Sales!$F$3:$F$500,Sales!$C$3:$C$500,$A358,Sales!$B$3:$B$500,"&gt;="&amp;DATE($B358,1,1),Sales!$B$3:$B$500,"&lt;="&amp;DATE($B358,12,31))/1000,SUMIFS('Asset Value'!$I$4:$I$500,'Asset Value'!$C$4:$C$500,$A358,'Asset Value'!$B$4:$B$500,$B358)/1000)</f>
        <v>0</v>
      </c>
      <c r="F358" s="9" t="n">
        <f aca="false">SUMIFS(Rent!$G$3:$G$500,Rent!$D$3:$D$500,$A358,Rent!$C$3:$C$500,$B358)/1000</f>
        <v>0</v>
      </c>
      <c r="G358" s="9" t="n">
        <f aca="false">SUMIFS(Costs!$F$3:$F$500,Costs!$C$3:$C$500,$A358,Costs!$B$3:$B$500,"&gt;="&amp;DATE($B358,1,1),Costs!$B$3:$B$500,"&lt;="&amp;DATE($B358,12,31))/1000</f>
        <v>0</v>
      </c>
      <c r="H358" s="9" t="n">
        <f aca="false">SUMIFS('Partial Sales'!$F$3:$F$500,'Partial Sales'!$C$3:$C$500,$A358,'Partial Sales'!$B$3:$B$500,"&gt;="&amp;DATE($B358,1,1),'Partial Sales'!$B$3:$B$500,"&lt;="&amp;DATE($B358,12,31))/1000</f>
        <v>0</v>
      </c>
      <c r="I358" s="9" t="n">
        <f aca="false">SUMIFS('Partial Purchases'!$F$3:$F$500,'Partial Purchases'!$C$3:$C$500,$A358,'Partial Purchases'!$B$3:$B$500,"&gt;="&amp;DATE($B358,1,1),'Partial Purchases'!$B$3:$B$500,"&lt;="&amp;DATE($B358,12,31))/1000</f>
        <v>0</v>
      </c>
      <c r="J358" s="9" t="n">
        <f aca="false">C358*(D358+0.5*(G358-H358+I358-F358))</f>
        <v>0</v>
      </c>
      <c r="K358" s="9" t="n">
        <f aca="false">C358*(E358-D358+H358-G358-I358)</f>
        <v>0</v>
      </c>
      <c r="L358" s="13" t="str">
        <f aca="false">IF(J358=0,"",C358*F358/J358)</f>
        <v/>
      </c>
      <c r="M358" s="13" t="str">
        <f aca="false">IF(J358=0,"",K358/J358)</f>
        <v/>
      </c>
      <c r="N358" s="13" t="str">
        <f aca="false">IF(J358=0,"",L358+M358)</f>
        <v/>
      </c>
    </row>
    <row r="359" customFormat="false" ht="15" hidden="false" customHeight="false" outlineLevel="0" collapsed="false">
      <c r="A359" s="8" t="s">
        <v>33</v>
      </c>
      <c r="B359" s="46" t="n">
        <v>2011</v>
      </c>
      <c r="C359" s="10" t="n">
        <f aca="false">IF(D359&gt;0,1,0)</f>
        <v>0</v>
      </c>
      <c r="D359" s="9" t="n">
        <f aca="false">IF(SUMIFS(Sales!$F$3:$F$500,Sales!$C$3:$C$500,$A359,Sales!$B$3:$B$500,"&lt;="&amp;DATE($B359-1,12,31))&gt;0,0,SUMIFS('Asset Value'!$I$4:$I$500,'Asset Value'!$C$4:$C$500,$A359,'Asset Value'!$B$4:$B$500,$B359-1)/1000)</f>
        <v>0</v>
      </c>
      <c r="E359" s="9" t="n">
        <f aca="false">IF(SUMIFS(Sales!$F$3:$F$500,Sales!$C$3:$C$500,$A359,Sales!$B$3:$B$500,"&gt;="&amp;DATE($B359,1,1),Sales!$B$3:$B$500,"&lt;="&amp;DATE($B359,12,31))&gt;0,SUMIFS(Sales!$F$3:$F$500,Sales!$C$3:$C$500,$A359,Sales!$B$3:$B$500,"&gt;="&amp;DATE($B359,1,1),Sales!$B$3:$B$500,"&lt;="&amp;DATE($B359,12,31))/1000,SUMIFS('Asset Value'!$I$4:$I$500,'Asset Value'!$C$4:$C$500,$A359,'Asset Value'!$B$4:$B$500,$B359)/1000)</f>
        <v>0</v>
      </c>
      <c r="F359" s="9" t="n">
        <f aca="false">SUMIFS(Rent!$G$3:$G$500,Rent!$D$3:$D$500,$A359,Rent!$C$3:$C$500,$B359)/1000</f>
        <v>0</v>
      </c>
      <c r="G359" s="9" t="n">
        <f aca="false">SUMIFS(Costs!$F$3:$F$500,Costs!$C$3:$C$500,$A359,Costs!$B$3:$B$500,"&gt;="&amp;DATE($B359,1,1),Costs!$B$3:$B$500,"&lt;="&amp;DATE($B359,12,31))/1000</f>
        <v>0</v>
      </c>
      <c r="H359" s="9" t="n">
        <f aca="false">SUMIFS('Partial Sales'!$F$3:$F$500,'Partial Sales'!$C$3:$C$500,$A359,'Partial Sales'!$B$3:$B$500,"&gt;="&amp;DATE($B359,1,1),'Partial Sales'!$B$3:$B$500,"&lt;="&amp;DATE($B359,12,31))/1000</f>
        <v>0</v>
      </c>
      <c r="I359" s="9" t="n">
        <f aca="false">SUMIFS('Partial Purchases'!$F$3:$F$500,'Partial Purchases'!$C$3:$C$500,$A359,'Partial Purchases'!$B$3:$B$500,"&gt;="&amp;DATE($B359,1,1),'Partial Purchases'!$B$3:$B$500,"&lt;="&amp;DATE($B359,12,31))/1000</f>
        <v>0</v>
      </c>
      <c r="J359" s="9" t="n">
        <f aca="false">C359*(D359+0.5*(G359-H359+I359-F359))</f>
        <v>0</v>
      </c>
      <c r="K359" s="9" t="n">
        <f aca="false">C359*(E359-D359+H359-G359-I359)</f>
        <v>0</v>
      </c>
      <c r="L359" s="13" t="str">
        <f aca="false">IF(J359=0,"",C359*F359/J359)</f>
        <v/>
      </c>
      <c r="M359" s="13" t="str">
        <f aca="false">IF(J359=0,"",K359/J359)</f>
        <v/>
      </c>
      <c r="N359" s="13" t="str">
        <f aca="false">IF(J359=0,"",L359+M359)</f>
        <v/>
      </c>
    </row>
    <row r="360" customFormat="false" ht="15" hidden="false" customHeight="false" outlineLevel="0" collapsed="false">
      <c r="A360" s="8" t="s">
        <v>33</v>
      </c>
      <c r="B360" s="46" t="n">
        <v>2012</v>
      </c>
      <c r="C360" s="10" t="n">
        <f aca="false">IF(D360&gt;0,1,0)</f>
        <v>0</v>
      </c>
      <c r="D360" s="9" t="n">
        <f aca="false">IF(SUMIFS(Sales!$F$3:$F$500,Sales!$C$3:$C$500,$A360,Sales!$B$3:$B$500,"&lt;="&amp;DATE($B360-1,12,31))&gt;0,0,SUMIFS('Asset Value'!$I$4:$I$500,'Asset Value'!$C$4:$C$500,$A360,'Asset Value'!$B$4:$B$500,$B360-1)/1000)</f>
        <v>0</v>
      </c>
      <c r="E360" s="9" t="n">
        <f aca="false">IF(SUMIFS(Sales!$F$3:$F$500,Sales!$C$3:$C$500,$A360,Sales!$B$3:$B$500,"&gt;="&amp;DATE($B360,1,1),Sales!$B$3:$B$500,"&lt;="&amp;DATE($B360,12,31))&gt;0,SUMIFS(Sales!$F$3:$F$500,Sales!$C$3:$C$500,$A360,Sales!$B$3:$B$500,"&gt;="&amp;DATE($B360,1,1),Sales!$B$3:$B$500,"&lt;="&amp;DATE($B360,12,31))/1000,SUMIFS('Asset Value'!$I$4:$I$500,'Asset Value'!$C$4:$C$500,$A360,'Asset Value'!$B$4:$B$500,$B360)/1000)</f>
        <v>0</v>
      </c>
      <c r="F360" s="9" t="n">
        <f aca="false">SUMIFS(Rent!$G$3:$G$500,Rent!$D$3:$D$500,$A360,Rent!$C$3:$C$500,$B360)/1000</f>
        <v>0</v>
      </c>
      <c r="G360" s="9" t="n">
        <f aca="false">SUMIFS(Costs!$F$3:$F$500,Costs!$C$3:$C$500,$A360,Costs!$B$3:$B$500,"&gt;="&amp;DATE($B360,1,1),Costs!$B$3:$B$500,"&lt;="&amp;DATE($B360,12,31))/1000</f>
        <v>0</v>
      </c>
      <c r="H360" s="9" t="n">
        <f aca="false">SUMIFS('Partial Sales'!$F$3:$F$500,'Partial Sales'!$C$3:$C$500,$A360,'Partial Sales'!$B$3:$B$500,"&gt;="&amp;DATE($B360,1,1),'Partial Sales'!$B$3:$B$500,"&lt;="&amp;DATE($B360,12,31))/1000</f>
        <v>0</v>
      </c>
      <c r="I360" s="9" t="n">
        <f aca="false">SUMIFS('Partial Purchases'!$F$3:$F$500,'Partial Purchases'!$C$3:$C$500,$A360,'Partial Purchases'!$B$3:$B$500,"&gt;="&amp;DATE($B360,1,1),'Partial Purchases'!$B$3:$B$500,"&lt;="&amp;DATE($B360,12,31))/1000</f>
        <v>0</v>
      </c>
      <c r="J360" s="9" t="n">
        <f aca="false">C360*(D360+0.5*(G360-H360+I360-F360))</f>
        <v>0</v>
      </c>
      <c r="K360" s="9" t="n">
        <f aca="false">C360*(E360-D360+H360-G360-I360)</f>
        <v>0</v>
      </c>
      <c r="L360" s="13" t="str">
        <f aca="false">IF(J360=0,"",C360*F360/J360)</f>
        <v/>
      </c>
      <c r="M360" s="13" t="str">
        <f aca="false">IF(J360=0,"",K360/J360)</f>
        <v/>
      </c>
      <c r="N360" s="13" t="str">
        <f aca="false">IF(J360=0,"",L360+M360)</f>
        <v/>
      </c>
    </row>
    <row r="361" customFormat="false" ht="15" hidden="false" customHeight="false" outlineLevel="0" collapsed="false">
      <c r="A361" s="8" t="s">
        <v>33</v>
      </c>
      <c r="B361" s="46" t="n">
        <v>2013</v>
      </c>
      <c r="C361" s="10" t="n">
        <f aca="false">IF(D361&gt;0,1,0)</f>
        <v>0</v>
      </c>
      <c r="D361" s="9" t="n">
        <f aca="false">IF(SUMIFS(Sales!$F$3:$F$500,Sales!$C$3:$C$500,$A361,Sales!$B$3:$B$500,"&lt;="&amp;DATE($B361-1,12,31))&gt;0,0,SUMIFS('Asset Value'!$I$4:$I$500,'Asset Value'!$C$4:$C$500,$A361,'Asset Value'!$B$4:$B$500,$B361-1)/1000)</f>
        <v>0</v>
      </c>
      <c r="E361" s="9" t="n">
        <f aca="false">IF(SUMIFS(Sales!$F$3:$F$500,Sales!$C$3:$C$500,$A361,Sales!$B$3:$B$500,"&gt;="&amp;DATE($B361,1,1),Sales!$B$3:$B$500,"&lt;="&amp;DATE($B361,12,31))&gt;0,SUMIFS(Sales!$F$3:$F$500,Sales!$C$3:$C$500,$A361,Sales!$B$3:$B$500,"&gt;="&amp;DATE($B361,1,1),Sales!$B$3:$B$500,"&lt;="&amp;DATE($B361,12,31))/1000,SUMIFS('Asset Value'!$I$4:$I$500,'Asset Value'!$C$4:$C$500,$A361,'Asset Value'!$B$4:$B$500,$B361)/1000)</f>
        <v>0</v>
      </c>
      <c r="F361" s="9" t="n">
        <f aca="false">SUMIFS(Rent!$G$3:$G$500,Rent!$D$3:$D$500,$A361,Rent!$C$3:$C$500,$B361)/1000</f>
        <v>0</v>
      </c>
      <c r="G361" s="9" t="n">
        <f aca="false">SUMIFS(Costs!$F$3:$F$500,Costs!$C$3:$C$500,$A361,Costs!$B$3:$B$500,"&gt;="&amp;DATE($B361,1,1),Costs!$B$3:$B$500,"&lt;="&amp;DATE($B361,12,31))/1000</f>
        <v>0</v>
      </c>
      <c r="H361" s="9" t="n">
        <f aca="false">SUMIFS('Partial Sales'!$F$3:$F$500,'Partial Sales'!$C$3:$C$500,$A361,'Partial Sales'!$B$3:$B$500,"&gt;="&amp;DATE($B361,1,1),'Partial Sales'!$B$3:$B$500,"&lt;="&amp;DATE($B361,12,31))/1000</f>
        <v>0</v>
      </c>
      <c r="I361" s="9" t="n">
        <f aca="false">SUMIFS('Partial Purchases'!$F$3:$F$500,'Partial Purchases'!$C$3:$C$500,$A361,'Partial Purchases'!$B$3:$B$500,"&gt;="&amp;DATE($B361,1,1),'Partial Purchases'!$B$3:$B$500,"&lt;="&amp;DATE($B361,12,31))/1000</f>
        <v>0</v>
      </c>
      <c r="J361" s="9" t="n">
        <f aca="false">C361*(D361+0.5*(G361-H361+I361-F361))</f>
        <v>0</v>
      </c>
      <c r="K361" s="9" t="n">
        <f aca="false">C361*(E361-D361+H361-G361-I361)</f>
        <v>0</v>
      </c>
      <c r="L361" s="13" t="str">
        <f aca="false">IF(J361=0,"",C361*F361/J361)</f>
        <v/>
      </c>
      <c r="M361" s="13" t="str">
        <f aca="false">IF(J361=0,"",K361/J361)</f>
        <v/>
      </c>
      <c r="N361" s="13" t="str">
        <f aca="false">IF(J361=0,"",L361+M361)</f>
        <v/>
      </c>
    </row>
    <row r="362" customFormat="false" ht="15" hidden="false" customHeight="false" outlineLevel="0" collapsed="false">
      <c r="A362" s="8" t="s">
        <v>33</v>
      </c>
      <c r="B362" s="46" t="n">
        <v>2014</v>
      </c>
      <c r="C362" s="10" t="n">
        <f aca="false">IF(D362&gt;0,1,0)</f>
        <v>0</v>
      </c>
      <c r="D362" s="9" t="n">
        <f aca="false">IF(SUMIFS(Sales!$F$3:$F$500,Sales!$C$3:$C$500,$A362,Sales!$B$3:$B$500,"&lt;="&amp;DATE($B362-1,12,31))&gt;0,0,SUMIFS('Asset Value'!$I$4:$I$500,'Asset Value'!$C$4:$C$500,$A362,'Asset Value'!$B$4:$B$500,$B362-1)/1000)</f>
        <v>0</v>
      </c>
      <c r="E362" s="9" t="n">
        <f aca="false">IF(SUMIFS(Sales!$F$3:$F$500,Sales!$C$3:$C$500,$A362,Sales!$B$3:$B$500,"&gt;="&amp;DATE($B362,1,1),Sales!$B$3:$B$500,"&lt;="&amp;DATE($B362,12,31))&gt;0,SUMIFS(Sales!$F$3:$F$500,Sales!$C$3:$C$500,$A362,Sales!$B$3:$B$500,"&gt;="&amp;DATE($B362,1,1),Sales!$B$3:$B$500,"&lt;="&amp;DATE($B362,12,31))/1000,SUMIFS('Asset Value'!$I$4:$I$500,'Asset Value'!$C$4:$C$500,$A362,'Asset Value'!$B$4:$B$500,$B362)/1000)</f>
        <v>0</v>
      </c>
      <c r="F362" s="9" t="n">
        <f aca="false">SUMIFS(Rent!$G$3:$G$500,Rent!$D$3:$D$500,$A362,Rent!$C$3:$C$500,$B362)/1000</f>
        <v>0</v>
      </c>
      <c r="G362" s="9" t="n">
        <f aca="false">SUMIFS(Costs!$F$3:$F$500,Costs!$C$3:$C$500,$A362,Costs!$B$3:$B$500,"&gt;="&amp;DATE($B362,1,1),Costs!$B$3:$B$500,"&lt;="&amp;DATE($B362,12,31))/1000</f>
        <v>0</v>
      </c>
      <c r="H362" s="9" t="n">
        <f aca="false">SUMIFS('Partial Sales'!$F$3:$F$500,'Partial Sales'!$C$3:$C$500,$A362,'Partial Sales'!$B$3:$B$500,"&gt;="&amp;DATE($B362,1,1),'Partial Sales'!$B$3:$B$500,"&lt;="&amp;DATE($B362,12,31))/1000</f>
        <v>0</v>
      </c>
      <c r="I362" s="9" t="n">
        <f aca="false">SUMIFS('Partial Purchases'!$F$3:$F$500,'Partial Purchases'!$C$3:$C$500,$A362,'Partial Purchases'!$B$3:$B$500,"&gt;="&amp;DATE($B362,1,1),'Partial Purchases'!$B$3:$B$500,"&lt;="&amp;DATE($B362,12,31))/1000</f>
        <v>0</v>
      </c>
      <c r="J362" s="9" t="n">
        <f aca="false">C362*(D362+0.5*(G362-H362+I362-F362))</f>
        <v>0</v>
      </c>
      <c r="K362" s="9" t="n">
        <f aca="false">C362*(E362-D362+H362-G362-I362)</f>
        <v>0</v>
      </c>
      <c r="L362" s="13" t="str">
        <f aca="false">IF(J362=0,"",C362*F362/J362)</f>
        <v/>
      </c>
      <c r="M362" s="13" t="str">
        <f aca="false">IF(J362=0,"",K362/J362)</f>
        <v/>
      </c>
      <c r="N362" s="13" t="str">
        <f aca="false">IF(J362=0,"",L362+M362)</f>
        <v/>
      </c>
    </row>
    <row r="363" customFormat="false" ht="15" hidden="false" customHeight="false" outlineLevel="0" collapsed="false">
      <c r="A363" s="47" t="s">
        <v>33</v>
      </c>
      <c r="B363" s="48" t="n">
        <v>2015</v>
      </c>
      <c r="C363" s="49" t="n">
        <f aca="false">IF(D363&gt;0,1,0)</f>
        <v>0</v>
      </c>
      <c r="D363" s="50" t="n">
        <f aca="false">IF(SUMIFS(Sales!$F$3:$F$500,Sales!$C$3:$C$500,$A363,Sales!$B$3:$B$500,"&lt;="&amp;DATE($B363-1,12,31))&gt;0,0,SUMIFS('Asset Value'!$I$4:$I$500,'Asset Value'!$C$4:$C$500,$A363,'Asset Value'!$B$4:$B$500,$B363-1)/1000)</f>
        <v>0</v>
      </c>
      <c r="E363" s="50" t="n">
        <f aca="false">IF(SUMIFS(Sales!$F$3:$F$500,Sales!$C$3:$C$500,$A363,Sales!$B$3:$B$500,"&gt;="&amp;DATE($B363,1,1),Sales!$B$3:$B$500,"&lt;="&amp;DATE($B363,12,31))&gt;0,SUMIFS(Sales!$F$3:$F$500,Sales!$C$3:$C$500,$A363,Sales!$B$3:$B$500,"&gt;="&amp;DATE($B363,1,1),Sales!$B$3:$B$500,"&lt;="&amp;DATE($B363,12,31))/1000,SUMIFS('Asset Value'!$I$4:$I$500,'Asset Value'!$C$4:$C$500,$A363,'Asset Value'!$B$4:$B$500,$B363)/1000)</f>
        <v>0</v>
      </c>
      <c r="F363" s="50" t="n">
        <f aca="false">SUMIFS(Rent!$G$3:$G$500,Rent!$D$3:$D$500,$A363,Rent!$C$3:$C$500,$B363)/1000</f>
        <v>0</v>
      </c>
      <c r="G363" s="50" t="n">
        <f aca="false">SUMIFS(Costs!$F$3:$F$500,Costs!$C$3:$C$500,$A363,Costs!$B$3:$B$500,"&gt;="&amp;DATE($B363,1,1),Costs!$B$3:$B$500,"&lt;="&amp;DATE($B363,12,31))/1000</f>
        <v>0</v>
      </c>
      <c r="H363" s="50" t="n">
        <f aca="false">SUMIFS('Partial Sales'!$F$3:$F$500,'Partial Sales'!$C$3:$C$500,$A363,'Partial Sales'!$B$3:$B$500,"&gt;="&amp;DATE($B363,1,1),'Partial Sales'!$B$3:$B$500,"&lt;="&amp;DATE($B363,12,31))/1000</f>
        <v>0</v>
      </c>
      <c r="I363" s="50" t="n">
        <f aca="false">SUMIFS('Partial Purchases'!$F$3:$F$500,'Partial Purchases'!$C$3:$C$500,$A363,'Partial Purchases'!$B$3:$B$500,"&gt;="&amp;DATE($B363,1,1),'Partial Purchases'!$B$3:$B$500,"&lt;="&amp;DATE($B363,12,31))/1000</f>
        <v>0</v>
      </c>
      <c r="J363" s="50" t="n">
        <f aca="false">C363*(D363+0.5*(G363-H363+I363-F363))</f>
        <v>0</v>
      </c>
      <c r="K363" s="50" t="n">
        <f aca="false">C363*(E363-D363+H363-G363-I363)</f>
        <v>0</v>
      </c>
      <c r="L363" s="44" t="str">
        <f aca="false">IF(J363=0,"",C363*F363/J363)</f>
        <v/>
      </c>
      <c r="M363" s="44" t="str">
        <f aca="false">IF(J363=0,"",K363/J363)</f>
        <v/>
      </c>
      <c r="N363" s="44" t="str">
        <f aca="false">IF(J363=0,"",L363+M363)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2026-10-09T15:19:24Z</dcterms:created>
  <dc:creator>Arromatte Caregnato, Joao</dc:creator>
  <dc:description/>
  <dc:language>en-US</dc:language>
  <cp:lastModifiedBy/>
  <dcterms:modified xsi:type="dcterms:W3CDTF">2026-10-09T17:13:06Z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