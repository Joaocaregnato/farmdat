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Graphs" sheetId="1" state="visible" r:id="rId3"/>
    <sheet name="Register" sheetId="2" state="visible" r:id="rId4"/>
    <sheet name="Asset Value" sheetId="3" state="visible" r:id="rId5"/>
    <sheet name="Rent" sheetId="4" state="visible" r:id="rId6"/>
    <sheet name="Sales" sheetId="5" state="visible" r:id="rId7"/>
    <sheet name="Partial Sales" sheetId="6" state="visible" r:id="rId8"/>
    <sheet name="Costs" sheetId="7" state="visible" r:id="rId9"/>
    <sheet name="Partial Purchases" sheetId="8" state="visible" r:id="rId10"/>
    <sheet name="PTAX" sheetId="9" state="visible" r:id="rId11"/>
    <sheet name="Returns" sheetId="10" state="visible" r:id="rId12"/>
  </sheets>
  <definedNames>
    <definedName function="false" hidden="false" localSheetId="0" name="_xlnm.Print_Area" vbProcedure="false">Graphs!$A$1:$O$82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<sst xmlns="http://schemas.openxmlformats.org/spreadsheetml/2006/main" count="848" uniqueCount="126">
  <si>
    <t xml:space="preserve">Painel - Terras agrícolas: preços, retornos e índice (estilo NCREIF)</t>
  </si>
  <si>
    <t xml:space="preserve">Todos os gráficos leem as fórmulas das abas Asset Value, Rent e Returns. Dados auxiliares dos gráficos estão abaixo (linha 84 em diante).</t>
  </si>
  <si>
    <t xml:space="preserve">DADOS DOS GRÁFICOS (fórmulas)</t>
  </si>
  <si>
    <t xml:space="preserve">Ano</t>
  </si>
  <si>
    <t xml:space="preserve">Preço médio da terra (R$/ha)</t>
  </si>
  <si>
    <t xml:space="preserve">Preço médio da terra (US$/ha)</t>
  </si>
  <si>
    <t xml:space="preserve">Valor de mercado do portfólio (R$ mm)</t>
  </si>
  <si>
    <t xml:space="preserve">Valor de mercado do portfólio (US$ mm)</t>
  </si>
  <si>
    <t xml:space="preserve">Nº de fazendas avaliadas</t>
  </si>
  <si>
    <t xml:space="preserve">PTAX na data da avaliação (R$/US$)</t>
  </si>
  <si>
    <t xml:space="preserve">PTAX em 31/dez (data do rent) (R$/US$)</t>
  </si>
  <si>
    <t xml:space="preserve">Preço da terra por fazenda (R$/ha) = Valor / Área</t>
  </si>
  <si>
    <t xml:space="preserve">Farm</t>
  </si>
  <si>
    <t xml:space="preserve">1º ano</t>
  </si>
  <si>
    <t xml:space="preserve">Último ano</t>
  </si>
  <si>
    <t xml:space="preserve">R$/ha 1º</t>
  </si>
  <si>
    <t xml:space="preserve">R$/ha último</t>
  </si>
  <si>
    <t xml:space="preserve">Valorização total</t>
  </si>
  <si>
    <t xml:space="preserve">CAGR a.a.</t>
  </si>
  <si>
    <t xml:space="preserve">Fazenda Pamplona</t>
  </si>
  <si>
    <t xml:space="preserve">Fazenda Planalto</t>
  </si>
  <si>
    <t xml:space="preserve">Fazenda Planeste</t>
  </si>
  <si>
    <t xml:space="preserve">Fazenda Panorama</t>
  </si>
  <si>
    <t xml:space="preserve">Fazenda Piratini</t>
  </si>
  <si>
    <t xml:space="preserve">Fazenda Palmares</t>
  </si>
  <si>
    <t xml:space="preserve">Fazenda Parnaíba</t>
  </si>
  <si>
    <t xml:space="preserve">Fazenda Paiaguás</t>
  </si>
  <si>
    <t xml:space="preserve">Fazenda Pejuçara</t>
  </si>
  <si>
    <t xml:space="preserve">Fazenda Parceiro</t>
  </si>
  <si>
    <t xml:space="preserve">Fazenda Perdizes</t>
  </si>
  <si>
    <t xml:space="preserve">Fazenda Planorte</t>
  </si>
  <si>
    <t xml:space="preserve">Fazenda Parnaguá</t>
  </si>
  <si>
    <t xml:space="preserve">Fazenda Paineira</t>
  </si>
  <si>
    <t xml:space="preserve">Fazenda Palmeira</t>
  </si>
  <si>
    <t xml:space="preserve">Obs.: o preço médio do portfólio muda também com a composição (entrada/saída de fazendas); use o gráfico por fazenda para comparar like-for-like.</t>
  </si>
  <si>
    <t xml:space="preserve">Obs.: CAGR de fazendas com poucos anos (Pejuçara 2012-13, Palmeira 2008-10) é só indicativo.</t>
  </si>
  <si>
    <t xml:space="preserve">FNP</t>
  </si>
  <si>
    <t xml:space="preserve">Farm Name</t>
  </si>
  <si>
    <t xml:space="preserve">State</t>
  </si>
  <si>
    <t xml:space="preserve">County</t>
  </si>
  <si>
    <t xml:space="preserve">(R$ 000)</t>
  </si>
  <si>
    <t xml:space="preserve">Goias</t>
  </si>
  <si>
    <t xml:space="preserve">Cristalina </t>
  </si>
  <si>
    <t xml:space="preserve">Asset Value</t>
  </si>
  <si>
    <t xml:space="preserve">%YoY</t>
  </si>
  <si>
    <t xml:space="preserve">Rent</t>
  </si>
  <si>
    <t xml:space="preserve">%Yield</t>
  </si>
  <si>
    <t xml:space="preserve">Mato Grosso Sul</t>
  </si>
  <si>
    <t xml:space="preserve">Costa Rica</t>
  </si>
  <si>
    <t xml:space="preserve">Maranhao</t>
  </si>
  <si>
    <t xml:space="preserve">Balsas</t>
  </si>
  <si>
    <t xml:space="preserve">Bahia</t>
  </si>
  <si>
    <t xml:space="preserve">Correntina </t>
  </si>
  <si>
    <t xml:space="preserve">Jaborandi</t>
  </si>
  <si>
    <t xml:space="preserve">Barreiras</t>
  </si>
  <si>
    <t xml:space="preserve">Tasso Fragoso</t>
  </si>
  <si>
    <t xml:space="preserve">Mato Grosso</t>
  </si>
  <si>
    <t xml:space="preserve">Diamantino</t>
  </si>
  <si>
    <t xml:space="preserve">Formosa do Rio Preto</t>
  </si>
  <si>
    <t xml:space="preserve">Fazenda Paladino</t>
  </si>
  <si>
    <t xml:space="preserve">Sao Desiderio </t>
  </si>
  <si>
    <t xml:space="preserve">Porto Dos Gauchos</t>
  </si>
  <si>
    <t xml:space="preserve">Sapezal</t>
  </si>
  <si>
    <t xml:space="preserve">Piaui</t>
  </si>
  <si>
    <t xml:space="preserve">Santa Filomena</t>
  </si>
  <si>
    <t xml:space="preserve">Monte Alegre</t>
  </si>
  <si>
    <t xml:space="preserve">Buriti</t>
  </si>
  <si>
    <t xml:space="preserve">Date</t>
  </si>
  <si>
    <t xml:space="preserve">Fazenda</t>
  </si>
  <si>
    <t xml:space="preserve">Area Agricultavel</t>
  </si>
  <si>
    <t xml:space="preserve">Valor (R$ 000)</t>
  </si>
  <si>
    <t xml:space="preserve">Valor (R$)</t>
  </si>
  <si>
    <t xml:space="preserve">(R$/ha)</t>
  </si>
  <si>
    <t xml:space="preserve">PTAX (R$/US$)</t>
  </si>
  <si>
    <t xml:space="preserve">Valor (US$)</t>
  </si>
  <si>
    <t xml:space="preserve">(US$/ha)</t>
  </si>
  <si>
    <t xml:space="preserve">PTAX = cotação de compra do Banco Central na data do Date (ou último dia útil anterior). Ver aba PTAX.</t>
  </si>
  <si>
    <t xml:space="preserve">Year</t>
  </si>
  <si>
    <t xml:space="preserve">R$/year</t>
  </si>
  <si>
    <t xml:space="preserve">US$/year</t>
  </si>
  <si>
    <t xml:space="preserve">PTAX = cotação de compra do Banco Central em 31/dez (ou último dia útil anterior). Ver aba PTAX.</t>
  </si>
  <si>
    <t xml:space="preserve">Value (R$)</t>
  </si>
  <si>
    <t xml:space="preserve">Value (US$)</t>
  </si>
  <si>
    <t xml:space="preserve">Venda total da fazenda (R$). No ano da venda, o Ending MV da fazenda = preço de venda; no ano seguinte ela sai do índice.</t>
  </si>
  <si>
    <t xml:space="preserve">Vendas parciais (R$). Aba vazia = 0. Preencher Date / Farm / Value (R$); PTAX e US$ são calculados.</t>
  </si>
  <si>
    <t xml:space="preserve">Capital Improvements (R$). Aba vazia = 0. Preencher Date / Farm / Value (R$); PTAX e US$ são calculados.</t>
  </si>
  <si>
    <t xml:space="preserve">Compras parciais / aquisições de área (R$). Aba vazia = 0. Preencher Date / Farm / Value (R$).</t>
  </si>
  <si>
    <t xml:space="preserve">PTAX compra (R$ por US$) - Banco Central do Brasil</t>
  </si>
  <si>
    <t xml:space="preserve">Fonte: arquivo fornecido pelo usuário (BCB/Olinda PTAX, CotacaoDolarPeriodo), campo cotacaoCompra (taxa de compra), diário, 02/01/2007 a 31/12/2025. Em datas sem cotação (fim de semana/feriado) usa-se a última cotação anterior.</t>
  </si>
  <si>
    <t xml:space="preserve">Farmland Returns Index (estilo NCREIF Farmland Property Index)</t>
  </si>
  <si>
    <t xml:space="preserve">Cada fazenda é um cluster. Retornos anuais 2009-2015 (base do índice = 100 em 2008). Valores em R$ mil / US$ mil nas tabelas de cálculo.</t>
  </si>
  <si>
    <t xml:space="preserve">Income Return = NOI / (Beginning MV + 1/2 x (Capital Improvements - Partial Sales + Partial Purchases - NOI))</t>
  </si>
  <si>
    <t xml:space="preserve">Capital (Appreciation) Return = (Ending MV - Beginning MV + Partial Sales - Capital Improvements - Partial Purchases) / (mesmo denominador)</t>
  </si>
  <si>
    <t xml:space="preserve">Total Return = Income Return + Capital Return.  Índices: encadeados (chain-linked) a partir de 100.  Total Farmland = soma dos numeradores / soma dos denominadores (ponderado por valor de mercado).</t>
  </si>
  <si>
    <t xml:space="preserve">Beginning MV = avaliação do ano anterior; Ending MV = avaliação do ano (preço de venda se a fazenda foi vendida no ano); NOI = Rent do ano. Fazenda só entra no índice a partir do ano seguinte à 1ª avaliação e sai no ano seguinte à venda.</t>
  </si>
  <si>
    <t xml:space="preserve">Abas Costs / Partial Sales / Partial Purchases vazias = 0.  Venda total (aba Sales): Ending MV do ano da venda = preço de venda.  US$: cada valor convertido pela PTAX da própria data (avaliação, 31/dez do rent, data da venda).</t>
  </si>
  <si>
    <t xml:space="preserve">FARMLAND INDEX - R$ (NCREIF style)</t>
  </si>
  <si>
    <t xml:space="preserve">Returns</t>
  </si>
  <si>
    <t xml:space="preserve">Index Values (Dec 2008 = 100)</t>
  </si>
  <si>
    <t xml:space="preserve">Years</t>
  </si>
  <si>
    <t xml:space="preserve">Market Value (R$ mm, 2015)</t>
  </si>
  <si>
    <t xml:space="preserve">Cumulative</t>
  </si>
  <si>
    <t xml:space="preserve">Annualized</t>
  </si>
  <si>
    <t xml:space="preserve">Total Farmland</t>
  </si>
  <si>
    <t xml:space="preserve">Total:</t>
  </si>
  <si>
    <t xml:space="preserve">Appreciation:</t>
  </si>
  <si>
    <t xml:space="preserve">Income:</t>
  </si>
  <si>
    <t xml:space="preserve">Props:</t>
  </si>
  <si>
    <t xml:space="preserve">MV (R$ mm):</t>
  </si>
  <si>
    <t xml:space="preserve">FARMLAND INDEX - US$ (NCREIF style)</t>
  </si>
  <si>
    <t xml:space="preserve">Market Value (US$ mm, 2015)</t>
  </si>
  <si>
    <t xml:space="preserve">MV (US$ mm):</t>
  </si>
  <si>
    <t xml:space="preserve">CÁLCULO DOS COMPONENTES POR FAZENDA E ANO (R$ 000)</t>
  </si>
  <si>
    <t xml:space="preserve">Props</t>
  </si>
  <si>
    <t xml:space="preserve">Beginning MV</t>
  </si>
  <si>
    <t xml:space="preserve">Ending MV</t>
  </si>
  <si>
    <t xml:space="preserve">NOI (Rent)</t>
  </si>
  <si>
    <t xml:space="preserve">Capital Improv. (Costs)</t>
  </si>
  <si>
    <t xml:space="preserve">Partial Sales</t>
  </si>
  <si>
    <t xml:space="preserve">Partial Purchases</t>
  </si>
  <si>
    <t xml:space="preserve">Denominator</t>
  </si>
  <si>
    <t xml:space="preserve">Capital Gain</t>
  </si>
  <si>
    <t xml:space="preserve">Income Return</t>
  </si>
  <si>
    <t xml:space="preserve">Capital Return</t>
  </si>
  <si>
    <t xml:space="preserve">Total Return</t>
  </si>
  <si>
    <t xml:space="preserve">CÁLCULO DOS COMPONENTES POR FAZENDA E ANO (US$ 000)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</si>
</sst>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#,##0"/>
    <numFmt numFmtId="167" formatCode="0"/>
    <numFmt numFmtId="168" formatCode="0.00"/>
    <numFmt numFmtId="169" formatCode="0.00%"/>
    <numFmt numFmtId="170" formatCode="0%"/>
    <numFmt numFmtId="171" formatCode="m/d/yyyy"/>
    <numFmt numFmtId="172" formatCode="0.000"/>
    <numFmt numFmtId="173" formatCode="0.0000"/>
    <numFmt numFmtId="174" formatCode="dd/mm/yyyy"/>
    <numFmt numFmtId="175" formatCode="#,##0.0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b val="true"/>
      <sz val="11"/>
      <name val="Aptos Narrow"/>
      <family val="0"/>
      <charset val="1"/>
    </font>
    <font>
      <b val="true"/>
      <sz val="11"/>
      <color rgb="FF0000FF"/>
      <name val="Aptos Narrow"/>
      <family val="0"/>
      <charset val="1"/>
    </font>
    <font>
      <sz val="11"/>
      <name val="Aptos Narrow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1"/>
      <color theme="0"/>
      <name val="Aptos Narrow"/>
      <family val="2"/>
      <charset val="1"/>
    </font>
    <font>
      <i val="true"/>
      <sz val="9"/>
      <color theme="2" tint="-0.75"/>
      <name val="Aptos Narrow"/>
      <family val="2"/>
      <charset val="1"/>
    </font>
    <font>
      <sz val="11"/>
      <color rgb="FF0000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theme="5"/>
        <bgColor rgb="FFFF7F0E"/>
      </patternFill>
    </fill>
    <fill>
      <patternFill patternType="solid">
        <fgColor rgb="FF8B4513"/>
        <bgColor rgb="FF8C564B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7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6272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467BD"/>
      <rgbColor rgb="FF8C564B"/>
      <rgbColor rgb="FFFFFFCC"/>
      <rgbColor rgb="FFCCFFFF"/>
      <rgbColor rgb="FF660066"/>
      <rgbColor rgb="FFE377C2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7BECF"/>
      <rgbColor rgb="FFBCBD22"/>
      <rgbColor rgb="FFFFCC00"/>
      <rgbColor rgb="FFE97132"/>
      <rgbColor rgb="FFFF7F0E"/>
      <rgbColor rgb="FF595959"/>
      <rgbColor rgb="FF8B8B8B"/>
      <rgbColor rgb="FF003366"/>
      <rgbColor rgb="FF2CA02C"/>
      <rgbColor rgb="FF003300"/>
      <rgbColor rgb="FF333300"/>
      <rgbColor rgb="FF8B4513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Preço médio da terra do portfólio (R$/ha vs US$/ha)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"R$/ha (eixo esq.)"</c:f>
              <c:strCache>
                <c:ptCount val="1"/>
                <c:pt idx="0">
                  <c:v>R$/ha (eixo esq.)</c:v>
                </c:pt>
              </c:strCache>
            </c:strRef>
          </c:tx>
          <c:spPr>
            <a:solidFill>
              <a:srgbClr val="8b4513"/>
            </a:solidFill>
            <a:ln w="0">
              <a:solidFill>
                <a:srgbClr val="8b451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Graphs!$B$86:$I$86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</c:multiLvlStrCache>
            </c:multiLvlStrRef>
          </c:cat>
          <c:val>
            <c:numRef>
              <c:f>Graphs!$B$87:$I$87</c:f>
              <c:numCache>
                <c:formatCode>#,##0</c:formatCode>
                <c:ptCount val="8"/>
                <c:pt idx="0">
                  <c:v>6546.94252763783</c:v>
                </c:pt>
                <c:pt idx="1">
                  <c:v>6865.21469717486</c:v>
                </c:pt>
                <c:pt idx="2">
                  <c:v>6530.6175809235</c:v>
                </c:pt>
                <c:pt idx="3">
                  <c:v>7875.18273706491</c:v>
                </c:pt>
                <c:pt idx="4">
                  <c:v>7836.63413247418</c:v>
                </c:pt>
                <c:pt idx="5">
                  <c:v>9206.38112128461</c:v>
                </c:pt>
                <c:pt idx="6">
                  <c:v>10488.3760706251</c:v>
                </c:pt>
                <c:pt idx="7">
                  <c:v>11019.2473389955</c:v>
                </c:pt>
              </c:numCache>
            </c:numRef>
          </c:val>
        </c:ser>
        <c:gapWidth val="60"/>
        <c:overlap val="0"/>
        <c:axId val="50682203"/>
        <c:axId val="98770352"/>
      </c:barChart>
      <c:lineChart>
        <c:grouping val="standard"/>
        <c:varyColors val="0"/>
        <c:ser>
          <c:idx val="1"/>
          <c:order val="1"/>
          <c:tx>
            <c:strRef>
              <c:f>"US$/ha (eixo dir.)"</c:f>
              <c:strCache>
                <c:ptCount val="1"/>
                <c:pt idx="0">
                  <c:v>US$/ha (eixo dir.)</c:v>
                </c:pt>
              </c:strCache>
            </c:strRef>
          </c:tx>
          <c:spPr>
            <a:solidFill>
              <a:srgbClr val="1f77b4"/>
            </a:solidFill>
            <a:ln w="2196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Graphs!$B$86:$I$86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</c:multiLvlStrCache>
            </c:multiLvlStrRef>
          </c:cat>
          <c:val>
            <c:numRef>
              <c:f>Graphs!$B$88:$I$88</c:f>
              <c:numCache>
                <c:formatCode>#,##0</c:formatCode>
                <c:ptCount val="8"/>
                <c:pt idx="0">
                  <c:v>3882.20026543989</c:v>
                </c:pt>
                <c:pt idx="1">
                  <c:v>3409.42327034905</c:v>
                </c:pt>
                <c:pt idx="2">
                  <c:v>3775.35991497485</c:v>
                </c:pt>
                <c:pt idx="3">
                  <c:v>4890.50657459163</c:v>
                </c:pt>
                <c:pt idx="4">
                  <c:v>3858.89015780686</c:v>
                </c:pt>
                <c:pt idx="5">
                  <c:v>4050.49985537622</c:v>
                </c:pt>
                <c:pt idx="6">
                  <c:v>4626.95256336028</c:v>
                </c:pt>
                <c:pt idx="7">
                  <c:v>3247.25860169607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269750"/>
        <c:axId val="85368706"/>
      </c:lineChart>
      <c:catAx>
        <c:axId val="506822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8770352"/>
        <c:crosses val="autoZero"/>
        <c:auto val="1"/>
        <c:lblAlgn val="ctr"/>
        <c:lblOffset val="100"/>
        <c:noMultiLvlLbl val="0"/>
      </c:catAx>
      <c:valAx>
        <c:axId val="9877035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0682203"/>
        <c:crosses val="autoZero"/>
        <c:crossBetween val="between"/>
      </c:valAx>
      <c:catAx>
        <c:axId val="6126975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5368706"/>
        <c:crosses val="autoZero"/>
        <c:auto val="1"/>
        <c:lblAlgn val="ctr"/>
        <c:lblOffset val="100"/>
        <c:noMultiLvlLbl val="0"/>
      </c:catAx>
      <c:valAx>
        <c:axId val="85368706"/>
        <c:scaling>
          <c:orientation val="minMax"/>
        </c:scaling>
        <c:delete val="0"/>
        <c:axPos val="r"/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126975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Valorização da terra por fazenda (R$/ha, 2009-2015)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"Pamplona"</c:f>
              <c:strCache>
                <c:ptCount val="1"/>
                <c:pt idx="0">
                  <c:v>Pamplona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Graphs!$C$97:$I$97</c:f>
              <c:numCache>
                <c:formatCode>#,##0</c:formatCode>
                <c:ptCount val="7"/>
                <c:pt idx="0">
                  <c:v>9255.87925587926</c:v>
                </c:pt>
                <c:pt idx="1">
                  <c:v>9608.04960804961</c:v>
                </c:pt>
                <c:pt idx="2">
                  <c:v>10504.8555048555</c:v>
                </c:pt>
                <c:pt idx="3">
                  <c:v>12403.2211676733</c:v>
                </c:pt>
                <c:pt idx="4">
                  <c:v>12904.3428242738</c:v>
                </c:pt>
                <c:pt idx="5">
                  <c:v>15526.0857060685</c:v>
                </c:pt>
                <c:pt idx="6">
                  <c:v>15994.0620189136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"Planalto"</c:f>
              <c:strCache>
                <c:ptCount val="1"/>
                <c:pt idx="0">
                  <c:v>Planalto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Graphs!$C$98:$I$98</c:f>
              <c:numCache>
                <c:formatCode>#,##0</c:formatCode>
                <c:ptCount val="7"/>
                <c:pt idx="0">
                  <c:v>13426.1535822517</c:v>
                </c:pt>
                <c:pt idx="1">
                  <c:v>13825.6146369354</c:v>
                </c:pt>
                <c:pt idx="2">
                  <c:v>15709.1242759649</c:v>
                </c:pt>
                <c:pt idx="3">
                  <c:v>18485.9780925618</c:v>
                </c:pt>
                <c:pt idx="4">
                  <c:v>19023.4558697024</c:v>
                </c:pt>
                <c:pt idx="5">
                  <c:v>25994.0356712737</c:v>
                </c:pt>
                <c:pt idx="6">
                  <c:v>27157.7679646728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"Planeste"</c:f>
              <c:strCache>
                <c:ptCount val="1"/>
                <c:pt idx="0">
                  <c:v>Planeste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circle"/>
            <c:size val="5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Graphs!$C$99:$I$99</c:f>
              <c:numCache>
                <c:formatCode>#,##0</c:formatCode>
                <c:ptCount val="7"/>
                <c:pt idx="0">
                  <c:v>6465.819456617</c:v>
                </c:pt>
                <c:pt idx="1">
                  <c:v>6239.08368806776</c:v>
                </c:pt>
                <c:pt idx="2">
                  <c:v>7590.73155746698</c:v>
                </c:pt>
                <c:pt idx="3">
                  <c:v>8466.06645230439</c:v>
                </c:pt>
                <c:pt idx="4">
                  <c:v>9440.64308681672</c:v>
                </c:pt>
                <c:pt idx="5">
                  <c:v>9846.68810289389</c:v>
                </c:pt>
                <c:pt idx="6">
                  <c:v>10055.3030952585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"Panorama"</c:f>
              <c:strCache>
                <c:ptCount val="1"/>
                <c:pt idx="0">
                  <c:v>Panorama</c:v>
                </c:pt>
              </c:strCache>
            </c:strRef>
          </c:tx>
          <c:spPr>
            <a:solidFill>
              <a:srgbClr val="d62728"/>
            </a:solidFill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Graphs!$C$100:$I$100</c:f>
              <c:numCache>
                <c:formatCode>#,##0</c:formatCode>
                <c:ptCount val="7"/>
                <c:pt idx="0">
                  <c:v>9366.59436008677</c:v>
                </c:pt>
                <c:pt idx="1">
                  <c:v>9910.35280508965</c:v>
                </c:pt>
                <c:pt idx="2">
                  <c:v>11301.0321984286</c:v>
                </c:pt>
                <c:pt idx="3">
                  <c:v>12899.1758453362</c:v>
                </c:pt>
                <c:pt idx="4">
                  <c:v>14021.2068633121</c:v>
                </c:pt>
                <c:pt idx="5">
                  <c:v>15071.3321765953</c:v>
                </c:pt>
                <c:pt idx="6">
                  <c:v>16042.9920956237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"Piratini"</c:f>
              <c:strCache>
                <c:ptCount val="1"/>
                <c:pt idx="0">
                  <c:v>Piratini</c:v>
                </c:pt>
              </c:strCache>
            </c:strRef>
          </c:tx>
          <c:spPr>
            <a:solidFill>
              <a:srgbClr val="9467bd"/>
            </a:solidFill>
            <a:ln w="19080">
              <a:solidFill>
                <a:srgbClr val="9467bd"/>
              </a:solidFill>
              <a:round/>
            </a:ln>
          </c:spPr>
          <c:marker>
            <c:symbol val="circle"/>
            <c:size val="5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Graphs!$C$101:$I$101</c:f>
              <c:numCache>
                <c:formatCode>#,##0</c:formatCode>
                <c:ptCount val="7"/>
                <c:pt idx="0">
                  <c:v>3793.2965362771</c:v>
                </c:pt>
                <c:pt idx="1">
                  <c:v>3226.58252810097</c:v>
                </c:pt>
                <c:pt idx="2">
                  <c:v>4615.26326168409</c:v>
                </c:pt>
                <c:pt idx="3">
                  <c:v>5268.50719779136</c:v>
                </c:pt>
                <c:pt idx="4">
                  <c:v>6957.36541116151</c:v>
                </c:pt>
                <c:pt idx="5">
                  <c:v>7817.39301912838</c:v>
                </c:pt>
                <c:pt idx="6">
                  <c:v>8789.24120523742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"Palmares"</c:f>
              <c:strCache>
                <c:ptCount val="1"/>
                <c:pt idx="0">
                  <c:v>Palmares</c:v>
                </c:pt>
              </c:strCache>
            </c:strRef>
          </c:tx>
          <c:spPr>
            <a:solidFill>
              <a:srgbClr val="8c564b"/>
            </a:solidFill>
            <a:ln w="19080">
              <a:solidFill>
                <a:srgbClr val="8c564b"/>
              </a:solidFill>
              <a:round/>
            </a:ln>
          </c:spPr>
          <c:marker>
            <c:symbol val="circle"/>
            <c:size val="5"/>
            <c:spPr>
              <a:solidFill>
                <a:srgbClr val="8c56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Graphs!$C$102:$I$102</c:f>
              <c:numCache>
                <c:formatCode>#,##0</c:formatCode>
                <c:ptCount val="7"/>
                <c:pt idx="0">
                  <c:v>4314.39393939394</c:v>
                </c:pt>
                <c:pt idx="1">
                  <c:v>4078.90102148644</c:v>
                </c:pt>
                <c:pt idx="2">
                  <c:v>4955.74699079537</c:v>
                </c:pt>
                <c:pt idx="3">
                  <c:v>6033.75029502006</c:v>
                </c:pt>
                <c:pt idx="4">
                  <c:v>10218.6098654709</c:v>
                </c:pt>
                <c:pt idx="5">
                  <c:v>11324.5917862444</c:v>
                </c:pt>
                <c:pt idx="6">
                  <c:v>11603.8844559906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"Parnaíba"</c:f>
              <c:strCache>
                <c:ptCount val="1"/>
                <c:pt idx="0">
                  <c:v>Parnaíba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circle"/>
            <c:size val="5"/>
            <c:spPr>
              <a:solidFill>
                <a:srgbClr val="e377c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Graphs!$C$103:$I$103</c:f>
              <c:numCache>
                <c:formatCode>#,##0</c:formatCode>
                <c:ptCount val="7"/>
                <c:pt idx="0">
                  <c:v>6134.97840108882</c:v>
                </c:pt>
                <c:pt idx="1">
                  <c:v>5924.2900337938</c:v>
                </c:pt>
                <c:pt idx="2">
                  <c:v>6597.79450998992</c:v>
                </c:pt>
                <c:pt idx="3">
                  <c:v>7770.79504357621</c:v>
                </c:pt>
                <c:pt idx="4">
                  <c:v>9304.77177158876</c:v>
                </c:pt>
                <c:pt idx="5">
                  <c:v>8305.16993776927</c:v>
                </c:pt>
                <c:pt idx="6">
                  <c:v>8728.31635354669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"Paiaguás"</c:f>
              <c:strCache>
                <c:ptCount val="1"/>
                <c:pt idx="0">
                  <c:v>Paiaguás</c:v>
                </c:pt>
              </c:strCache>
            </c:strRef>
          </c:tx>
          <c:spPr>
            <a:solidFill>
              <a:srgbClr val="7f7f7f"/>
            </a:solidFill>
            <a:ln w="19080">
              <a:solidFill>
                <a:srgbClr val="7f7f7f"/>
              </a:solidFill>
              <a:round/>
            </a:ln>
          </c:spPr>
          <c:marker>
            <c:symbol val="circle"/>
            <c:size val="5"/>
            <c:spPr>
              <a:solidFill>
                <a:srgbClr val="7f7f7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Graphs!$C$104:$I$104</c:f>
              <c:numCache>
                <c:formatCode>#,##0</c:formatCode>
                <c:ptCount val="7"/>
                <c:pt idx="0">
                  <c:v>10094.4510035419</c:v>
                </c:pt>
                <c:pt idx="1">
                  <c:v>9290.85577179419</c:v>
                </c:pt>
                <c:pt idx="2">
                  <c:v>10647.446395247</c:v>
                </c:pt>
                <c:pt idx="3">
                  <c:v>12701.2850773669</c:v>
                </c:pt>
                <c:pt idx="4">
                  <c:v>13052.0587463939</c:v>
                </c:pt>
                <c:pt idx="5">
                  <c:v>16016.8716913585</c:v>
                </c:pt>
                <c:pt idx="6">
                  <c:v>17172.9443576951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"Planorte"</c:f>
              <c:strCache>
                <c:ptCount val="1"/>
                <c:pt idx="0">
                  <c:v>Planorte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circle"/>
            <c:size val="5"/>
            <c:spPr>
              <a:solidFill>
                <a:srgbClr val="bcbd2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Graphs!$C$108:$I$108</c:f>
              <c:numCache>
                <c:formatCode>#,##0</c:formatCode>
                <c:ptCount val="7"/>
                <c:pt idx="0">
                  <c:v>9791.96436076322</c:v>
                </c:pt>
                <c:pt idx="1">
                  <c:v>8407.93510696423</c:v>
                </c:pt>
                <c:pt idx="2">
                  <c:v>9216.57630395495</c:v>
                </c:pt>
                <c:pt idx="3">
                  <c:v>10718.2784852688</c:v>
                </c:pt>
                <c:pt idx="4">
                  <c:v>10794.1473259334</c:v>
                </c:pt>
                <c:pt idx="5">
                  <c:v>12960.0992263707</c:v>
                </c:pt>
                <c:pt idx="6">
                  <c:v>13476.2575195188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"Parnaguá"</c:f>
              <c:strCache>
                <c:ptCount val="1"/>
                <c:pt idx="0">
                  <c:v>Parnaguá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circle"/>
            <c:size val="5"/>
            <c:spPr>
              <a:solidFill>
                <a:srgbClr val="17bec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Graphs!$C$109:$I$109</c:f>
              <c:numCache>
                <c:formatCode>#,##0</c:formatCode>
                <c:ptCount val="7"/>
                <c:pt idx="0">
                  <c:v>1871.44354597185</c:v>
                </c:pt>
                <c:pt idx="1">
                  <c:v>1907.48186840029</c:v>
                </c:pt>
                <c:pt idx="2">
                  <c:v>2274.99906053888</c:v>
                </c:pt>
                <c:pt idx="3">
                  <c:v>2673.74273439474</c:v>
                </c:pt>
                <c:pt idx="4">
                  <c:v>3524.28565622079</c:v>
                </c:pt>
                <c:pt idx="5">
                  <c:v>5593.22033898305</c:v>
                </c:pt>
                <c:pt idx="6">
                  <c:v>6136.20836891546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805816"/>
        <c:axId val="14567357"/>
      </c:lineChart>
      <c:catAx>
        <c:axId val="4880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4567357"/>
        <c:crosses val="autoZero"/>
        <c:auto val="1"/>
        <c:lblAlgn val="ctr"/>
        <c:lblOffset val="100"/>
        <c:noMultiLvlLbl val="0"/>
      </c:catAx>
      <c:valAx>
        <c:axId val="1456735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88058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Valorização anualizada do R$/ha por fazenda (1ª → última avaliação)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"CAGR do R$/ha"</c:f>
              <c:strCache>
                <c:ptCount val="1"/>
                <c:pt idx="0">
                  <c:v>CAGR do R$/ha</c:v>
                </c:pt>
              </c:strCache>
            </c:strRef>
          </c:tx>
          <c:spPr>
            <a:solidFill>
              <a:srgbClr val="8b4513"/>
            </a:solidFill>
            <a:ln w="0">
              <a:solidFill>
                <a:srgbClr val="8b4513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Graphs!$A$97:$A$111</c:f>
              <c:strCache>
                <c:ptCount val="15"/>
                <c:pt idx="0">
                  <c:v>Fazenda Pamplona</c:v>
                </c:pt>
                <c:pt idx="1">
                  <c:v>Fazenda Planalto</c:v>
                </c:pt>
                <c:pt idx="2">
                  <c:v>Fazenda Planeste</c:v>
                </c:pt>
                <c:pt idx="3">
                  <c:v>Fazenda Panorama</c:v>
                </c:pt>
                <c:pt idx="4">
                  <c:v>Fazenda Piratini</c:v>
                </c:pt>
                <c:pt idx="5">
                  <c:v>Fazenda Palmares</c:v>
                </c:pt>
                <c:pt idx="6">
                  <c:v>Fazenda Parnaíba</c:v>
                </c:pt>
                <c:pt idx="7">
                  <c:v>Fazenda Paiaguás</c:v>
                </c:pt>
                <c:pt idx="8">
                  <c:v>Fazenda Pejuçara</c:v>
                </c:pt>
                <c:pt idx="9">
                  <c:v>Fazenda Parceiro</c:v>
                </c:pt>
                <c:pt idx="10">
                  <c:v>Fazenda Perdizes</c:v>
                </c:pt>
                <c:pt idx="11">
                  <c:v>Fazenda Planorte</c:v>
                </c:pt>
                <c:pt idx="12">
                  <c:v>Fazenda Parnaguá</c:v>
                </c:pt>
                <c:pt idx="13">
                  <c:v>Fazenda Paineira</c:v>
                </c:pt>
                <c:pt idx="14">
                  <c:v>Fazenda Palmeira</c:v>
                </c:pt>
              </c:strCache>
            </c:strRef>
          </c:cat>
          <c:val>
            <c:numRef>
              <c:f>Graphs!$O$97:$O$111</c:f>
              <c:numCache>
                <c:formatCode>0.00%</c:formatCode>
                <c:ptCount val="15"/>
                <c:pt idx="0">
                  <c:v>0.0963403518371628</c:v>
                </c:pt>
                <c:pt idx="1">
                  <c:v>0.125419720074096</c:v>
                </c:pt>
                <c:pt idx="2">
                  <c:v>0.0802466912449047</c:v>
                </c:pt>
                <c:pt idx="3">
                  <c:v>0.101696644318031</c:v>
                </c:pt>
                <c:pt idx="4">
                  <c:v>0.206885860866377</c:v>
                </c:pt>
                <c:pt idx="5">
                  <c:v>0.179271853583611</c:v>
                </c:pt>
                <c:pt idx="6">
                  <c:v>0.0548540241423292</c:v>
                </c:pt>
                <c:pt idx="7">
                  <c:v>0.108796586117366</c:v>
                </c:pt>
                <c:pt idx="8">
                  <c:v>0.0246875</c:v>
                </c:pt>
                <c:pt idx="9">
                  <c:v>0.225178638524464</c:v>
                </c:pt>
                <c:pt idx="10">
                  <c:v>0.276319071754471</c:v>
                </c:pt>
                <c:pt idx="11">
                  <c:v>0.0727333620222623</c:v>
                </c:pt>
                <c:pt idx="12">
                  <c:v>0.218860196059455</c:v>
                </c:pt>
                <c:pt idx="13">
                  <c:v>0.150851937281397</c:v>
                </c:pt>
                <c:pt idx="14">
                  <c:v>0.113104449787179</c:v>
                </c:pt>
              </c:numCache>
            </c:numRef>
          </c:val>
        </c:ser>
        <c:gapWidth val="40"/>
        <c:overlap val="0"/>
        <c:axId val="21123608"/>
        <c:axId val="56861066"/>
      </c:barChart>
      <c:catAx>
        <c:axId val="2112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6861066"/>
        <c:crosses val="autoZero"/>
        <c:auto val="1"/>
        <c:lblAlgn val="ctr"/>
        <c:lblOffset val="100"/>
        <c:noMultiLvlLbl val="0"/>
      </c:catAx>
      <c:valAx>
        <c:axId val="5686106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11236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Índice Farmland (base 100 = 2008): Total, Appreciation e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 R$"</c:f>
              <c:strCache>
                <c:ptCount val="1"/>
                <c:pt idx="0">
                  <c:v>Total R$</c:v>
                </c:pt>
              </c:strCache>
            </c:strRef>
          </c:tx>
          <c:spPr>
            <a:solidFill>
              <a:srgbClr val="8b4513"/>
            </a:solidFill>
            <a:ln w="21960">
              <a:solidFill>
                <a:srgbClr val="8b4513"/>
              </a:solidFill>
              <a:round/>
            </a:ln>
          </c:spPr>
          <c:marker>
            <c:symbol val="circle"/>
            <c:size val="5"/>
            <c:spPr>
              <a:solidFill>
                <a:srgbClr val="8b451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Returns!$O$11:$V$11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</c:multiLvlStrCache>
            </c:multiLvlStrRef>
          </c:cat>
          <c:val>
            <c:numRef>
              <c:f>Returns!$O$12:$V$12</c:f>
              <c:numCache>
                <c:formatCode>#,##0.0</c:formatCode>
                <c:ptCount val="8"/>
                <c:pt idx="0">
                  <c:v>100</c:v>
                </c:pt>
                <c:pt idx="1">
                  <c:v>132.372509309328</c:v>
                </c:pt>
                <c:pt idx="2">
                  <c:v>135.652877082853</c:v>
                </c:pt>
                <c:pt idx="3">
                  <c:v>164.575090316104</c:v>
                </c:pt>
                <c:pt idx="4">
                  <c:v>193.742887921349</c:v>
                </c:pt>
                <c:pt idx="5">
                  <c:v>229.349205832086</c:v>
                </c:pt>
                <c:pt idx="6">
                  <c:v>279.287420490732</c:v>
                </c:pt>
                <c:pt idx="7">
                  <c:v>304.847233548067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"Appreciation R$"</c:f>
              <c:strCache>
                <c:ptCount val="1"/>
                <c:pt idx="0">
                  <c:v>Appreciation R$</c:v>
                </c:pt>
              </c:strCache>
            </c:strRef>
          </c:tx>
          <c:spPr>
            <a:solidFill>
              <a:srgbClr val="2ca02c"/>
            </a:solidFill>
            <a:ln w="21960">
              <a:solidFill>
                <a:srgbClr val="2ca02c"/>
              </a:solidFill>
              <a:round/>
            </a:ln>
          </c:spPr>
          <c:marker>
            <c:symbol val="circle"/>
            <c:size val="5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Returns!$O$11:$V$11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</c:multiLvlStrCache>
            </c:multiLvlStrRef>
          </c:cat>
          <c:val>
            <c:numRef>
              <c:f>Returns!$O$13:$V$13</c:f>
              <c:numCache>
                <c:formatCode>#,##0.0</c:formatCode>
                <c:ptCount val="8"/>
                <c:pt idx="0">
                  <c:v>100</c:v>
                </c:pt>
                <c:pt idx="1">
                  <c:v>130.078419929133</c:v>
                </c:pt>
                <c:pt idx="2">
                  <c:v>130.538976513163</c:v>
                </c:pt>
                <c:pt idx="3">
                  <c:v>155.797299260637</c:v>
                </c:pt>
                <c:pt idx="4">
                  <c:v>178.658681790022</c:v>
                </c:pt>
                <c:pt idx="5">
                  <c:v>207.017661513085</c:v>
                </c:pt>
                <c:pt idx="6">
                  <c:v>246.93555143288</c:v>
                </c:pt>
                <c:pt idx="7">
                  <c:v>263.633493537799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"Income R$"</c:f>
              <c:strCache>
                <c:ptCount val="1"/>
                <c:pt idx="0">
                  <c:v>Income R$</c:v>
                </c:pt>
              </c:strCache>
            </c:strRef>
          </c:tx>
          <c:spPr>
            <a:solidFill>
              <a:srgbClr val="ff7f0e"/>
            </a:solidFill>
            <a:ln w="2196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Returns!$O$11:$V$11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</c:multiLvlStrCache>
            </c:multiLvlStrRef>
          </c:cat>
          <c:val>
            <c:numRef>
              <c:f>Returns!$O$14:$V$14</c:f>
              <c:numCache>
                <c:formatCode>#,##0.0</c:formatCode>
                <c:ptCount val="8"/>
                <c:pt idx="0">
                  <c:v>100</c:v>
                </c:pt>
                <c:pt idx="1">
                  <c:v>102.294089380195</c:v>
                </c:pt>
                <c:pt idx="2">
                  <c:v>104.466890506024</c:v>
                </c:pt>
                <c:pt idx="3">
                  <c:v>106.526449263123</c:v>
                </c:pt>
                <c:pt idx="4">
                  <c:v>109.774754734194</c:v>
                </c:pt>
                <c:pt idx="5">
                  <c:v>112.524454641144</c:v>
                </c:pt>
                <c:pt idx="6">
                  <c:v>115.328021346262</c:v>
                </c:pt>
                <c:pt idx="7">
                  <c:v>118.08405021402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"Total US$"</c:f>
              <c:strCache>
                <c:ptCount val="1"/>
                <c:pt idx="0">
                  <c:v>Total US$</c:v>
                </c:pt>
              </c:strCache>
            </c:strRef>
          </c:tx>
          <c:spPr>
            <a:solidFill>
              <a:srgbClr val="1f77b4"/>
            </a:solidFill>
            <a:ln w="2196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Returns!$O$11:$V$11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</c:multiLvlStrCache>
            </c:multiLvlStrRef>
          </c:cat>
          <c:val>
            <c:numRef>
              <c:f>Returns!$O$66:$V$66</c:f>
              <c:numCache>
                <c:formatCode>#,##0.0</c:formatCode>
                <c:ptCount val="8"/>
                <c:pt idx="0">
                  <c:v>100</c:v>
                </c:pt>
                <c:pt idx="1">
                  <c:v>110.973937892445</c:v>
                </c:pt>
                <c:pt idx="2">
                  <c:v>132.755779935908</c:v>
                </c:pt>
                <c:pt idx="3">
                  <c:v>172.682137978972</c:v>
                </c:pt>
                <c:pt idx="4">
                  <c:v>160.662869558451</c:v>
                </c:pt>
                <c:pt idx="5">
                  <c:v>169.596183938338</c:v>
                </c:pt>
                <c:pt idx="6">
                  <c:v>206.398910157864</c:v>
                </c:pt>
                <c:pt idx="7">
                  <c:v>149.528192415287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578462"/>
        <c:axId val="89475390"/>
      </c:lineChart>
      <c:catAx>
        <c:axId val="27578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9475390"/>
        <c:crosses val="autoZero"/>
        <c:auto val="1"/>
        <c:lblAlgn val="ctr"/>
        <c:lblOffset val="100"/>
        <c:noMultiLvlLbl val="0"/>
      </c:catAx>
      <c:valAx>
        <c:axId val="8947539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75784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Retorno total anual em R$ = Income + Capital (Total Farmland)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"Income Return"</c:f>
              <c:strCache>
                <c:ptCount val="1"/>
                <c:pt idx="0">
                  <c:v>Income Return</c:v>
                </c:pt>
              </c:strCache>
            </c:strRef>
          </c:tx>
          <c:spPr>
            <a:solidFill>
              <a:srgbClr val="ff7f0e"/>
            </a:solidFill>
            <a:ln w="0">
              <a:solidFill>
                <a:srgbClr val="ff7f0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Returns!$E$11:$K$11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Returns!$E$14:$K$14</c:f>
              <c:numCache>
                <c:formatCode>0.00%</c:formatCode>
                <c:ptCount val="7"/>
                <c:pt idx="0">
                  <c:v>0.0229408938019528</c:v>
                </c:pt>
                <c:pt idx="1">
                  <c:v>0.0212407299287174</c:v>
                </c:pt>
                <c:pt idx="2">
                  <c:v>0.0197149426686543</c:v>
                </c:pt>
                <c:pt idx="3">
                  <c:v>0.0304929479349072</c:v>
                </c:pt>
                <c:pt idx="4">
                  <c:v>0.025048563429797</c:v>
                </c:pt>
                <c:pt idx="5">
                  <c:v>0.0249151770080507</c:v>
                </c:pt>
                <c:pt idx="6">
                  <c:v>0.02389730471039</c:v>
                </c:pt>
              </c:numCache>
            </c:numRef>
          </c:val>
        </c:ser>
        <c:ser>
          <c:idx val="1"/>
          <c:order val="1"/>
          <c:tx>
            <c:strRef>
              <c:f>"Capital Return"</c:f>
              <c:strCache>
                <c:ptCount val="1"/>
                <c:pt idx="0">
                  <c:v>Capital Return</c:v>
                </c:pt>
              </c:strCache>
            </c:strRef>
          </c:tx>
          <c:spPr>
            <a:solidFill>
              <a:srgbClr val="2ca02c"/>
            </a:solidFill>
            <a:ln w="0">
              <a:solidFill>
                <a:srgbClr val="2ca02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Returns!$E$11:$K$11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Returns!$E$13:$K$13</c:f>
              <c:numCache>
                <c:formatCode>0.00%</c:formatCode>
                <c:ptCount val="7"/>
                <c:pt idx="0">
                  <c:v>0.300784199291331</c:v>
                </c:pt>
                <c:pt idx="1">
                  <c:v>0.00354060715282795</c:v>
                </c:pt>
                <c:pt idx="2">
                  <c:v>0.193492575337663</c:v>
                </c:pt>
                <c:pt idx="3">
                  <c:v>0.146737989925869</c:v>
                </c:pt>
                <c:pt idx="4">
                  <c:v>0.158732726777826</c:v>
                </c:pt>
                <c:pt idx="5">
                  <c:v>0.19282359595813</c:v>
                </c:pt>
                <c:pt idx="6">
                  <c:v>0.0676206484162637</c:v>
                </c:pt>
              </c:numCache>
            </c:numRef>
          </c:val>
        </c:ser>
        <c:gapWidth val="150"/>
        <c:overlap val="100"/>
        <c:axId val="70028704"/>
        <c:axId val="56536854"/>
      </c:barChart>
      <c:lineChart>
        <c:grouping val="stacked"/>
        <c:varyColors val="0"/>
        <c:ser>
          <c:idx val="2"/>
          <c:order val="2"/>
          <c:tx>
            <c:strRef>
              <c:f>"Total Return"</c:f>
              <c:strCache>
                <c:ptCount val="1"/>
                <c:pt idx="0">
                  <c:v>Total Return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Returns!$E$11:$K$11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Returns!$E$12:$K$12</c:f>
              <c:numCache>
                <c:formatCode>0.00%</c:formatCode>
                <c:ptCount val="7"/>
                <c:pt idx="0">
                  <c:v>0.323725093093284</c:v>
                </c:pt>
                <c:pt idx="1">
                  <c:v>0.0247813370815453</c:v>
                </c:pt>
                <c:pt idx="2">
                  <c:v>0.213207518006317</c:v>
                </c:pt>
                <c:pt idx="3">
                  <c:v>0.177230937860776</c:v>
                </c:pt>
                <c:pt idx="4">
                  <c:v>0.183781290207623</c:v>
                </c:pt>
                <c:pt idx="5">
                  <c:v>0.217738772966181</c:v>
                </c:pt>
                <c:pt idx="6">
                  <c:v>0.0915179531266537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028704"/>
        <c:axId val="56536854"/>
      </c:lineChart>
      <c:catAx>
        <c:axId val="7002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6536854"/>
        <c:crosses val="autoZero"/>
        <c:auto val="1"/>
        <c:lblAlgn val="ctr"/>
        <c:lblOffset val="100"/>
        <c:noMultiLvlLbl val="0"/>
      </c:catAx>
      <c:valAx>
        <c:axId val="5653685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00287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Retorno total anual: R$ vs US$ (Total Farmland)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Return R$"</c:f>
              <c:strCache>
                <c:ptCount val="1"/>
                <c:pt idx="0">
                  <c:v>Total Return R$</c:v>
                </c:pt>
              </c:strCache>
            </c:strRef>
          </c:tx>
          <c:spPr>
            <a:solidFill>
              <a:srgbClr val="8b4513"/>
            </a:solidFill>
            <a:ln w="0">
              <a:solidFill>
                <a:srgbClr val="8b451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Returns!$E$11:$K$11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Returns!$E$12:$K$12</c:f>
              <c:numCache>
                <c:formatCode>0.00%</c:formatCode>
                <c:ptCount val="7"/>
                <c:pt idx="0">
                  <c:v>0.323725093093284</c:v>
                </c:pt>
                <c:pt idx="1">
                  <c:v>0.0247813370815453</c:v>
                </c:pt>
                <c:pt idx="2">
                  <c:v>0.213207518006317</c:v>
                </c:pt>
                <c:pt idx="3">
                  <c:v>0.177230937860776</c:v>
                </c:pt>
                <c:pt idx="4">
                  <c:v>0.183781290207623</c:v>
                </c:pt>
                <c:pt idx="5">
                  <c:v>0.217738772966181</c:v>
                </c:pt>
                <c:pt idx="6">
                  <c:v>0.0915179531266537</c:v>
                </c:pt>
              </c:numCache>
            </c:numRef>
          </c:val>
        </c:ser>
        <c:ser>
          <c:idx val="1"/>
          <c:order val="1"/>
          <c:tx>
            <c:strRef>
              <c:f>"Total Return US$"</c:f>
              <c:strCache>
                <c:ptCount val="1"/>
                <c:pt idx="0">
                  <c:v>Total Return US$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Returns!$E$11:$K$11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Returns!$E$66:$K$66</c:f>
              <c:numCache>
                <c:formatCode>0.00%</c:formatCode>
                <c:ptCount val="7"/>
                <c:pt idx="0">
                  <c:v>0.109739378924447</c:v>
                </c:pt>
                <c:pt idx="1">
                  <c:v>0.196278896262784</c:v>
                </c:pt>
                <c:pt idx="2">
                  <c:v>0.300750431072296</c:v>
                </c:pt>
                <c:pt idx="3">
                  <c:v>-0.0696034260473684</c:v>
                </c:pt>
                <c:pt idx="4">
                  <c:v>0.0556028558710479</c:v>
                </c:pt>
                <c:pt idx="5">
                  <c:v>0.217002089108951</c:v>
                </c:pt>
                <c:pt idx="6">
                  <c:v>-0.275537878078324</c:v>
                </c:pt>
              </c:numCache>
            </c:numRef>
          </c:val>
        </c:ser>
        <c:gapWidth val="150"/>
        <c:overlap val="0"/>
        <c:axId val="82776899"/>
        <c:axId val="6771269"/>
      </c:barChart>
      <c:catAx>
        <c:axId val="827768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771269"/>
        <c:crosses val="autoZero"/>
        <c:auto val="1"/>
        <c:lblAlgn val="ctr"/>
        <c:lblOffset val="100"/>
        <c:noMultiLvlLbl val="0"/>
      </c:catAx>
      <c:valAx>
        <c:axId val="677126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27768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Valor de mercado do portfólio (milhões)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"R$ mm"</c:f>
              <c:strCache>
                <c:ptCount val="1"/>
                <c:pt idx="0">
                  <c:v>R$ mm</c:v>
                </c:pt>
              </c:strCache>
            </c:strRef>
          </c:tx>
          <c:spPr>
            <a:solidFill>
              <a:srgbClr val="8b4513"/>
            </a:solidFill>
            <a:ln w="0">
              <a:solidFill>
                <a:srgbClr val="8b451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Graphs!$B$86:$I$86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</c:multiLvlStrCache>
            </c:multiLvlStrRef>
          </c:cat>
          <c:val>
            <c:numRef>
              <c:f>Graphs!$B$89:$I$89</c:f>
              <c:numCache>
                <c:formatCode>#,##0</c:formatCode>
                <c:ptCount val="8"/>
                <c:pt idx="0">
                  <c:v>1096.77</c:v>
                </c:pt>
                <c:pt idx="1">
                  <c:v>1495.69</c:v>
                </c:pt>
                <c:pt idx="2">
                  <c:v>1500.93</c:v>
                </c:pt>
                <c:pt idx="3">
                  <c:v>1756.15</c:v>
                </c:pt>
                <c:pt idx="4">
                  <c:v>2315.6</c:v>
                </c:pt>
                <c:pt idx="5">
                  <c:v>2678.615</c:v>
                </c:pt>
                <c:pt idx="6">
                  <c:v>3188.76</c:v>
                </c:pt>
                <c:pt idx="7">
                  <c:v>3401.84</c:v>
                </c:pt>
              </c:numCache>
            </c:numRef>
          </c:val>
        </c:ser>
        <c:ser>
          <c:idx val="1"/>
          <c:order val="1"/>
          <c:tx>
            <c:strRef>
              <c:f>"US$ mm"</c:f>
              <c:strCache>
                <c:ptCount val="1"/>
                <c:pt idx="0">
                  <c:v>US$ mm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Graphs!$B$86:$I$86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</c:multiLvlStrCache>
            </c:multiLvlStrRef>
          </c:cat>
          <c:val>
            <c:numRef>
              <c:f>Graphs!$B$90:$I$90</c:f>
              <c:numCache>
                <c:formatCode>#,##0</c:formatCode>
                <c:ptCount val="8"/>
                <c:pt idx="0">
                  <c:v>650.361717267552</c:v>
                </c:pt>
                <c:pt idx="1">
                  <c:v>742.794000794597</c:v>
                </c:pt>
                <c:pt idx="2">
                  <c:v>867.860571968612</c:v>
                </c:pt>
                <c:pt idx="3">
                  <c:v>1090.57318512079</c:v>
                </c:pt>
                <c:pt idx="4">
                  <c:v>1140.2402993894</c:v>
                </c:pt>
                <c:pt idx="5">
                  <c:v>1178.50103392142</c:v>
                </c:pt>
                <c:pt idx="6">
                  <c:v>1406.7231339333</c:v>
                </c:pt>
                <c:pt idx="7">
                  <c:v>1002.48718099841</c:v>
                </c:pt>
              </c:numCache>
            </c:numRef>
          </c:val>
        </c:ser>
        <c:gapWidth val="150"/>
        <c:overlap val="0"/>
        <c:axId val="58827626"/>
        <c:axId val="93725125"/>
      </c:barChart>
      <c:catAx>
        <c:axId val="588276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3725125"/>
        <c:crosses val="autoZero"/>
        <c:auto val="1"/>
        <c:lblAlgn val="ctr"/>
        <c:lblOffset val="100"/>
        <c:noMultiLvlLbl val="0"/>
      </c:catAx>
      <c:valAx>
        <c:axId val="9372512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88276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Câmbio usado na conversão (PTAX compra, R$/US$)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"PTAX na data da avaliação"</c:f>
              <c:strCache>
                <c:ptCount val="1"/>
                <c:pt idx="0">
                  <c:v>PTAX na data da avaliação</c:v>
                </c:pt>
              </c:strCache>
            </c:strRef>
          </c:tx>
          <c:spPr>
            <a:solidFill>
              <a:srgbClr val="8b4513"/>
            </a:solidFill>
            <a:ln w="21960">
              <a:solidFill>
                <a:srgbClr val="8b4513"/>
              </a:solidFill>
              <a:round/>
            </a:ln>
          </c:spPr>
          <c:marker>
            <c:symbol val="circle"/>
            <c:size val="5"/>
            <c:spPr>
              <a:solidFill>
                <a:srgbClr val="8b451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Graphs!$B$86:$I$86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</c:multiLvlStrCache>
            </c:multiLvlStrRef>
          </c:cat>
          <c:val>
            <c:numRef>
              <c:f>Graphs!$B$92:$I$92</c:f>
              <c:numCache>
                <c:formatCode>0.00</c:formatCode>
                <c:ptCount val="8"/>
                <c:pt idx="0">
                  <c:v>1.6864</c:v>
                </c:pt>
                <c:pt idx="1">
                  <c:v>2.0136</c:v>
                </c:pt>
                <c:pt idx="2">
                  <c:v>1.7298</c:v>
                </c:pt>
                <c:pt idx="3">
                  <c:v>1.6103</c:v>
                </c:pt>
                <c:pt idx="4">
                  <c:v>2.0308</c:v>
                </c:pt>
                <c:pt idx="5">
                  <c:v>2.2729</c:v>
                </c:pt>
                <c:pt idx="6">
                  <c:v>2.2668</c:v>
                </c:pt>
                <c:pt idx="7">
                  <c:v>3.3934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"PTAX em 31/dez (rent)"</c:f>
              <c:strCache>
                <c:ptCount val="1"/>
                <c:pt idx="0">
                  <c:v>PTAX em 31/dez (rent)</c:v>
                </c:pt>
              </c:strCache>
            </c:strRef>
          </c:tx>
          <c:spPr>
            <a:solidFill>
              <a:srgbClr val="1f77b4"/>
            </a:solidFill>
            <a:ln w="2196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Graphs!$B$86:$I$86</c:f>
              <c:multiLvlStrCache>
                <c:ptCount val="1"/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</c:multiLvlStrCache>
            </c:multiLvlStrRef>
          </c:cat>
          <c:val>
            <c:numRef>
              <c:f>Graphs!$B$93:$I$93</c:f>
              <c:numCache>
                <c:formatCode>0.00</c:formatCode>
                <c:ptCount val="8"/>
                <c:pt idx="0">
                  <c:v>2.3362</c:v>
                </c:pt>
                <c:pt idx="1">
                  <c:v>1.7404</c:v>
                </c:pt>
                <c:pt idx="2">
                  <c:v>1.6654</c:v>
                </c:pt>
                <c:pt idx="3">
                  <c:v>1.8751</c:v>
                </c:pt>
                <c:pt idx="4">
                  <c:v>2.0429</c:v>
                </c:pt>
                <c:pt idx="5">
                  <c:v>2.342</c:v>
                </c:pt>
                <c:pt idx="6">
                  <c:v>2.6556</c:v>
                </c:pt>
                <c:pt idx="7">
                  <c:v>3.9042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438753"/>
        <c:axId val="69491416"/>
      </c:lineChart>
      <c:catAx>
        <c:axId val="25438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9491416"/>
        <c:crosses val="autoZero"/>
        <c:auto val="1"/>
        <c:lblAlgn val="ctr"/>
        <c:lblOffset val="100"/>
        <c:noMultiLvlLbl val="0"/>
      </c:catAx>
      <c:valAx>
        <c:axId val="6949141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54387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3</xdr:col>
      <xdr:colOff>709560</xdr:colOff>
      <xdr:row>18</xdr:row>
      <xdr:rowOff>34560</xdr:rowOff>
    </xdr:to>
    <xdr:graphicFrame>
      <xdr:nvGraphicFramePr>
        <xdr:cNvPr id="0" name="Chart 1"/>
        <xdr:cNvGraphicFramePr/>
      </xdr:nvGraphicFramePr>
      <xdr:xfrm>
        <a:off x="0" y="57168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</xdr:row>
      <xdr:rowOff>131040</xdr:rowOff>
    </xdr:from>
    <xdr:to>
      <xdr:col>12</xdr:col>
      <xdr:colOff>168480</xdr:colOff>
      <xdr:row>18</xdr:row>
      <xdr:rowOff>34560</xdr:rowOff>
    </xdr:to>
    <xdr:graphicFrame>
      <xdr:nvGraphicFramePr>
        <xdr:cNvPr id="1" name="Chart 2"/>
        <xdr:cNvGraphicFramePr/>
      </xdr:nvGraphicFramePr>
      <xdr:xfrm>
        <a:off x="8385840" y="57168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131040</xdr:rowOff>
    </xdr:from>
    <xdr:to>
      <xdr:col>3</xdr:col>
      <xdr:colOff>709560</xdr:colOff>
      <xdr:row>42</xdr:row>
      <xdr:rowOff>79560</xdr:rowOff>
    </xdr:to>
    <xdr:graphicFrame>
      <xdr:nvGraphicFramePr>
        <xdr:cNvPr id="2" name="Chart 3"/>
        <xdr:cNvGraphicFramePr/>
      </xdr:nvGraphicFramePr>
      <xdr:xfrm>
        <a:off x="0" y="4000680"/>
        <a:ext cx="6119640" cy="41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20</xdr:row>
      <xdr:rowOff>131040</xdr:rowOff>
    </xdr:from>
    <xdr:to>
      <xdr:col>12</xdr:col>
      <xdr:colOff>168480</xdr:colOff>
      <xdr:row>42</xdr:row>
      <xdr:rowOff>79560</xdr:rowOff>
    </xdr:to>
    <xdr:graphicFrame>
      <xdr:nvGraphicFramePr>
        <xdr:cNvPr id="3" name="Chart 4"/>
        <xdr:cNvGraphicFramePr/>
      </xdr:nvGraphicFramePr>
      <xdr:xfrm>
        <a:off x="8385840" y="4000680"/>
        <a:ext cx="6119640" cy="41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44</xdr:row>
      <xdr:rowOff>131040</xdr:rowOff>
    </xdr:from>
    <xdr:to>
      <xdr:col>3</xdr:col>
      <xdr:colOff>709560</xdr:colOff>
      <xdr:row>60</xdr:row>
      <xdr:rowOff>34560</xdr:rowOff>
    </xdr:to>
    <xdr:graphicFrame>
      <xdr:nvGraphicFramePr>
        <xdr:cNvPr id="4" name="Chart 5"/>
        <xdr:cNvGraphicFramePr/>
      </xdr:nvGraphicFramePr>
      <xdr:xfrm>
        <a:off x="0" y="857268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44</xdr:row>
      <xdr:rowOff>131040</xdr:rowOff>
    </xdr:from>
    <xdr:to>
      <xdr:col>12</xdr:col>
      <xdr:colOff>168480</xdr:colOff>
      <xdr:row>60</xdr:row>
      <xdr:rowOff>34560</xdr:rowOff>
    </xdr:to>
    <xdr:graphicFrame>
      <xdr:nvGraphicFramePr>
        <xdr:cNvPr id="5" name="Chart 6"/>
        <xdr:cNvGraphicFramePr/>
      </xdr:nvGraphicFramePr>
      <xdr:xfrm>
        <a:off x="8385840" y="857268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62</xdr:row>
      <xdr:rowOff>131040</xdr:rowOff>
    </xdr:from>
    <xdr:to>
      <xdr:col>3</xdr:col>
      <xdr:colOff>709560</xdr:colOff>
      <xdr:row>78</xdr:row>
      <xdr:rowOff>34560</xdr:rowOff>
    </xdr:to>
    <xdr:graphicFrame>
      <xdr:nvGraphicFramePr>
        <xdr:cNvPr id="6" name="Chart 7"/>
        <xdr:cNvGraphicFramePr/>
      </xdr:nvGraphicFramePr>
      <xdr:xfrm>
        <a:off x="0" y="1200168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0</xdr:colOff>
      <xdr:row>62</xdr:row>
      <xdr:rowOff>131040</xdr:rowOff>
    </xdr:from>
    <xdr:to>
      <xdr:col>12</xdr:col>
      <xdr:colOff>168480</xdr:colOff>
      <xdr:row>78</xdr:row>
      <xdr:rowOff>34560</xdr:rowOff>
    </xdr:to>
    <xdr:graphicFrame>
      <xdr:nvGraphicFramePr>
        <xdr:cNvPr id="7" name="Chart 8"/>
        <xdr:cNvGraphicFramePr/>
      </xdr:nvGraphicFramePr>
      <xdr:xfrm>
        <a:off x="8385840" y="1200168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31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5" min="2" style="1" width="11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84" customFormat="false" ht="15" hidden="false" customHeight="false" outlineLevel="0" collapsed="false">
      <c r="A84" s="4" t="s">
        <v>2</v>
      </c>
    </row>
    <row r="86" customFormat="false" ht="15" hidden="false" customHeight="false" outlineLevel="0" collapsed="false">
      <c r="A86" s="5" t="s">
        <v>3</v>
      </c>
      <c r="B86" s="6" t="n">
        <v>2008</v>
      </c>
      <c r="C86" s="7" t="n">
        <f aca="false">B86+1</f>
        <v>2009</v>
      </c>
      <c r="D86" s="7" t="n">
        <f aca="false">C86+1</f>
        <v>2010</v>
      </c>
      <c r="E86" s="7" t="n">
        <f aca="false">D86+1</f>
        <v>2011</v>
      </c>
      <c r="F86" s="7" t="n">
        <f aca="false">E86+1</f>
        <v>2012</v>
      </c>
      <c r="G86" s="7" t="n">
        <f aca="false">F86+1</f>
        <v>2013</v>
      </c>
      <c r="H86" s="7" t="n">
        <f aca="false">G86+1</f>
        <v>2014</v>
      </c>
      <c r="I86" s="7" t="n">
        <f aca="false">H86+1</f>
        <v>2015</v>
      </c>
    </row>
    <row r="87" customFormat="false" ht="15" hidden="false" customHeight="false" outlineLevel="0" collapsed="false">
      <c r="A87" s="8" t="s">
        <v>4</v>
      </c>
      <c r="B87" s="9" t="n">
        <f aca="false">SUMIFS('Asset Value'!$F$4:$F$500,'Asset Value'!$B$4:$B$500,B$86)/SUMIFS('Asset Value'!$D$4:$D$500,'Asset Value'!$B$4:$B$500,B$86)</f>
        <v>6546.94252763783</v>
      </c>
      <c r="C87" s="9" t="n">
        <f aca="false">SUMIFS('Asset Value'!$F$4:$F$500,'Asset Value'!$B$4:$B$500,C$86)/SUMIFS('Asset Value'!$D$4:$D$500,'Asset Value'!$B$4:$B$500,C$86)</f>
        <v>6865.21469717486</v>
      </c>
      <c r="D87" s="9" t="n">
        <f aca="false">SUMIFS('Asset Value'!$F$4:$F$500,'Asset Value'!$B$4:$B$500,D$86)/SUMIFS('Asset Value'!$D$4:$D$500,'Asset Value'!$B$4:$B$500,D$86)</f>
        <v>6530.6175809235</v>
      </c>
      <c r="E87" s="9" t="n">
        <f aca="false">SUMIFS('Asset Value'!$F$4:$F$500,'Asset Value'!$B$4:$B$500,E$86)/SUMIFS('Asset Value'!$D$4:$D$500,'Asset Value'!$B$4:$B$500,E$86)</f>
        <v>7875.18273706491</v>
      </c>
      <c r="F87" s="9" t="n">
        <f aca="false">SUMIFS('Asset Value'!$F$4:$F$500,'Asset Value'!$B$4:$B$500,F$86)/SUMIFS('Asset Value'!$D$4:$D$500,'Asset Value'!$B$4:$B$500,F$86)</f>
        <v>7836.63413247418</v>
      </c>
      <c r="G87" s="9" t="n">
        <f aca="false">SUMIFS('Asset Value'!$F$4:$F$500,'Asset Value'!$B$4:$B$500,G$86)/SUMIFS('Asset Value'!$D$4:$D$500,'Asset Value'!$B$4:$B$500,G$86)</f>
        <v>9206.38112128461</v>
      </c>
      <c r="H87" s="9" t="n">
        <f aca="false">SUMIFS('Asset Value'!$F$4:$F$500,'Asset Value'!$B$4:$B$500,H$86)/SUMIFS('Asset Value'!$D$4:$D$500,'Asset Value'!$B$4:$B$500,H$86)</f>
        <v>10488.3760706251</v>
      </c>
      <c r="I87" s="9" t="n">
        <f aca="false">SUMIFS('Asset Value'!$F$4:$F$500,'Asset Value'!$B$4:$B$500,I$86)/SUMIFS('Asset Value'!$D$4:$D$500,'Asset Value'!$B$4:$B$500,I$86)</f>
        <v>11019.2473389955</v>
      </c>
    </row>
    <row r="88" customFormat="false" ht="15" hidden="false" customHeight="false" outlineLevel="0" collapsed="false">
      <c r="A88" s="8" t="s">
        <v>5</v>
      </c>
      <c r="B88" s="9" t="n">
        <f aca="false">SUMIFS('Asset Value'!$I$4:$I$500,'Asset Value'!$B$4:$B$500,B$86)/SUMIFS('Asset Value'!$D$4:$D$500,'Asset Value'!$B$4:$B$500,B$86)</f>
        <v>3882.20026543989</v>
      </c>
      <c r="C88" s="9" t="n">
        <f aca="false">SUMIFS('Asset Value'!$I$4:$I$500,'Asset Value'!$B$4:$B$500,C$86)/SUMIFS('Asset Value'!$D$4:$D$500,'Asset Value'!$B$4:$B$500,C$86)</f>
        <v>3409.42327034905</v>
      </c>
      <c r="D88" s="9" t="n">
        <f aca="false">SUMIFS('Asset Value'!$I$4:$I$500,'Asset Value'!$B$4:$B$500,D$86)/SUMIFS('Asset Value'!$D$4:$D$500,'Asset Value'!$B$4:$B$500,D$86)</f>
        <v>3775.35991497485</v>
      </c>
      <c r="E88" s="9" t="n">
        <f aca="false">SUMIFS('Asset Value'!$I$4:$I$500,'Asset Value'!$B$4:$B$500,E$86)/SUMIFS('Asset Value'!$D$4:$D$500,'Asset Value'!$B$4:$B$500,E$86)</f>
        <v>4890.50657459163</v>
      </c>
      <c r="F88" s="9" t="n">
        <f aca="false">SUMIFS('Asset Value'!$I$4:$I$500,'Asset Value'!$B$4:$B$500,F$86)/SUMIFS('Asset Value'!$D$4:$D$500,'Asset Value'!$B$4:$B$500,F$86)</f>
        <v>3858.89015780686</v>
      </c>
      <c r="G88" s="9" t="n">
        <f aca="false">SUMIFS('Asset Value'!$I$4:$I$500,'Asset Value'!$B$4:$B$500,G$86)/SUMIFS('Asset Value'!$D$4:$D$500,'Asset Value'!$B$4:$B$500,G$86)</f>
        <v>4050.49985537622</v>
      </c>
      <c r="H88" s="9" t="n">
        <f aca="false">SUMIFS('Asset Value'!$I$4:$I$500,'Asset Value'!$B$4:$B$500,H$86)/SUMIFS('Asset Value'!$D$4:$D$500,'Asset Value'!$B$4:$B$500,H$86)</f>
        <v>4626.95256336028</v>
      </c>
      <c r="I88" s="9" t="n">
        <f aca="false">SUMIFS('Asset Value'!$I$4:$I$500,'Asset Value'!$B$4:$B$500,I$86)/SUMIFS('Asset Value'!$D$4:$D$500,'Asset Value'!$B$4:$B$500,I$86)</f>
        <v>3247.25860169607</v>
      </c>
    </row>
    <row r="89" customFormat="false" ht="15" hidden="false" customHeight="false" outlineLevel="0" collapsed="false">
      <c r="A89" s="8" t="s">
        <v>6</v>
      </c>
      <c r="B89" s="9" t="n">
        <f aca="false">SUMIFS(Returns!$E$120:$E$239,Returns!$B$120:$B$239,B$86)/1000</f>
        <v>1096.77</v>
      </c>
      <c r="C89" s="9" t="n">
        <f aca="false">SUMIFS(Returns!$E$120:$E$239,Returns!$B$120:$B$239,C$86)/1000</f>
        <v>1495.69</v>
      </c>
      <c r="D89" s="9" t="n">
        <f aca="false">SUMIFS(Returns!$E$120:$E$239,Returns!$B$120:$B$239,D$86)/1000</f>
        <v>1500.93</v>
      </c>
      <c r="E89" s="9" t="n">
        <f aca="false">SUMIFS(Returns!$E$120:$E$239,Returns!$B$120:$B$239,E$86)/1000</f>
        <v>1756.15</v>
      </c>
      <c r="F89" s="9" t="n">
        <f aca="false">SUMIFS(Returns!$E$120:$E$239,Returns!$B$120:$B$239,F$86)/1000</f>
        <v>2315.6</v>
      </c>
      <c r="G89" s="9" t="n">
        <f aca="false">SUMIFS(Returns!$E$120:$E$239,Returns!$B$120:$B$239,G$86)/1000</f>
        <v>2678.615</v>
      </c>
      <c r="H89" s="9" t="n">
        <f aca="false">SUMIFS(Returns!$E$120:$E$239,Returns!$B$120:$B$239,H$86)/1000</f>
        <v>3188.76</v>
      </c>
      <c r="I89" s="9" t="n">
        <f aca="false">SUMIFS(Returns!$E$120:$E$239,Returns!$B$120:$B$239,I$86)/1000</f>
        <v>3401.84</v>
      </c>
    </row>
    <row r="90" customFormat="false" ht="15" hidden="false" customHeight="false" outlineLevel="0" collapsed="false">
      <c r="A90" s="8" t="s">
        <v>7</v>
      </c>
      <c r="B90" s="9" t="n">
        <f aca="false">SUMIFS(Returns!$E$244:$E$363,Returns!$B$244:$B$363,B$86)/1000</f>
        <v>650.361717267552</v>
      </c>
      <c r="C90" s="9" t="n">
        <f aca="false">SUMIFS(Returns!$E$244:$E$363,Returns!$B$244:$B$363,C$86)/1000</f>
        <v>742.794000794597</v>
      </c>
      <c r="D90" s="9" t="n">
        <f aca="false">SUMIFS(Returns!$E$244:$E$363,Returns!$B$244:$B$363,D$86)/1000</f>
        <v>867.860571968612</v>
      </c>
      <c r="E90" s="9" t="n">
        <f aca="false">SUMIFS(Returns!$E$244:$E$363,Returns!$B$244:$B$363,E$86)/1000</f>
        <v>1090.57318512079</v>
      </c>
      <c r="F90" s="9" t="n">
        <f aca="false">SUMIFS(Returns!$E$244:$E$363,Returns!$B$244:$B$363,F$86)/1000</f>
        <v>1140.2402993894</v>
      </c>
      <c r="G90" s="9" t="n">
        <f aca="false">SUMIFS(Returns!$E$244:$E$363,Returns!$B$244:$B$363,G$86)/1000</f>
        <v>1178.50103392142</v>
      </c>
      <c r="H90" s="9" t="n">
        <f aca="false">SUMIFS(Returns!$E$244:$E$363,Returns!$B$244:$B$363,H$86)/1000</f>
        <v>1406.7231339333</v>
      </c>
      <c r="I90" s="9" t="n">
        <f aca="false">SUMIFS(Returns!$E$244:$E$363,Returns!$B$244:$B$363,I$86)/1000</f>
        <v>1002.48718099841</v>
      </c>
    </row>
    <row r="91" customFormat="false" ht="15" hidden="false" customHeight="false" outlineLevel="0" collapsed="false">
      <c r="A91" s="8" t="s">
        <v>8</v>
      </c>
      <c r="B91" s="10" t="n">
        <f aca="false">COUNTIFS(Returns!$B$120:$B$239,B$86,Returns!$E$120:$E$239,"&gt;0")</f>
        <v>9</v>
      </c>
      <c r="C91" s="10" t="n">
        <f aca="false">COUNTIFS(Returns!$B$120:$B$239,C$86,Returns!$E$120:$E$239,"&gt;0")</f>
        <v>11</v>
      </c>
      <c r="D91" s="10" t="n">
        <f aca="false">COUNTIFS(Returns!$B$120:$B$239,D$86,Returns!$E$120:$E$239,"&gt;0")</f>
        <v>11</v>
      </c>
      <c r="E91" s="10" t="n">
        <f aca="false">COUNTIFS(Returns!$B$120:$B$239,E$86,Returns!$E$120:$E$239,"&gt;0")</f>
        <v>10</v>
      </c>
      <c r="F91" s="10" t="n">
        <f aca="false">COUNTIFS(Returns!$B$120:$B$239,F$86,Returns!$E$120:$E$239,"&gt;0")</f>
        <v>14</v>
      </c>
      <c r="G91" s="10" t="n">
        <f aca="false">COUNTIFS(Returns!$B$120:$B$239,G$86,Returns!$E$120:$E$239,"&gt;0")</f>
        <v>14</v>
      </c>
      <c r="H91" s="10" t="n">
        <f aca="false">COUNTIFS(Returns!$B$120:$B$239,H$86,Returns!$E$120:$E$239,"&gt;0")</f>
        <v>13</v>
      </c>
      <c r="I91" s="10" t="n">
        <f aca="false">COUNTIFS(Returns!$B$120:$B$239,I$86,Returns!$E$120:$E$239,"&gt;0")</f>
        <v>13</v>
      </c>
    </row>
    <row r="92" customFormat="false" ht="15" hidden="false" customHeight="false" outlineLevel="0" collapsed="false">
      <c r="A92" s="8" t="s">
        <v>9</v>
      </c>
      <c r="B92" s="11" t="n">
        <f aca="false">IFERROR(AVERAGEIFS('Asset Value'!$H$4:$H$500,'Asset Value'!$B$4:$B$500,B$86),0)</f>
        <v>1.6864</v>
      </c>
      <c r="C92" s="11" t="n">
        <f aca="false">IFERROR(AVERAGEIFS('Asset Value'!$H$4:$H$500,'Asset Value'!$B$4:$B$500,C$86),0)</f>
        <v>2.0136</v>
      </c>
      <c r="D92" s="11" t="n">
        <f aca="false">IFERROR(AVERAGEIFS('Asset Value'!$H$4:$H$500,'Asset Value'!$B$4:$B$500,D$86),0)</f>
        <v>1.7298</v>
      </c>
      <c r="E92" s="11" t="n">
        <f aca="false">IFERROR(AVERAGEIFS('Asset Value'!$H$4:$H$500,'Asset Value'!$B$4:$B$500,E$86),0)</f>
        <v>1.6103</v>
      </c>
      <c r="F92" s="11" t="n">
        <f aca="false">IFERROR(AVERAGEIFS('Asset Value'!$H$4:$H$500,'Asset Value'!$B$4:$B$500,F$86),0)</f>
        <v>2.0308</v>
      </c>
      <c r="G92" s="11" t="n">
        <f aca="false">IFERROR(AVERAGEIFS('Asset Value'!$H$4:$H$500,'Asset Value'!$B$4:$B$500,G$86),0)</f>
        <v>2.2729</v>
      </c>
      <c r="H92" s="11" t="n">
        <f aca="false">IFERROR(AVERAGEIFS('Asset Value'!$H$4:$H$500,'Asset Value'!$B$4:$B$500,H$86),0)</f>
        <v>2.2668</v>
      </c>
      <c r="I92" s="11" t="n">
        <f aca="false">IFERROR(AVERAGEIFS('Asset Value'!$H$4:$H$500,'Asset Value'!$B$4:$B$500,I$86),0)</f>
        <v>3.3934</v>
      </c>
    </row>
    <row r="93" customFormat="false" ht="15" hidden="false" customHeight="false" outlineLevel="0" collapsed="false">
      <c r="A93" s="8" t="s">
        <v>10</v>
      </c>
      <c r="B93" s="11" t="n">
        <f aca="false">IFERROR(AVERAGEIFS(Rent!$F$3:$F$500,Rent!$C$3:$C$500,B$86),0)</f>
        <v>2.3362</v>
      </c>
      <c r="C93" s="11" t="n">
        <f aca="false">IFERROR(AVERAGEIFS(Rent!$F$3:$F$500,Rent!$C$3:$C$500,C$86),0)</f>
        <v>1.7404</v>
      </c>
      <c r="D93" s="11" t="n">
        <f aca="false">IFERROR(AVERAGEIFS(Rent!$F$3:$F$500,Rent!$C$3:$C$500,D$86),0)</f>
        <v>1.6654</v>
      </c>
      <c r="E93" s="11" t="n">
        <f aca="false">IFERROR(AVERAGEIFS(Rent!$F$3:$F$500,Rent!$C$3:$C$500,E$86),0)</f>
        <v>1.8751</v>
      </c>
      <c r="F93" s="11" t="n">
        <f aca="false">IFERROR(AVERAGEIFS(Rent!$F$3:$F$500,Rent!$C$3:$C$500,F$86),0)</f>
        <v>2.0429</v>
      </c>
      <c r="G93" s="11" t="n">
        <f aca="false">IFERROR(AVERAGEIFS(Rent!$F$3:$F$500,Rent!$C$3:$C$500,G$86),0)</f>
        <v>2.342</v>
      </c>
      <c r="H93" s="11" t="n">
        <f aca="false">IFERROR(AVERAGEIFS(Rent!$F$3:$F$500,Rent!$C$3:$C$500,H$86),0)</f>
        <v>2.6556</v>
      </c>
      <c r="I93" s="11" t="n">
        <f aca="false">IFERROR(AVERAGEIFS(Rent!$F$3:$F$500,Rent!$C$3:$C$500,I$86),0)</f>
        <v>3.9042</v>
      </c>
    </row>
    <row r="95" customFormat="false" ht="15" hidden="false" customHeight="false" outlineLevel="0" collapsed="false">
      <c r="A95" s="4" t="s">
        <v>11</v>
      </c>
    </row>
    <row r="96" customFormat="false" ht="30" hidden="false" customHeight="true" outlineLevel="0" collapsed="false">
      <c r="A96" s="12" t="s">
        <v>12</v>
      </c>
      <c r="B96" s="12" t="n">
        <f aca="false">B86</f>
        <v>2008</v>
      </c>
      <c r="C96" s="12" t="n">
        <f aca="false">C86</f>
        <v>2009</v>
      </c>
      <c r="D96" s="12" t="n">
        <f aca="false">D86</f>
        <v>2010</v>
      </c>
      <c r="E96" s="12" t="n">
        <f aca="false">E86</f>
        <v>2011</v>
      </c>
      <c r="F96" s="12" t="n">
        <f aca="false">F86</f>
        <v>2012</v>
      </c>
      <c r="G96" s="12" t="n">
        <f aca="false">G86</f>
        <v>2013</v>
      </c>
      <c r="H96" s="12" t="n">
        <f aca="false">H86</f>
        <v>2014</v>
      </c>
      <c r="I96" s="12" t="n">
        <f aca="false">I86</f>
        <v>2015</v>
      </c>
      <c r="J96" s="12" t="s">
        <v>13</v>
      </c>
      <c r="K96" s="12" t="s">
        <v>14</v>
      </c>
      <c r="L96" s="12" t="s">
        <v>15</v>
      </c>
      <c r="M96" s="12" t="s">
        <v>16</v>
      </c>
      <c r="N96" s="12" t="s">
        <v>17</v>
      </c>
      <c r="O96" s="12" t="s">
        <v>18</v>
      </c>
    </row>
    <row r="97" customFormat="false" ht="15" hidden="false" customHeight="false" outlineLevel="0" collapsed="false">
      <c r="A97" s="8" t="s">
        <v>19</v>
      </c>
      <c r="B97" s="9" t="n">
        <f aca="false">IFERROR(SUMIFS('Asset Value'!$F$4:$F$500,'Asset Value'!$C$4:$C$500,$A97,'Asset Value'!$B$4:$B$500,B$96)/SUMIFS('Asset Value'!$D$4:$D$500,'Asset Value'!$C$4:$C$500,$A97,'Asset Value'!$B$4:$B$500,B$96),0)</f>
        <v>8401.1934011934</v>
      </c>
      <c r="C97" s="9" t="n">
        <f aca="false">IFERROR(SUMIFS('Asset Value'!$F$4:$F$500,'Asset Value'!$C$4:$C$500,$A97,'Asset Value'!$B$4:$B$500,C$96)/SUMIFS('Asset Value'!$D$4:$D$500,'Asset Value'!$C$4:$C$500,$A97,'Asset Value'!$B$4:$B$500,C$96),0)</f>
        <v>9255.87925587926</v>
      </c>
      <c r="D97" s="9" t="n">
        <f aca="false">IFERROR(SUMIFS('Asset Value'!$F$4:$F$500,'Asset Value'!$C$4:$C$500,$A97,'Asset Value'!$B$4:$B$500,D$96)/SUMIFS('Asset Value'!$D$4:$D$500,'Asset Value'!$C$4:$C$500,$A97,'Asset Value'!$B$4:$B$500,D$96),0)</f>
        <v>9608.04960804961</v>
      </c>
      <c r="E97" s="9" t="n">
        <f aca="false">IFERROR(SUMIFS('Asset Value'!$F$4:$F$500,'Asset Value'!$C$4:$C$500,$A97,'Asset Value'!$B$4:$B$500,E$96)/SUMIFS('Asset Value'!$D$4:$D$500,'Asset Value'!$C$4:$C$500,$A97,'Asset Value'!$B$4:$B$500,E$96),0)</f>
        <v>10504.8555048555</v>
      </c>
      <c r="F97" s="9" t="n">
        <f aca="false">IFERROR(SUMIFS('Asset Value'!$F$4:$F$500,'Asset Value'!$C$4:$C$500,$A97,'Asset Value'!$B$4:$B$500,F$96)/SUMIFS('Asset Value'!$D$4:$D$500,'Asset Value'!$C$4:$C$500,$A97,'Asset Value'!$B$4:$B$500,F$96),0)</f>
        <v>12403.2211676733</v>
      </c>
      <c r="G97" s="9" t="n">
        <f aca="false">IFERROR(SUMIFS('Asset Value'!$F$4:$F$500,'Asset Value'!$C$4:$C$500,$A97,'Asset Value'!$B$4:$B$500,G$96)/SUMIFS('Asset Value'!$D$4:$D$500,'Asset Value'!$C$4:$C$500,$A97,'Asset Value'!$B$4:$B$500,G$96),0)</f>
        <v>12904.3428242738</v>
      </c>
      <c r="H97" s="9" t="n">
        <f aca="false">IFERROR(SUMIFS('Asset Value'!$F$4:$F$500,'Asset Value'!$C$4:$C$500,$A97,'Asset Value'!$B$4:$B$500,H$96)/SUMIFS('Asset Value'!$D$4:$D$500,'Asset Value'!$C$4:$C$500,$A97,'Asset Value'!$B$4:$B$500,H$96),0)</f>
        <v>15526.0857060685</v>
      </c>
      <c r="I97" s="9" t="n">
        <f aca="false">IFERROR(SUMIFS('Asset Value'!$F$4:$F$500,'Asset Value'!$C$4:$C$500,$A97,'Asset Value'!$B$4:$B$500,I$96)/SUMIFS('Asset Value'!$D$4:$D$500,'Asset Value'!$C$4:$C$500,$A97,'Asset Value'!$B$4:$B$500,I$96),0)</f>
        <v>15994.0620189136</v>
      </c>
      <c r="J97" s="10" t="n">
        <f aca="false">_xlfn.MINIFS($B$86:$I$86,$B97:$I97,"&gt;0")</f>
        <v>2008</v>
      </c>
      <c r="K97" s="10" t="n">
        <f aca="false">_xlfn.MAXIFS($B$86:$I$86,$B97:$I97,"&gt;0")</f>
        <v>2015</v>
      </c>
      <c r="L97" s="9" t="n">
        <f aca="false">INDEX($B97:$I97,MATCH(J97,$B$86:$I$86,0))</f>
        <v>8401.1934011934</v>
      </c>
      <c r="M97" s="9" t="n">
        <f aca="false">INDEX($B97:$I97,MATCH(K97,$B$86:$I$86,0))</f>
        <v>15994.0620189136</v>
      </c>
      <c r="N97" s="13" t="n">
        <f aca="false">M97/L97-1</f>
        <v>0.903784528593473</v>
      </c>
      <c r="O97" s="13" t="n">
        <f aca="false">IF(K97&gt;J97,(M97/L97)^(1/(K97-J97))-1,"")</f>
        <v>0.0963403518371628</v>
      </c>
    </row>
    <row r="98" customFormat="false" ht="15" hidden="false" customHeight="false" outlineLevel="0" collapsed="false">
      <c r="A98" s="8" t="s">
        <v>20</v>
      </c>
      <c r="B98" s="9" t="n">
        <f aca="false">IFERROR(SUMIFS('Asset Value'!$F$4:$F$500,'Asset Value'!$C$4:$C$500,$A98,'Asset Value'!$B$4:$B$500,B$96)/SUMIFS('Asset Value'!$D$4:$D$500,'Asset Value'!$C$4:$C$500,$A98,'Asset Value'!$B$4:$B$500,B$96),0)</f>
        <v>11876.6081536966</v>
      </c>
      <c r="C98" s="9" t="n">
        <f aca="false">IFERROR(SUMIFS('Asset Value'!$F$4:$F$500,'Asset Value'!$C$4:$C$500,$A98,'Asset Value'!$B$4:$B$500,C$96)/SUMIFS('Asset Value'!$D$4:$D$500,'Asset Value'!$C$4:$C$500,$A98,'Asset Value'!$B$4:$B$500,C$96),0)</f>
        <v>13426.1535822517</v>
      </c>
      <c r="D98" s="9" t="n">
        <f aca="false">IFERROR(SUMIFS('Asset Value'!$F$4:$F$500,'Asset Value'!$C$4:$C$500,$A98,'Asset Value'!$B$4:$B$500,D$96)/SUMIFS('Asset Value'!$D$4:$D$500,'Asset Value'!$C$4:$C$500,$A98,'Asset Value'!$B$4:$B$500,D$96),0)</f>
        <v>13825.6146369354</v>
      </c>
      <c r="E98" s="9" t="n">
        <f aca="false">IFERROR(SUMIFS('Asset Value'!$F$4:$F$500,'Asset Value'!$C$4:$C$500,$A98,'Asset Value'!$B$4:$B$500,E$96)/SUMIFS('Asset Value'!$D$4:$D$500,'Asset Value'!$C$4:$C$500,$A98,'Asset Value'!$B$4:$B$500,E$96),0)</f>
        <v>15709.1242759649</v>
      </c>
      <c r="F98" s="9" t="n">
        <f aca="false">IFERROR(SUMIFS('Asset Value'!$F$4:$F$500,'Asset Value'!$C$4:$C$500,$A98,'Asset Value'!$B$4:$B$500,F$96)/SUMIFS('Asset Value'!$D$4:$D$500,'Asset Value'!$C$4:$C$500,$A98,'Asset Value'!$B$4:$B$500,F$96),0)</f>
        <v>18485.9780925618</v>
      </c>
      <c r="G98" s="9" t="n">
        <f aca="false">IFERROR(SUMIFS('Asset Value'!$F$4:$F$500,'Asset Value'!$C$4:$C$500,$A98,'Asset Value'!$B$4:$B$500,G$96)/SUMIFS('Asset Value'!$D$4:$D$500,'Asset Value'!$C$4:$C$500,$A98,'Asset Value'!$B$4:$B$500,G$96),0)</f>
        <v>19023.4558697024</v>
      </c>
      <c r="H98" s="9" t="n">
        <f aca="false">IFERROR(SUMIFS('Asset Value'!$F$4:$F$500,'Asset Value'!$C$4:$C$500,$A98,'Asset Value'!$B$4:$B$500,H$96)/SUMIFS('Asset Value'!$D$4:$D$500,'Asset Value'!$C$4:$C$500,$A98,'Asset Value'!$B$4:$B$500,H$96),0)</f>
        <v>25994.0356712737</v>
      </c>
      <c r="I98" s="9" t="n">
        <f aca="false">IFERROR(SUMIFS('Asset Value'!$F$4:$F$500,'Asset Value'!$C$4:$C$500,$A98,'Asset Value'!$B$4:$B$500,I$96)/SUMIFS('Asset Value'!$D$4:$D$500,'Asset Value'!$C$4:$C$500,$A98,'Asset Value'!$B$4:$B$500,I$96),0)</f>
        <v>27157.7679646728</v>
      </c>
      <c r="J98" s="10" t="n">
        <f aca="false">_xlfn.MINIFS($B$86:$I$86,$B98:$I98,"&gt;0")</f>
        <v>2008</v>
      </c>
      <c r="K98" s="10" t="n">
        <f aca="false">_xlfn.MAXIFS($B$86:$I$86,$B98:$I98,"&gt;0")</f>
        <v>2015</v>
      </c>
      <c r="L98" s="9" t="n">
        <f aca="false">INDEX($B98:$I98,MATCH(J98,$B$86:$I$86,0))</f>
        <v>11876.6081536966</v>
      </c>
      <c r="M98" s="9" t="n">
        <f aca="false">INDEX($B98:$I98,MATCH(K98,$B$86:$I$86,0))</f>
        <v>27157.7679646728</v>
      </c>
      <c r="N98" s="13" t="n">
        <f aca="false">M98/L98-1</f>
        <v>1.28666026640105</v>
      </c>
      <c r="O98" s="13" t="n">
        <f aca="false">IF(K98&gt;J98,(M98/L98)^(1/(K98-J98))-1,"")</f>
        <v>0.125419720074096</v>
      </c>
    </row>
    <row r="99" customFormat="false" ht="15" hidden="false" customHeight="false" outlineLevel="0" collapsed="false">
      <c r="A99" s="8" t="s">
        <v>21</v>
      </c>
      <c r="B99" s="9" t="n">
        <f aca="false">IFERROR(SUMIFS('Asset Value'!$F$4:$F$500,'Asset Value'!$C$4:$C$500,$A99,'Asset Value'!$B$4:$B$500,B$96)/SUMIFS('Asset Value'!$D$4:$D$500,'Asset Value'!$C$4:$C$500,$A99,'Asset Value'!$B$4:$B$500,B$96),0)</f>
        <v>5857.80017528484</v>
      </c>
      <c r="C99" s="9" t="n">
        <f aca="false">IFERROR(SUMIFS('Asset Value'!$F$4:$F$500,'Asset Value'!$C$4:$C$500,$A99,'Asset Value'!$B$4:$B$500,C$96)/SUMIFS('Asset Value'!$D$4:$D$500,'Asset Value'!$C$4:$C$500,$A99,'Asset Value'!$B$4:$B$500,C$96),0)</f>
        <v>6465.819456617</v>
      </c>
      <c r="D99" s="9" t="n">
        <f aca="false">IFERROR(SUMIFS('Asset Value'!$F$4:$F$500,'Asset Value'!$C$4:$C$500,$A99,'Asset Value'!$B$4:$B$500,D$96)/SUMIFS('Asset Value'!$D$4:$D$500,'Asset Value'!$C$4:$C$500,$A99,'Asset Value'!$B$4:$B$500,D$96),0)</f>
        <v>6239.08368806776</v>
      </c>
      <c r="E99" s="9" t="n">
        <f aca="false">IFERROR(SUMIFS('Asset Value'!$F$4:$F$500,'Asset Value'!$C$4:$C$500,$A99,'Asset Value'!$B$4:$B$500,E$96)/SUMIFS('Asset Value'!$D$4:$D$500,'Asset Value'!$C$4:$C$500,$A99,'Asset Value'!$B$4:$B$500,E$96),0)</f>
        <v>7590.73155746698</v>
      </c>
      <c r="F99" s="9" t="n">
        <f aca="false">IFERROR(SUMIFS('Asset Value'!$F$4:$F$500,'Asset Value'!$C$4:$C$500,$A99,'Asset Value'!$B$4:$B$500,F$96)/SUMIFS('Asset Value'!$D$4:$D$500,'Asset Value'!$C$4:$C$500,$A99,'Asset Value'!$B$4:$B$500,F$96),0)</f>
        <v>8466.06645230439</v>
      </c>
      <c r="G99" s="9" t="n">
        <f aca="false">IFERROR(SUMIFS('Asset Value'!$F$4:$F$500,'Asset Value'!$C$4:$C$500,$A99,'Asset Value'!$B$4:$B$500,G$96)/SUMIFS('Asset Value'!$D$4:$D$500,'Asset Value'!$C$4:$C$500,$A99,'Asset Value'!$B$4:$B$500,G$96),0)</f>
        <v>9440.64308681672</v>
      </c>
      <c r="H99" s="9" t="n">
        <f aca="false">IFERROR(SUMIFS('Asset Value'!$F$4:$F$500,'Asset Value'!$C$4:$C$500,$A99,'Asset Value'!$B$4:$B$500,H$96)/SUMIFS('Asset Value'!$D$4:$D$500,'Asset Value'!$C$4:$C$500,$A99,'Asset Value'!$B$4:$B$500,H$96),0)</f>
        <v>9846.68810289389</v>
      </c>
      <c r="I99" s="9" t="n">
        <f aca="false">IFERROR(SUMIFS('Asset Value'!$F$4:$F$500,'Asset Value'!$C$4:$C$500,$A99,'Asset Value'!$B$4:$B$500,I$96)/SUMIFS('Asset Value'!$D$4:$D$500,'Asset Value'!$C$4:$C$500,$A99,'Asset Value'!$B$4:$B$500,I$96),0)</f>
        <v>10055.3030952585</v>
      </c>
      <c r="J99" s="10" t="n">
        <f aca="false">_xlfn.MINIFS($B$86:$I$86,$B99:$I99,"&gt;0")</f>
        <v>2008</v>
      </c>
      <c r="K99" s="10" t="n">
        <f aca="false">_xlfn.MAXIFS($B$86:$I$86,$B99:$I99,"&gt;0")</f>
        <v>2015</v>
      </c>
      <c r="L99" s="9" t="n">
        <f aca="false">INDEX($B99:$I99,MATCH(J99,$B$86:$I$86,0))</f>
        <v>5857.80017528484</v>
      </c>
      <c r="M99" s="9" t="n">
        <f aca="false">INDEX($B99:$I99,MATCH(K99,$B$86:$I$86,0))</f>
        <v>10055.3030952585</v>
      </c>
      <c r="N99" s="13" t="n">
        <f aca="false">M99/L99-1</f>
        <v>0.716566423293804</v>
      </c>
      <c r="O99" s="13" t="n">
        <f aca="false">IF(K99&gt;J99,(M99/L99)^(1/(K99-J99))-1,"")</f>
        <v>0.0802466912449047</v>
      </c>
    </row>
    <row r="100" customFormat="false" ht="15" hidden="false" customHeight="false" outlineLevel="0" collapsed="false">
      <c r="A100" s="8" t="s">
        <v>22</v>
      </c>
      <c r="B100" s="9" t="n">
        <f aca="false">IFERROR(SUMIFS('Asset Value'!$F$4:$F$500,'Asset Value'!$C$4:$C$500,$A100,'Asset Value'!$B$4:$B$500,B$96)/SUMIFS('Asset Value'!$D$4:$D$500,'Asset Value'!$C$4:$C$500,$A100,'Asset Value'!$B$4:$B$500,B$96),0)</f>
        <v>8144.25162689805</v>
      </c>
      <c r="C100" s="9" t="n">
        <f aca="false">IFERROR(SUMIFS('Asset Value'!$F$4:$F$500,'Asset Value'!$C$4:$C$500,$A100,'Asset Value'!$B$4:$B$500,C$96)/SUMIFS('Asset Value'!$D$4:$D$500,'Asset Value'!$C$4:$C$500,$A100,'Asset Value'!$B$4:$B$500,C$96),0)</f>
        <v>9366.59436008677</v>
      </c>
      <c r="D100" s="9" t="n">
        <f aca="false">IFERROR(SUMIFS('Asset Value'!$F$4:$F$500,'Asset Value'!$C$4:$C$500,$A100,'Asset Value'!$B$4:$B$500,D$96)/SUMIFS('Asset Value'!$D$4:$D$500,'Asset Value'!$C$4:$C$500,$A100,'Asset Value'!$B$4:$B$500,D$96),0)</f>
        <v>9910.35280508965</v>
      </c>
      <c r="E100" s="9" t="n">
        <f aca="false">IFERROR(SUMIFS('Asset Value'!$F$4:$F$500,'Asset Value'!$C$4:$C$500,$A100,'Asset Value'!$B$4:$B$500,E$96)/SUMIFS('Asset Value'!$D$4:$D$500,'Asset Value'!$C$4:$C$500,$A100,'Asset Value'!$B$4:$B$500,E$96),0)</f>
        <v>11301.0321984286</v>
      </c>
      <c r="F100" s="9" t="n">
        <f aca="false">IFERROR(SUMIFS('Asset Value'!$F$4:$F$500,'Asset Value'!$C$4:$C$500,$A100,'Asset Value'!$B$4:$B$500,F$96)/SUMIFS('Asset Value'!$D$4:$D$500,'Asset Value'!$C$4:$C$500,$A100,'Asset Value'!$B$4:$B$500,F$96),0)</f>
        <v>12899.1758453362</v>
      </c>
      <c r="G100" s="9" t="n">
        <f aca="false">IFERROR(SUMIFS('Asset Value'!$F$4:$F$500,'Asset Value'!$C$4:$C$500,$A100,'Asset Value'!$B$4:$B$500,G$96)/SUMIFS('Asset Value'!$D$4:$D$500,'Asset Value'!$C$4:$C$500,$A100,'Asset Value'!$B$4:$B$500,G$96),0)</f>
        <v>14021.2068633121</v>
      </c>
      <c r="H100" s="9" t="n">
        <f aca="false">IFERROR(SUMIFS('Asset Value'!$F$4:$F$500,'Asset Value'!$C$4:$C$500,$A100,'Asset Value'!$B$4:$B$500,H$96)/SUMIFS('Asset Value'!$D$4:$D$500,'Asset Value'!$C$4:$C$500,$A100,'Asset Value'!$B$4:$B$500,H$96),0)</f>
        <v>15071.3321765953</v>
      </c>
      <c r="I100" s="9" t="n">
        <f aca="false">IFERROR(SUMIFS('Asset Value'!$F$4:$F$500,'Asset Value'!$C$4:$C$500,$A100,'Asset Value'!$B$4:$B$500,I$96)/SUMIFS('Asset Value'!$D$4:$D$500,'Asset Value'!$C$4:$C$500,$A100,'Asset Value'!$B$4:$B$500,I$96),0)</f>
        <v>16042.9920956237</v>
      </c>
      <c r="J100" s="10" t="n">
        <f aca="false">_xlfn.MINIFS($B$86:$I$86,$B100:$I100,"&gt;0")</f>
        <v>2008</v>
      </c>
      <c r="K100" s="10" t="n">
        <f aca="false">_xlfn.MAXIFS($B$86:$I$86,$B100:$I100,"&gt;0")</f>
        <v>2015</v>
      </c>
      <c r="L100" s="9" t="n">
        <f aca="false">INDEX($B100:$I100,MATCH(J100,$B$86:$I$86,0))</f>
        <v>8144.25162689805</v>
      </c>
      <c r="M100" s="9" t="n">
        <f aca="false">INDEX($B100:$I100,MATCH(K100,$B$86:$I$86,0))</f>
        <v>16042.9920956237</v>
      </c>
      <c r="N100" s="13" t="n">
        <f aca="false">M100/L100-1</f>
        <v>0.969854669352114</v>
      </c>
      <c r="O100" s="13" t="n">
        <f aca="false">IF(K100&gt;J100,(M100/L100)^(1/(K100-J100))-1,"")</f>
        <v>0.101696644318031</v>
      </c>
    </row>
    <row r="101" customFormat="false" ht="15" hidden="false" customHeight="false" outlineLevel="0" collapsed="false">
      <c r="A101" s="8" t="s">
        <v>23</v>
      </c>
      <c r="B101" s="9" t="n">
        <f aca="false">IFERROR(SUMIFS('Asset Value'!$F$4:$F$500,'Asset Value'!$C$4:$C$500,$A101,'Asset Value'!$B$4:$B$500,B$96)/SUMIFS('Asset Value'!$D$4:$D$500,'Asset Value'!$C$4:$C$500,$A101,'Asset Value'!$B$4:$B$500,B$96),0)</f>
        <v>2356.61147108231</v>
      </c>
      <c r="C101" s="9" t="n">
        <f aca="false">IFERROR(SUMIFS('Asset Value'!$F$4:$F$500,'Asset Value'!$C$4:$C$500,$A101,'Asset Value'!$B$4:$B$500,C$96)/SUMIFS('Asset Value'!$D$4:$D$500,'Asset Value'!$C$4:$C$500,$A101,'Asset Value'!$B$4:$B$500,C$96),0)</f>
        <v>3793.2965362771</v>
      </c>
      <c r="D101" s="9" t="n">
        <f aca="false">IFERROR(SUMIFS('Asset Value'!$F$4:$F$500,'Asset Value'!$C$4:$C$500,$A101,'Asset Value'!$B$4:$B$500,D$96)/SUMIFS('Asset Value'!$D$4:$D$500,'Asset Value'!$C$4:$C$500,$A101,'Asset Value'!$B$4:$B$500,D$96),0)</f>
        <v>3226.58252810097</v>
      </c>
      <c r="E101" s="9" t="n">
        <f aca="false">IFERROR(SUMIFS('Asset Value'!$F$4:$F$500,'Asset Value'!$C$4:$C$500,$A101,'Asset Value'!$B$4:$B$500,E$96)/SUMIFS('Asset Value'!$D$4:$D$500,'Asset Value'!$C$4:$C$500,$A101,'Asset Value'!$B$4:$B$500,E$96),0)</f>
        <v>4615.26326168409</v>
      </c>
      <c r="F101" s="9" t="n">
        <f aca="false">IFERROR(SUMIFS('Asset Value'!$F$4:$F$500,'Asset Value'!$C$4:$C$500,$A101,'Asset Value'!$B$4:$B$500,F$96)/SUMIFS('Asset Value'!$D$4:$D$500,'Asset Value'!$C$4:$C$500,$A101,'Asset Value'!$B$4:$B$500,F$96),0)</f>
        <v>5268.50719779136</v>
      </c>
      <c r="G101" s="9" t="n">
        <f aca="false">IFERROR(SUMIFS('Asset Value'!$F$4:$F$500,'Asset Value'!$C$4:$C$500,$A101,'Asset Value'!$B$4:$B$500,G$96)/SUMIFS('Asset Value'!$D$4:$D$500,'Asset Value'!$C$4:$C$500,$A101,'Asset Value'!$B$4:$B$500,G$96),0)</f>
        <v>6957.36541116151</v>
      </c>
      <c r="H101" s="9" t="n">
        <f aca="false">IFERROR(SUMIFS('Asset Value'!$F$4:$F$500,'Asset Value'!$C$4:$C$500,$A101,'Asset Value'!$B$4:$B$500,H$96)/SUMIFS('Asset Value'!$D$4:$D$500,'Asset Value'!$C$4:$C$500,$A101,'Asset Value'!$B$4:$B$500,H$96),0)</f>
        <v>7817.39301912838</v>
      </c>
      <c r="I101" s="9" t="n">
        <f aca="false">IFERROR(SUMIFS('Asset Value'!$F$4:$F$500,'Asset Value'!$C$4:$C$500,$A101,'Asset Value'!$B$4:$B$500,I$96)/SUMIFS('Asset Value'!$D$4:$D$500,'Asset Value'!$C$4:$C$500,$A101,'Asset Value'!$B$4:$B$500,I$96),0)</f>
        <v>8789.24120523742</v>
      </c>
      <c r="J101" s="10" t="n">
        <f aca="false">_xlfn.MINIFS($B$86:$I$86,$B101:$I101,"&gt;0")</f>
        <v>2008</v>
      </c>
      <c r="K101" s="10" t="n">
        <f aca="false">_xlfn.MAXIFS($B$86:$I$86,$B101:$I101,"&gt;0")</f>
        <v>2015</v>
      </c>
      <c r="L101" s="9" t="n">
        <f aca="false">INDEX($B101:$I101,MATCH(J101,$B$86:$I$86,0))</f>
        <v>2356.61147108231</v>
      </c>
      <c r="M101" s="9" t="n">
        <f aca="false">INDEX($B101:$I101,MATCH(K101,$B$86:$I$86,0))</f>
        <v>8789.24120523742</v>
      </c>
      <c r="N101" s="13" t="n">
        <f aca="false">M101/L101-1</f>
        <v>2.72960978637722</v>
      </c>
      <c r="O101" s="13" t="n">
        <f aca="false">IF(K101&gt;J101,(M101/L101)^(1/(K101-J101))-1,"")</f>
        <v>0.206885860866377</v>
      </c>
    </row>
    <row r="102" customFormat="false" ht="15" hidden="false" customHeight="false" outlineLevel="0" collapsed="false">
      <c r="A102" s="8" t="s">
        <v>24</v>
      </c>
      <c r="B102" s="9" t="n">
        <f aca="false">IFERROR(SUMIFS('Asset Value'!$F$4:$F$500,'Asset Value'!$C$4:$C$500,$A102,'Asset Value'!$B$4:$B$500,B$96)/SUMIFS('Asset Value'!$D$4:$D$500,'Asset Value'!$C$4:$C$500,$A102,'Asset Value'!$B$4:$B$500,B$96),0)</f>
        <v>0</v>
      </c>
      <c r="C102" s="9" t="n">
        <f aca="false">IFERROR(SUMIFS('Asset Value'!$F$4:$F$500,'Asset Value'!$C$4:$C$500,$A102,'Asset Value'!$B$4:$B$500,C$96)/SUMIFS('Asset Value'!$D$4:$D$500,'Asset Value'!$C$4:$C$500,$A102,'Asset Value'!$B$4:$B$500,C$96),0)</f>
        <v>4314.39393939394</v>
      </c>
      <c r="D102" s="9" t="n">
        <f aca="false">IFERROR(SUMIFS('Asset Value'!$F$4:$F$500,'Asset Value'!$C$4:$C$500,$A102,'Asset Value'!$B$4:$B$500,D$96)/SUMIFS('Asset Value'!$D$4:$D$500,'Asset Value'!$C$4:$C$500,$A102,'Asset Value'!$B$4:$B$500,D$96),0)</f>
        <v>4078.90102148644</v>
      </c>
      <c r="E102" s="9" t="n">
        <f aca="false">IFERROR(SUMIFS('Asset Value'!$F$4:$F$500,'Asset Value'!$C$4:$C$500,$A102,'Asset Value'!$B$4:$B$500,E$96)/SUMIFS('Asset Value'!$D$4:$D$500,'Asset Value'!$C$4:$C$500,$A102,'Asset Value'!$B$4:$B$500,E$96),0)</f>
        <v>4955.74699079537</v>
      </c>
      <c r="F102" s="9" t="n">
        <f aca="false">IFERROR(SUMIFS('Asset Value'!$F$4:$F$500,'Asset Value'!$C$4:$C$500,$A102,'Asset Value'!$B$4:$B$500,F$96)/SUMIFS('Asset Value'!$D$4:$D$500,'Asset Value'!$C$4:$C$500,$A102,'Asset Value'!$B$4:$B$500,F$96),0)</f>
        <v>6033.75029502006</v>
      </c>
      <c r="G102" s="9" t="n">
        <f aca="false">IFERROR(SUMIFS('Asset Value'!$F$4:$F$500,'Asset Value'!$C$4:$C$500,$A102,'Asset Value'!$B$4:$B$500,G$96)/SUMIFS('Asset Value'!$D$4:$D$500,'Asset Value'!$C$4:$C$500,$A102,'Asset Value'!$B$4:$B$500,G$96),0)</f>
        <v>10218.6098654709</v>
      </c>
      <c r="H102" s="9" t="n">
        <f aca="false">IFERROR(SUMIFS('Asset Value'!$F$4:$F$500,'Asset Value'!$C$4:$C$500,$A102,'Asset Value'!$B$4:$B$500,H$96)/SUMIFS('Asset Value'!$D$4:$D$500,'Asset Value'!$C$4:$C$500,$A102,'Asset Value'!$B$4:$B$500,H$96),0)</f>
        <v>11324.5917862444</v>
      </c>
      <c r="I102" s="9" t="n">
        <f aca="false">IFERROR(SUMIFS('Asset Value'!$F$4:$F$500,'Asset Value'!$C$4:$C$500,$A102,'Asset Value'!$B$4:$B$500,I$96)/SUMIFS('Asset Value'!$D$4:$D$500,'Asset Value'!$C$4:$C$500,$A102,'Asset Value'!$B$4:$B$500,I$96),0)</f>
        <v>11603.8844559906</v>
      </c>
      <c r="J102" s="10" t="n">
        <f aca="false">_xlfn.MINIFS($B$86:$I$86,$B102:$I102,"&gt;0")</f>
        <v>2009</v>
      </c>
      <c r="K102" s="10" t="n">
        <f aca="false">_xlfn.MAXIFS($B$86:$I$86,$B102:$I102,"&gt;0")</f>
        <v>2015</v>
      </c>
      <c r="L102" s="9" t="n">
        <f aca="false">INDEX($B102:$I102,MATCH(J102,$B$86:$I$86,0))</f>
        <v>4314.39393939394</v>
      </c>
      <c r="M102" s="9" t="n">
        <f aca="false">INDEX($B102:$I102,MATCH(K102,$B$86:$I$86,0))</f>
        <v>11603.8844559906</v>
      </c>
      <c r="N102" s="13" t="n">
        <f aca="false">M102/L102-1</f>
        <v>1.68957462368878</v>
      </c>
      <c r="O102" s="13" t="n">
        <f aca="false">IF(K102&gt;J102,(M102/L102)^(1/(K102-J102))-1,"")</f>
        <v>0.179271853583611</v>
      </c>
    </row>
    <row r="103" customFormat="false" ht="15" hidden="false" customHeight="false" outlineLevel="0" collapsed="false">
      <c r="A103" s="8" t="s">
        <v>25</v>
      </c>
      <c r="B103" s="9" t="n">
        <f aca="false">IFERROR(SUMIFS('Asset Value'!$F$4:$F$500,'Asset Value'!$C$4:$C$500,$A103,'Asset Value'!$B$4:$B$500,B$96)/SUMIFS('Asset Value'!$D$4:$D$500,'Asset Value'!$C$4:$C$500,$A103,'Asset Value'!$B$4:$B$500,B$96),0)</f>
        <v>6005.98067781015</v>
      </c>
      <c r="C103" s="9" t="n">
        <f aca="false">IFERROR(SUMIFS('Asset Value'!$F$4:$F$500,'Asset Value'!$C$4:$C$500,$A103,'Asset Value'!$B$4:$B$500,C$96)/SUMIFS('Asset Value'!$D$4:$D$500,'Asset Value'!$C$4:$C$500,$A103,'Asset Value'!$B$4:$B$500,C$96),0)</f>
        <v>6134.97840108882</v>
      </c>
      <c r="D103" s="9" t="n">
        <f aca="false">IFERROR(SUMIFS('Asset Value'!$F$4:$F$500,'Asset Value'!$C$4:$C$500,$A103,'Asset Value'!$B$4:$B$500,D$96)/SUMIFS('Asset Value'!$D$4:$D$500,'Asset Value'!$C$4:$C$500,$A103,'Asset Value'!$B$4:$B$500,D$96),0)</f>
        <v>5924.2900337938</v>
      </c>
      <c r="E103" s="9" t="n">
        <f aca="false">IFERROR(SUMIFS('Asset Value'!$F$4:$F$500,'Asset Value'!$C$4:$C$500,$A103,'Asset Value'!$B$4:$B$500,E$96)/SUMIFS('Asset Value'!$D$4:$D$500,'Asset Value'!$C$4:$C$500,$A103,'Asset Value'!$B$4:$B$500,E$96),0)</f>
        <v>6597.79450998992</v>
      </c>
      <c r="F103" s="9" t="n">
        <f aca="false">IFERROR(SUMIFS('Asset Value'!$F$4:$F$500,'Asset Value'!$C$4:$C$500,$A103,'Asset Value'!$B$4:$B$500,F$96)/SUMIFS('Asset Value'!$D$4:$D$500,'Asset Value'!$C$4:$C$500,$A103,'Asset Value'!$B$4:$B$500,F$96),0)</f>
        <v>7770.79504357621</v>
      </c>
      <c r="G103" s="9" t="n">
        <f aca="false">IFERROR(SUMIFS('Asset Value'!$F$4:$F$500,'Asset Value'!$C$4:$C$500,$A103,'Asset Value'!$B$4:$B$500,G$96)/SUMIFS('Asset Value'!$D$4:$D$500,'Asset Value'!$C$4:$C$500,$A103,'Asset Value'!$B$4:$B$500,G$96),0)</f>
        <v>9304.77177158876</v>
      </c>
      <c r="H103" s="9" t="n">
        <f aca="false">IFERROR(SUMIFS('Asset Value'!$F$4:$F$500,'Asset Value'!$C$4:$C$500,$A103,'Asset Value'!$B$4:$B$500,H$96)/SUMIFS('Asset Value'!$D$4:$D$500,'Asset Value'!$C$4:$C$500,$A103,'Asset Value'!$B$4:$B$500,H$96),0)</f>
        <v>8305.16993776927</v>
      </c>
      <c r="I103" s="9" t="n">
        <f aca="false">IFERROR(SUMIFS('Asset Value'!$F$4:$F$500,'Asset Value'!$C$4:$C$500,$A103,'Asset Value'!$B$4:$B$500,I$96)/SUMIFS('Asset Value'!$D$4:$D$500,'Asset Value'!$C$4:$C$500,$A103,'Asset Value'!$B$4:$B$500,I$96),0)</f>
        <v>8728.31635354669</v>
      </c>
      <c r="J103" s="10" t="n">
        <f aca="false">_xlfn.MINIFS($B$86:$I$86,$B103:$I103,"&gt;0")</f>
        <v>2008</v>
      </c>
      <c r="K103" s="10" t="n">
        <f aca="false">_xlfn.MAXIFS($B$86:$I$86,$B103:$I103,"&gt;0")</f>
        <v>2015</v>
      </c>
      <c r="L103" s="9" t="n">
        <f aca="false">INDEX($B103:$I103,MATCH(J103,$B$86:$I$86,0))</f>
        <v>6005.98067781015</v>
      </c>
      <c r="M103" s="9" t="n">
        <f aca="false">INDEX($B103:$I103,MATCH(K103,$B$86:$I$86,0))</f>
        <v>8728.31635354669</v>
      </c>
      <c r="N103" s="13" t="n">
        <f aca="false">M103/L103-1</f>
        <v>0.453270801518651</v>
      </c>
      <c r="O103" s="13" t="n">
        <f aca="false">IF(K103&gt;J103,(M103/L103)^(1/(K103-J103))-1,"")</f>
        <v>0.0548540241423292</v>
      </c>
    </row>
    <row r="104" customFormat="false" ht="15" hidden="false" customHeight="false" outlineLevel="0" collapsed="false">
      <c r="A104" s="8" t="s">
        <v>26</v>
      </c>
      <c r="B104" s="9" t="n">
        <f aca="false">IFERROR(SUMIFS('Asset Value'!$F$4:$F$500,'Asset Value'!$C$4:$C$500,$A104,'Asset Value'!$B$4:$B$500,B$96)/SUMIFS('Asset Value'!$D$4:$D$500,'Asset Value'!$C$4:$C$500,$A104,'Asset Value'!$B$4:$B$500,B$96),0)</f>
        <v>8334.53936093232</v>
      </c>
      <c r="C104" s="9" t="n">
        <f aca="false">IFERROR(SUMIFS('Asset Value'!$F$4:$F$500,'Asset Value'!$C$4:$C$500,$A104,'Asset Value'!$B$4:$B$500,C$96)/SUMIFS('Asset Value'!$D$4:$D$500,'Asset Value'!$C$4:$C$500,$A104,'Asset Value'!$B$4:$B$500,C$96),0)</f>
        <v>10094.4510035419</v>
      </c>
      <c r="D104" s="9" t="n">
        <f aca="false">IFERROR(SUMIFS('Asset Value'!$F$4:$F$500,'Asset Value'!$C$4:$C$500,$A104,'Asset Value'!$B$4:$B$500,D$96)/SUMIFS('Asset Value'!$D$4:$D$500,'Asset Value'!$C$4:$C$500,$A104,'Asset Value'!$B$4:$B$500,D$96),0)</f>
        <v>9290.85577179419</v>
      </c>
      <c r="E104" s="9" t="n">
        <f aca="false">IFERROR(SUMIFS('Asset Value'!$F$4:$F$500,'Asset Value'!$C$4:$C$500,$A104,'Asset Value'!$B$4:$B$500,E$96)/SUMIFS('Asset Value'!$D$4:$D$500,'Asset Value'!$C$4:$C$500,$A104,'Asset Value'!$B$4:$B$500,E$96),0)</f>
        <v>10647.446395247</v>
      </c>
      <c r="F104" s="9" t="n">
        <f aca="false">IFERROR(SUMIFS('Asset Value'!$F$4:$F$500,'Asset Value'!$C$4:$C$500,$A104,'Asset Value'!$B$4:$B$500,F$96)/SUMIFS('Asset Value'!$D$4:$D$500,'Asset Value'!$C$4:$C$500,$A104,'Asset Value'!$B$4:$B$500,F$96),0)</f>
        <v>12701.2850773669</v>
      </c>
      <c r="G104" s="9" t="n">
        <f aca="false">IFERROR(SUMIFS('Asset Value'!$F$4:$F$500,'Asset Value'!$C$4:$C$500,$A104,'Asset Value'!$B$4:$B$500,G$96)/SUMIFS('Asset Value'!$D$4:$D$500,'Asset Value'!$C$4:$C$500,$A104,'Asset Value'!$B$4:$B$500,G$96),0)</f>
        <v>13052.0587463939</v>
      </c>
      <c r="H104" s="9" t="n">
        <f aca="false">IFERROR(SUMIFS('Asset Value'!$F$4:$F$500,'Asset Value'!$C$4:$C$500,$A104,'Asset Value'!$B$4:$B$500,H$96)/SUMIFS('Asset Value'!$D$4:$D$500,'Asset Value'!$C$4:$C$500,$A104,'Asset Value'!$B$4:$B$500,H$96),0)</f>
        <v>16016.8716913585</v>
      </c>
      <c r="I104" s="9" t="n">
        <f aca="false">IFERROR(SUMIFS('Asset Value'!$F$4:$F$500,'Asset Value'!$C$4:$C$500,$A104,'Asset Value'!$B$4:$B$500,I$96)/SUMIFS('Asset Value'!$D$4:$D$500,'Asset Value'!$C$4:$C$500,$A104,'Asset Value'!$B$4:$B$500,I$96),0)</f>
        <v>17172.9443576951</v>
      </c>
      <c r="J104" s="10" t="n">
        <f aca="false">_xlfn.MINIFS($B$86:$I$86,$B104:$I104,"&gt;0")</f>
        <v>2008</v>
      </c>
      <c r="K104" s="10" t="n">
        <f aca="false">_xlfn.MAXIFS($B$86:$I$86,$B104:$I104,"&gt;0")</f>
        <v>2015</v>
      </c>
      <c r="L104" s="9" t="n">
        <f aca="false">INDEX($B104:$I104,MATCH(J104,$B$86:$I$86,0))</f>
        <v>8334.53936093232</v>
      </c>
      <c r="M104" s="9" t="n">
        <f aca="false">INDEX($B104:$I104,MATCH(K104,$B$86:$I$86,0))</f>
        <v>17172.9443576951</v>
      </c>
      <c r="N104" s="13" t="n">
        <f aca="false">M104/L104-1</f>
        <v>1.06045512703345</v>
      </c>
      <c r="O104" s="13" t="n">
        <f aca="false">IF(K104&gt;J104,(M104/L104)^(1/(K104-J104))-1,"")</f>
        <v>0.108796586117366</v>
      </c>
    </row>
    <row r="105" customFormat="false" ht="15" hidden="false" customHeight="false" outlineLevel="0" collapsed="false">
      <c r="A105" s="8" t="s">
        <v>27</v>
      </c>
      <c r="B105" s="9" t="n">
        <f aca="false">IFERROR(SUMIFS('Asset Value'!$F$4:$F$500,'Asset Value'!$C$4:$C$500,$A105,'Asset Value'!$B$4:$B$500,B$96)/SUMIFS('Asset Value'!$D$4:$D$500,'Asset Value'!$C$4:$C$500,$A105,'Asset Value'!$B$4:$B$500,B$96),0)</f>
        <v>0</v>
      </c>
      <c r="C105" s="9" t="n">
        <f aca="false">IFERROR(SUMIFS('Asset Value'!$F$4:$F$500,'Asset Value'!$C$4:$C$500,$A105,'Asset Value'!$B$4:$B$500,C$96)/SUMIFS('Asset Value'!$D$4:$D$500,'Asset Value'!$C$4:$C$500,$A105,'Asset Value'!$B$4:$B$500,C$96),0)</f>
        <v>0</v>
      </c>
      <c r="D105" s="9" t="n">
        <f aca="false">IFERROR(SUMIFS('Asset Value'!$F$4:$F$500,'Asset Value'!$C$4:$C$500,$A105,'Asset Value'!$B$4:$B$500,D$96)/SUMIFS('Asset Value'!$D$4:$D$500,'Asset Value'!$C$4:$C$500,$A105,'Asset Value'!$B$4:$B$500,D$96),0)</f>
        <v>0</v>
      </c>
      <c r="E105" s="9" t="n">
        <f aca="false">IFERROR(SUMIFS('Asset Value'!$F$4:$F$500,'Asset Value'!$C$4:$C$500,$A105,'Asset Value'!$B$4:$B$500,E$96)/SUMIFS('Asset Value'!$D$4:$D$500,'Asset Value'!$C$4:$C$500,$A105,'Asset Value'!$B$4:$B$500,E$96),0)</f>
        <v>0</v>
      </c>
      <c r="F105" s="9" t="n">
        <f aca="false">IFERROR(SUMIFS('Asset Value'!$F$4:$F$500,'Asset Value'!$C$4:$C$500,$A105,'Asset Value'!$B$4:$B$500,F$96)/SUMIFS('Asset Value'!$D$4:$D$500,'Asset Value'!$C$4:$C$500,$A105,'Asset Value'!$B$4:$B$500,F$96),0)</f>
        <v>12311.3347144125</v>
      </c>
      <c r="G105" s="9" t="n">
        <f aca="false">IFERROR(SUMIFS('Asset Value'!$F$4:$F$500,'Asset Value'!$C$4:$C$500,$A105,'Asset Value'!$B$4:$B$500,G$96)/SUMIFS('Asset Value'!$D$4:$D$500,'Asset Value'!$C$4:$C$500,$A105,'Asset Value'!$B$4:$B$500,G$96),0)</f>
        <v>12615.2707901746</v>
      </c>
      <c r="H105" s="9" t="n">
        <f aca="false">IFERROR(SUMIFS('Asset Value'!$F$4:$F$500,'Asset Value'!$C$4:$C$500,$A105,'Asset Value'!$B$4:$B$500,H$96)/SUMIFS('Asset Value'!$D$4:$D$500,'Asset Value'!$C$4:$C$500,$A105,'Asset Value'!$B$4:$B$500,H$96),0)</f>
        <v>0</v>
      </c>
      <c r="I105" s="9" t="n">
        <f aca="false">IFERROR(SUMIFS('Asset Value'!$F$4:$F$500,'Asset Value'!$C$4:$C$500,$A105,'Asset Value'!$B$4:$B$500,I$96)/SUMIFS('Asset Value'!$D$4:$D$500,'Asset Value'!$C$4:$C$500,$A105,'Asset Value'!$B$4:$B$500,I$96),0)</f>
        <v>0</v>
      </c>
      <c r="J105" s="10" t="n">
        <f aca="false">_xlfn.MINIFS($B$86:$I$86,$B105:$I105,"&gt;0")</f>
        <v>2012</v>
      </c>
      <c r="K105" s="10" t="n">
        <f aca="false">_xlfn.MAXIFS($B$86:$I$86,$B105:$I105,"&gt;0")</f>
        <v>2013</v>
      </c>
      <c r="L105" s="9" t="n">
        <f aca="false">INDEX($B105:$I105,MATCH(J105,$B$86:$I$86,0))</f>
        <v>12311.3347144125</v>
      </c>
      <c r="M105" s="9" t="n">
        <f aca="false">INDEX($B105:$I105,MATCH(K105,$B$86:$I$86,0))</f>
        <v>12615.2707901746</v>
      </c>
      <c r="N105" s="13" t="n">
        <f aca="false">M105/L105-1</f>
        <v>0.0246875</v>
      </c>
      <c r="O105" s="13" t="n">
        <f aca="false">IF(K105&gt;J105,(M105/L105)^(1/(K105-J105))-1,"")</f>
        <v>0.0246875</v>
      </c>
    </row>
    <row r="106" customFormat="false" ht="15" hidden="false" customHeight="false" outlineLevel="0" collapsed="false">
      <c r="A106" s="8" t="s">
        <v>28</v>
      </c>
      <c r="B106" s="9" t="n">
        <f aca="false">IFERROR(SUMIFS('Asset Value'!$F$4:$F$500,'Asset Value'!$C$4:$C$500,$A106,'Asset Value'!$B$4:$B$500,B$96)/SUMIFS('Asset Value'!$D$4:$D$500,'Asset Value'!$C$4:$C$500,$A106,'Asset Value'!$B$4:$B$500,B$96),0)</f>
        <v>0</v>
      </c>
      <c r="C106" s="9" t="n">
        <f aca="false">IFERROR(SUMIFS('Asset Value'!$F$4:$F$500,'Asset Value'!$C$4:$C$500,$A106,'Asset Value'!$B$4:$B$500,C$96)/SUMIFS('Asset Value'!$D$4:$D$500,'Asset Value'!$C$4:$C$500,$A106,'Asset Value'!$B$4:$B$500,C$96),0)</f>
        <v>0</v>
      </c>
      <c r="D106" s="9" t="n">
        <f aca="false">IFERROR(SUMIFS('Asset Value'!$F$4:$F$500,'Asset Value'!$C$4:$C$500,$A106,'Asset Value'!$B$4:$B$500,D$96)/SUMIFS('Asset Value'!$D$4:$D$500,'Asset Value'!$C$4:$C$500,$A106,'Asset Value'!$B$4:$B$500,D$96),0)</f>
        <v>0</v>
      </c>
      <c r="E106" s="9" t="n">
        <f aca="false">IFERROR(SUMIFS('Asset Value'!$F$4:$F$500,'Asset Value'!$C$4:$C$500,$A106,'Asset Value'!$B$4:$B$500,E$96)/SUMIFS('Asset Value'!$D$4:$D$500,'Asset Value'!$C$4:$C$500,$A106,'Asset Value'!$B$4:$B$500,E$96),0)</f>
        <v>0</v>
      </c>
      <c r="F106" s="9" t="n">
        <f aca="false">IFERROR(SUMIFS('Asset Value'!$F$4:$F$500,'Asset Value'!$C$4:$C$500,$A106,'Asset Value'!$B$4:$B$500,F$96)/SUMIFS('Asset Value'!$D$4:$D$500,'Asset Value'!$C$4:$C$500,$A106,'Asset Value'!$B$4:$B$500,F$96),0)</f>
        <v>3485.06825938567</v>
      </c>
      <c r="G106" s="9" t="n">
        <f aca="false">IFERROR(SUMIFS('Asset Value'!$F$4:$F$500,'Asset Value'!$C$4:$C$500,$A106,'Asset Value'!$B$4:$B$500,G$96)/SUMIFS('Asset Value'!$D$4:$D$500,'Asset Value'!$C$4:$C$500,$A106,'Asset Value'!$B$4:$B$500,G$96),0)</f>
        <v>5333.80934247271</v>
      </c>
      <c r="H106" s="9" t="n">
        <f aca="false">IFERROR(SUMIFS('Asset Value'!$F$4:$F$500,'Asset Value'!$C$4:$C$500,$A106,'Asset Value'!$B$4:$B$500,H$96)/SUMIFS('Asset Value'!$D$4:$D$500,'Asset Value'!$C$4:$C$500,$A106,'Asset Value'!$B$4:$B$500,H$96),0)</f>
        <v>6182.39096636936</v>
      </c>
      <c r="I106" s="9" t="n">
        <f aca="false">IFERROR(SUMIFS('Asset Value'!$F$4:$F$500,'Asset Value'!$C$4:$C$500,$A106,'Asset Value'!$B$4:$B$500,I$96)/SUMIFS('Asset Value'!$D$4:$D$500,'Asset Value'!$C$4:$C$500,$A106,'Asset Value'!$B$4:$B$500,I$96),0)</f>
        <v>6409.2843115863</v>
      </c>
      <c r="J106" s="10" t="n">
        <f aca="false">_xlfn.MINIFS($B$86:$I$86,$B106:$I106,"&gt;0")</f>
        <v>2012</v>
      </c>
      <c r="K106" s="10" t="n">
        <f aca="false">_xlfn.MAXIFS($B$86:$I$86,$B106:$I106,"&gt;0")</f>
        <v>2015</v>
      </c>
      <c r="L106" s="9" t="n">
        <f aca="false">INDEX($B106:$I106,MATCH(J106,$B$86:$I$86,0))</f>
        <v>3485.06825938567</v>
      </c>
      <c r="M106" s="9" t="n">
        <f aca="false">INDEX($B106:$I106,MATCH(K106,$B$86:$I$86,0))</f>
        <v>6409.2843115863</v>
      </c>
      <c r="N106" s="13" t="n">
        <f aca="false">M106/L106-1</f>
        <v>0.839069950588601</v>
      </c>
      <c r="O106" s="13" t="n">
        <f aca="false">IF(K106&gt;J106,(M106/L106)^(1/(K106-J106))-1,"")</f>
        <v>0.225178638524464</v>
      </c>
    </row>
    <row r="107" customFormat="false" ht="15" hidden="false" customHeight="false" outlineLevel="0" collapsed="false">
      <c r="A107" s="8" t="s">
        <v>29</v>
      </c>
      <c r="B107" s="9" t="n">
        <f aca="false">IFERROR(SUMIFS('Asset Value'!$F$4:$F$500,'Asset Value'!$C$4:$C$500,$A107,'Asset Value'!$B$4:$B$500,B$96)/SUMIFS('Asset Value'!$D$4:$D$500,'Asset Value'!$C$4:$C$500,$A107,'Asset Value'!$B$4:$B$500,B$96),0)</f>
        <v>0</v>
      </c>
      <c r="C107" s="9" t="n">
        <f aca="false">IFERROR(SUMIFS('Asset Value'!$F$4:$F$500,'Asset Value'!$C$4:$C$500,$A107,'Asset Value'!$B$4:$B$500,C$96)/SUMIFS('Asset Value'!$D$4:$D$500,'Asset Value'!$C$4:$C$500,$A107,'Asset Value'!$B$4:$B$500,C$96),0)</f>
        <v>0</v>
      </c>
      <c r="D107" s="9" t="n">
        <f aca="false">IFERROR(SUMIFS('Asset Value'!$F$4:$F$500,'Asset Value'!$C$4:$C$500,$A107,'Asset Value'!$B$4:$B$500,D$96)/SUMIFS('Asset Value'!$D$4:$D$500,'Asset Value'!$C$4:$C$500,$A107,'Asset Value'!$B$4:$B$500,D$96),0)</f>
        <v>0</v>
      </c>
      <c r="E107" s="9" t="n">
        <f aca="false">IFERROR(SUMIFS('Asset Value'!$F$4:$F$500,'Asset Value'!$C$4:$C$500,$A107,'Asset Value'!$B$4:$B$500,E$96)/SUMIFS('Asset Value'!$D$4:$D$500,'Asset Value'!$C$4:$C$500,$A107,'Asset Value'!$B$4:$B$500,E$96),0)</f>
        <v>0</v>
      </c>
      <c r="F107" s="9" t="n">
        <f aca="false">IFERROR(SUMIFS('Asset Value'!$F$4:$F$500,'Asset Value'!$C$4:$C$500,$A107,'Asset Value'!$B$4:$B$500,F$96)/SUMIFS('Asset Value'!$D$4:$D$500,'Asset Value'!$C$4:$C$500,$A107,'Asset Value'!$B$4:$B$500,F$96),0)</f>
        <v>2919.33973714325</v>
      </c>
      <c r="G107" s="9" t="n">
        <f aca="false">IFERROR(SUMIFS('Asset Value'!$F$4:$F$500,'Asset Value'!$C$4:$C$500,$A107,'Asset Value'!$B$4:$B$500,G$96)/SUMIFS('Asset Value'!$D$4:$D$500,'Asset Value'!$C$4:$C$500,$A107,'Asset Value'!$B$4:$B$500,G$96),0)</f>
        <v>5747.16510039186</v>
      </c>
      <c r="H107" s="9" t="n">
        <f aca="false">IFERROR(SUMIFS('Asset Value'!$F$4:$F$500,'Asset Value'!$C$4:$C$500,$A107,'Asset Value'!$B$4:$B$500,H$96)/SUMIFS('Asset Value'!$D$4:$D$500,'Asset Value'!$C$4:$C$500,$A107,'Asset Value'!$B$4:$B$500,H$96),0)</f>
        <v>5923.38080881589</v>
      </c>
      <c r="I107" s="9" t="n">
        <f aca="false">IFERROR(SUMIFS('Asset Value'!$F$4:$F$500,'Asset Value'!$C$4:$C$500,$A107,'Asset Value'!$B$4:$B$500,I$96)/SUMIFS('Asset Value'!$D$4:$D$500,'Asset Value'!$C$4:$C$500,$A107,'Asset Value'!$B$4:$B$500,I$96),0)</f>
        <v>6069.63276346361</v>
      </c>
      <c r="J107" s="10" t="n">
        <f aca="false">_xlfn.MINIFS($B$86:$I$86,$B107:$I107,"&gt;0")</f>
        <v>2012</v>
      </c>
      <c r="K107" s="10" t="n">
        <f aca="false">_xlfn.MAXIFS($B$86:$I$86,$B107:$I107,"&gt;0")</f>
        <v>2015</v>
      </c>
      <c r="L107" s="9" t="n">
        <f aca="false">INDEX($B107:$I107,MATCH(J107,$B$86:$I$86,0))</f>
        <v>2919.33973714325</v>
      </c>
      <c r="M107" s="9" t="n">
        <f aca="false">INDEX($B107:$I107,MATCH(K107,$B$86:$I$86,0))</f>
        <v>6069.63276346361</v>
      </c>
      <c r="N107" s="13" t="n">
        <f aca="false">M107/L107-1</f>
        <v>1.07911148066758</v>
      </c>
      <c r="O107" s="13" t="n">
        <f aca="false">IF(K107&gt;J107,(M107/L107)^(1/(K107-J107))-1,"")</f>
        <v>0.276319071754471</v>
      </c>
    </row>
    <row r="108" customFormat="false" ht="15" hidden="false" customHeight="false" outlineLevel="0" collapsed="false">
      <c r="A108" s="8" t="s">
        <v>30</v>
      </c>
      <c r="B108" s="9" t="n">
        <f aca="false">IFERROR(SUMIFS('Asset Value'!$F$4:$F$500,'Asset Value'!$C$4:$C$500,$A108,'Asset Value'!$B$4:$B$500,B$96)/SUMIFS('Asset Value'!$D$4:$D$500,'Asset Value'!$C$4:$C$500,$A108,'Asset Value'!$B$4:$B$500,B$96),0)</f>
        <v>8243.78752184816</v>
      </c>
      <c r="C108" s="9" t="n">
        <f aca="false">IFERROR(SUMIFS('Asset Value'!$F$4:$F$500,'Asset Value'!$C$4:$C$500,$A108,'Asset Value'!$B$4:$B$500,C$96)/SUMIFS('Asset Value'!$D$4:$D$500,'Asset Value'!$C$4:$C$500,$A108,'Asset Value'!$B$4:$B$500,C$96),0)</f>
        <v>9791.96436076322</v>
      </c>
      <c r="D108" s="9" t="n">
        <f aca="false">IFERROR(SUMIFS('Asset Value'!$F$4:$F$500,'Asset Value'!$C$4:$C$500,$A108,'Asset Value'!$B$4:$B$500,D$96)/SUMIFS('Asset Value'!$D$4:$D$500,'Asset Value'!$C$4:$C$500,$A108,'Asset Value'!$B$4:$B$500,D$96),0)</f>
        <v>8407.93510696423</v>
      </c>
      <c r="E108" s="9" t="n">
        <f aca="false">IFERROR(SUMIFS('Asset Value'!$F$4:$F$500,'Asset Value'!$C$4:$C$500,$A108,'Asset Value'!$B$4:$B$500,E$96)/SUMIFS('Asset Value'!$D$4:$D$500,'Asset Value'!$C$4:$C$500,$A108,'Asset Value'!$B$4:$B$500,E$96),0)</f>
        <v>9216.57630395495</v>
      </c>
      <c r="F108" s="9" t="n">
        <f aca="false">IFERROR(SUMIFS('Asset Value'!$F$4:$F$500,'Asset Value'!$C$4:$C$500,$A108,'Asset Value'!$B$4:$B$500,F$96)/SUMIFS('Asset Value'!$D$4:$D$500,'Asset Value'!$C$4:$C$500,$A108,'Asset Value'!$B$4:$B$500,F$96),0)</f>
        <v>10718.2784852688</v>
      </c>
      <c r="G108" s="9" t="n">
        <f aca="false">IFERROR(SUMIFS('Asset Value'!$F$4:$F$500,'Asset Value'!$C$4:$C$500,$A108,'Asset Value'!$B$4:$B$500,G$96)/SUMIFS('Asset Value'!$D$4:$D$500,'Asset Value'!$C$4:$C$500,$A108,'Asset Value'!$B$4:$B$500,G$96),0)</f>
        <v>10794.1473259334</v>
      </c>
      <c r="H108" s="9" t="n">
        <f aca="false">IFERROR(SUMIFS('Asset Value'!$F$4:$F$500,'Asset Value'!$C$4:$C$500,$A108,'Asset Value'!$B$4:$B$500,H$96)/SUMIFS('Asset Value'!$D$4:$D$500,'Asset Value'!$C$4:$C$500,$A108,'Asset Value'!$B$4:$B$500,H$96),0)</f>
        <v>12960.0992263707</v>
      </c>
      <c r="I108" s="9" t="n">
        <f aca="false">IFERROR(SUMIFS('Asset Value'!$F$4:$F$500,'Asset Value'!$C$4:$C$500,$A108,'Asset Value'!$B$4:$B$500,I$96)/SUMIFS('Asset Value'!$D$4:$D$500,'Asset Value'!$C$4:$C$500,$A108,'Asset Value'!$B$4:$B$500,I$96),0)</f>
        <v>13476.2575195188</v>
      </c>
      <c r="J108" s="10" t="n">
        <f aca="false">_xlfn.MINIFS($B$86:$I$86,$B108:$I108,"&gt;0")</f>
        <v>2008</v>
      </c>
      <c r="K108" s="10" t="n">
        <f aca="false">_xlfn.MAXIFS($B$86:$I$86,$B108:$I108,"&gt;0")</f>
        <v>2015</v>
      </c>
      <c r="L108" s="9" t="n">
        <f aca="false">INDEX($B108:$I108,MATCH(J108,$B$86:$I$86,0))</f>
        <v>8243.78752184816</v>
      </c>
      <c r="M108" s="9" t="n">
        <f aca="false">INDEX($B108:$I108,MATCH(K108,$B$86:$I$86,0))</f>
        <v>13476.2575195188</v>
      </c>
      <c r="N108" s="13" t="n">
        <f aca="false">M108/L108-1</f>
        <v>0.634716746859765</v>
      </c>
      <c r="O108" s="13" t="n">
        <f aca="false">IF(K108&gt;J108,(M108/L108)^(1/(K108-J108))-1,"")</f>
        <v>0.0727333620222623</v>
      </c>
    </row>
    <row r="109" customFormat="false" ht="15" hidden="false" customHeight="false" outlineLevel="0" collapsed="false">
      <c r="A109" s="8" t="s">
        <v>31</v>
      </c>
      <c r="B109" s="9" t="n">
        <f aca="false">IFERROR(SUMIFS('Asset Value'!$F$4:$F$500,'Asset Value'!$C$4:$C$500,$A109,'Asset Value'!$B$4:$B$500,B$96)/SUMIFS('Asset Value'!$D$4:$D$500,'Asset Value'!$C$4:$C$500,$A109,'Asset Value'!$B$4:$B$500,B$96),0)</f>
        <v>0</v>
      </c>
      <c r="C109" s="9" t="n">
        <f aca="false">IFERROR(SUMIFS('Asset Value'!$F$4:$F$500,'Asset Value'!$C$4:$C$500,$A109,'Asset Value'!$B$4:$B$500,C$96)/SUMIFS('Asset Value'!$D$4:$D$500,'Asset Value'!$C$4:$C$500,$A109,'Asset Value'!$B$4:$B$500,C$96),0)</f>
        <v>1871.44354597185</v>
      </c>
      <c r="D109" s="9" t="n">
        <f aca="false">IFERROR(SUMIFS('Asset Value'!$F$4:$F$500,'Asset Value'!$C$4:$C$500,$A109,'Asset Value'!$B$4:$B$500,D$96)/SUMIFS('Asset Value'!$D$4:$D$500,'Asset Value'!$C$4:$C$500,$A109,'Asset Value'!$B$4:$B$500,D$96),0)</f>
        <v>1907.48186840029</v>
      </c>
      <c r="E109" s="9" t="n">
        <f aca="false">IFERROR(SUMIFS('Asset Value'!$F$4:$F$500,'Asset Value'!$C$4:$C$500,$A109,'Asset Value'!$B$4:$B$500,E$96)/SUMIFS('Asset Value'!$D$4:$D$500,'Asset Value'!$C$4:$C$500,$A109,'Asset Value'!$B$4:$B$500,E$96),0)</f>
        <v>2274.99906053888</v>
      </c>
      <c r="F109" s="9" t="n">
        <f aca="false">IFERROR(SUMIFS('Asset Value'!$F$4:$F$500,'Asset Value'!$C$4:$C$500,$A109,'Asset Value'!$B$4:$B$500,F$96)/SUMIFS('Asset Value'!$D$4:$D$500,'Asset Value'!$C$4:$C$500,$A109,'Asset Value'!$B$4:$B$500,F$96),0)</f>
        <v>2673.74273439474</v>
      </c>
      <c r="G109" s="9" t="n">
        <f aca="false">IFERROR(SUMIFS('Asset Value'!$F$4:$F$500,'Asset Value'!$C$4:$C$500,$A109,'Asset Value'!$B$4:$B$500,G$96)/SUMIFS('Asset Value'!$D$4:$D$500,'Asset Value'!$C$4:$C$500,$A109,'Asset Value'!$B$4:$B$500,G$96),0)</f>
        <v>3524.28565622079</v>
      </c>
      <c r="H109" s="9" t="n">
        <f aca="false">IFERROR(SUMIFS('Asset Value'!$F$4:$F$500,'Asset Value'!$C$4:$C$500,$A109,'Asset Value'!$B$4:$B$500,H$96)/SUMIFS('Asset Value'!$D$4:$D$500,'Asset Value'!$C$4:$C$500,$A109,'Asset Value'!$B$4:$B$500,H$96),0)</f>
        <v>5593.22033898305</v>
      </c>
      <c r="I109" s="9" t="n">
        <f aca="false">IFERROR(SUMIFS('Asset Value'!$F$4:$F$500,'Asset Value'!$C$4:$C$500,$A109,'Asset Value'!$B$4:$B$500,I$96)/SUMIFS('Asset Value'!$D$4:$D$500,'Asset Value'!$C$4:$C$500,$A109,'Asset Value'!$B$4:$B$500,I$96),0)</f>
        <v>6136.20836891546</v>
      </c>
      <c r="J109" s="10" t="n">
        <f aca="false">_xlfn.MINIFS($B$86:$I$86,$B109:$I109,"&gt;0")</f>
        <v>2009</v>
      </c>
      <c r="K109" s="10" t="n">
        <f aca="false">_xlfn.MAXIFS($B$86:$I$86,$B109:$I109,"&gt;0")</f>
        <v>2015</v>
      </c>
      <c r="L109" s="9" t="n">
        <f aca="false">INDEX($B109:$I109,MATCH(J109,$B$86:$I$86,0))</f>
        <v>1871.44354597185</v>
      </c>
      <c r="M109" s="9" t="n">
        <f aca="false">INDEX($B109:$I109,MATCH(K109,$B$86:$I$86,0))</f>
        <v>6136.20836891546</v>
      </c>
      <c r="N109" s="13" t="n">
        <f aca="false">M109/L109-1</f>
        <v>2.27886373175574</v>
      </c>
      <c r="O109" s="13" t="n">
        <f aca="false">IF(K109&gt;J109,(M109/L109)^(1/(K109-J109))-1,"")</f>
        <v>0.218860196059455</v>
      </c>
    </row>
    <row r="110" customFormat="false" ht="15" hidden="false" customHeight="false" outlineLevel="0" collapsed="false">
      <c r="A110" s="8" t="s">
        <v>32</v>
      </c>
      <c r="B110" s="9" t="n">
        <f aca="false">IFERROR(SUMIFS('Asset Value'!$F$4:$F$500,'Asset Value'!$C$4:$C$500,$A110,'Asset Value'!$B$4:$B$500,B$96)/SUMIFS('Asset Value'!$D$4:$D$500,'Asset Value'!$C$4:$C$500,$A110,'Asset Value'!$B$4:$B$500,B$96),0)</f>
        <v>0</v>
      </c>
      <c r="C110" s="9" t="n">
        <f aca="false">IFERROR(SUMIFS('Asset Value'!$F$4:$F$500,'Asset Value'!$C$4:$C$500,$A110,'Asset Value'!$B$4:$B$500,C$96)/SUMIFS('Asset Value'!$D$4:$D$500,'Asset Value'!$C$4:$C$500,$A110,'Asset Value'!$B$4:$B$500,C$96),0)</f>
        <v>0</v>
      </c>
      <c r="D110" s="9" t="n">
        <f aca="false">IFERROR(SUMIFS('Asset Value'!$F$4:$F$500,'Asset Value'!$C$4:$C$500,$A110,'Asset Value'!$B$4:$B$500,D$96)/SUMIFS('Asset Value'!$D$4:$D$500,'Asset Value'!$C$4:$C$500,$A110,'Asset Value'!$B$4:$B$500,D$96),0)</f>
        <v>0</v>
      </c>
      <c r="E110" s="9" t="n">
        <f aca="false">IFERROR(SUMIFS('Asset Value'!$F$4:$F$500,'Asset Value'!$C$4:$C$500,$A110,'Asset Value'!$B$4:$B$500,E$96)/SUMIFS('Asset Value'!$D$4:$D$500,'Asset Value'!$C$4:$C$500,$A110,'Asset Value'!$B$4:$B$500,E$96),0)</f>
        <v>0</v>
      </c>
      <c r="F110" s="9" t="n">
        <f aca="false">IFERROR(SUMIFS('Asset Value'!$F$4:$F$500,'Asset Value'!$C$4:$C$500,$A110,'Asset Value'!$B$4:$B$500,F$96)/SUMIFS('Asset Value'!$D$4:$D$500,'Asset Value'!$C$4:$C$500,$A110,'Asset Value'!$B$4:$B$500,F$96),0)</f>
        <v>5086.62212554382</v>
      </c>
      <c r="G110" s="9" t="n">
        <f aca="false">IFERROR(SUMIFS('Asset Value'!$F$4:$F$500,'Asset Value'!$C$4:$C$500,$A110,'Asset Value'!$B$4:$B$500,G$96)/SUMIFS('Asset Value'!$D$4:$D$500,'Asset Value'!$C$4:$C$500,$A110,'Asset Value'!$B$4:$B$500,G$96),0)</f>
        <v>6776.89372412113</v>
      </c>
      <c r="H110" s="9" t="n">
        <f aca="false">IFERROR(SUMIFS('Asset Value'!$F$4:$F$500,'Asset Value'!$C$4:$C$500,$A110,'Asset Value'!$B$4:$B$500,H$96)/SUMIFS('Asset Value'!$D$4:$D$500,'Asset Value'!$C$4:$C$500,$A110,'Asset Value'!$B$4:$B$500,H$96),0)</f>
        <v>7247.25913621263</v>
      </c>
      <c r="I110" s="9" t="n">
        <f aca="false">IFERROR(SUMIFS('Asset Value'!$F$4:$F$500,'Asset Value'!$C$4:$C$500,$A110,'Asset Value'!$B$4:$B$500,I$96)/SUMIFS('Asset Value'!$D$4:$D$500,'Asset Value'!$C$4:$C$500,$A110,'Asset Value'!$B$4:$B$500,I$96),0)</f>
        <v>7753.32225913621</v>
      </c>
      <c r="J110" s="10" t="n">
        <f aca="false">_xlfn.MINIFS($B$86:$I$86,$B110:$I110,"&gt;0")</f>
        <v>2012</v>
      </c>
      <c r="K110" s="10" t="n">
        <f aca="false">_xlfn.MAXIFS($B$86:$I$86,$B110:$I110,"&gt;0")</f>
        <v>2015</v>
      </c>
      <c r="L110" s="9" t="n">
        <f aca="false">INDEX($B110:$I110,MATCH(J110,$B$86:$I$86,0))</f>
        <v>5086.62212554382</v>
      </c>
      <c r="M110" s="9" t="n">
        <f aca="false">INDEX($B110:$I110,MATCH(K110,$B$86:$I$86,0))</f>
        <v>7753.32225913621</v>
      </c>
      <c r="N110" s="13" t="n">
        <f aca="false">M110/L110-1</f>
        <v>0.52425756578238</v>
      </c>
      <c r="O110" s="13" t="n">
        <f aca="false">IF(K110&gt;J110,(M110/L110)^(1/(K110-J110))-1,"")</f>
        <v>0.150851937281397</v>
      </c>
    </row>
    <row r="111" customFormat="false" ht="15" hidden="false" customHeight="false" outlineLevel="0" collapsed="false">
      <c r="A111" s="8" t="s">
        <v>33</v>
      </c>
      <c r="B111" s="9" t="n">
        <f aca="false">IFERROR(SUMIFS('Asset Value'!$F$4:$F$500,'Asset Value'!$C$4:$C$500,$A111,'Asset Value'!$B$4:$B$500,B$96)/SUMIFS('Asset Value'!$D$4:$D$500,'Asset Value'!$C$4:$C$500,$A111,'Asset Value'!$B$4:$B$500,B$96),0)</f>
        <v>1371.38274410212</v>
      </c>
      <c r="C111" s="9" t="n">
        <f aca="false">IFERROR(SUMIFS('Asset Value'!$F$4:$F$500,'Asset Value'!$C$4:$C$500,$A111,'Asset Value'!$B$4:$B$500,C$96)/SUMIFS('Asset Value'!$D$4:$D$500,'Asset Value'!$C$4:$C$500,$A111,'Asset Value'!$B$4:$B$500,C$96),0)</f>
        <v>1688.16413820758</v>
      </c>
      <c r="D111" s="9" t="n">
        <f aca="false">IFERROR(SUMIFS('Asset Value'!$F$4:$F$500,'Asset Value'!$C$4:$C$500,$A111,'Asset Value'!$B$4:$B$500,D$96)/SUMIFS('Asset Value'!$D$4:$D$500,'Asset Value'!$C$4:$C$500,$A111,'Asset Value'!$B$4:$B$500,D$96),0)</f>
        <v>1699.1452991453</v>
      </c>
      <c r="E111" s="9" t="n">
        <f aca="false">IFERROR(SUMIFS('Asset Value'!$F$4:$F$500,'Asset Value'!$C$4:$C$500,$A111,'Asset Value'!$B$4:$B$500,E$96)/SUMIFS('Asset Value'!$D$4:$D$500,'Asset Value'!$C$4:$C$500,$A111,'Asset Value'!$B$4:$B$500,E$96),0)</f>
        <v>0</v>
      </c>
      <c r="F111" s="9" t="n">
        <f aca="false">IFERROR(SUMIFS('Asset Value'!$F$4:$F$500,'Asset Value'!$C$4:$C$500,$A111,'Asset Value'!$B$4:$B$500,F$96)/SUMIFS('Asset Value'!$D$4:$D$500,'Asset Value'!$C$4:$C$500,$A111,'Asset Value'!$B$4:$B$500,F$96),0)</f>
        <v>0</v>
      </c>
      <c r="G111" s="9" t="n">
        <f aca="false">IFERROR(SUMIFS('Asset Value'!$F$4:$F$500,'Asset Value'!$C$4:$C$500,$A111,'Asset Value'!$B$4:$B$500,G$96)/SUMIFS('Asset Value'!$D$4:$D$500,'Asset Value'!$C$4:$C$500,$A111,'Asset Value'!$B$4:$B$500,G$96),0)</f>
        <v>0</v>
      </c>
      <c r="H111" s="9" t="n">
        <f aca="false">IFERROR(SUMIFS('Asset Value'!$F$4:$F$500,'Asset Value'!$C$4:$C$500,$A111,'Asset Value'!$B$4:$B$500,H$96)/SUMIFS('Asset Value'!$D$4:$D$500,'Asset Value'!$C$4:$C$500,$A111,'Asset Value'!$B$4:$B$500,H$96),0)</f>
        <v>0</v>
      </c>
      <c r="I111" s="9" t="n">
        <f aca="false">IFERROR(SUMIFS('Asset Value'!$F$4:$F$500,'Asset Value'!$C$4:$C$500,$A111,'Asset Value'!$B$4:$B$500,I$96)/SUMIFS('Asset Value'!$D$4:$D$500,'Asset Value'!$C$4:$C$500,$A111,'Asset Value'!$B$4:$B$500,I$96),0)</f>
        <v>0</v>
      </c>
      <c r="J111" s="10" t="n">
        <f aca="false">_xlfn.MINIFS($B$86:$I$86,$B111:$I111,"&gt;0")</f>
        <v>2008</v>
      </c>
      <c r="K111" s="10" t="n">
        <f aca="false">_xlfn.MAXIFS($B$86:$I$86,$B111:$I111,"&gt;0")</f>
        <v>2010</v>
      </c>
      <c r="L111" s="9" t="n">
        <f aca="false">INDEX($B111:$I111,MATCH(J111,$B$86:$I$86,0))</f>
        <v>1371.38274410212</v>
      </c>
      <c r="M111" s="9" t="n">
        <f aca="false">INDEX($B111:$I111,MATCH(K111,$B$86:$I$86,0))</f>
        <v>1699.1452991453</v>
      </c>
      <c r="N111" s="13" t="n">
        <f aca="false">M111/L111-1</f>
        <v>0.239001516136019</v>
      </c>
      <c r="O111" s="13" t="n">
        <f aca="false">IF(K111&gt;J111,(M111/L111)^(1/(K111-J111))-1,"")</f>
        <v>0.113104449787179</v>
      </c>
    </row>
    <row r="112" customFormat="false" ht="15" hidden="false" customHeight="false" outlineLevel="0" collapsed="false">
      <c r="A112" s="3" t="s">
        <v>34</v>
      </c>
    </row>
    <row r="113" customFormat="false" ht="15" hidden="false" customHeight="false" outlineLevel="0" collapsed="false">
      <c r="A113" s="3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N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73" activeCellId="0" sqref="Q73"/>
    </sheetView>
  </sheetViews>
  <sheetFormatPr defaultColWidth="8.53125" defaultRowHeight="15" zeroHeight="false" outlineLevelRow="0" outlineLevelCol="0"/>
  <cols>
    <col collapsed="false" customWidth="true" hidden="false" outlineLevel="0" max="2" min="2" style="1" width="4.57"/>
    <col collapsed="false" customWidth="true" hidden="false" outlineLevel="0" max="3" min="3" style="1" width="18.42"/>
    <col collapsed="false" customWidth="true" hidden="false" outlineLevel="0" max="4" min="4" style="1" width="16.71"/>
    <col collapsed="false" customWidth="true" hidden="false" outlineLevel="0" max="5" min="5" style="1" width="20.14"/>
    <col collapsed="false" customWidth="true" hidden="false" outlineLevel="0" max="6" min="6" style="1" width="11.14"/>
    <col collapsed="false" customWidth="true" hidden="false" outlineLevel="0" max="7" min="7" style="1" width="13.85"/>
  </cols>
  <sheetData>
    <row r="3" customFormat="false" ht="15" hidden="false" customHeight="false" outlineLevel="0" collapsed="false">
      <c r="B3" s="14" t="s">
        <v>36</v>
      </c>
      <c r="C3" s="14" t="s">
        <v>37</v>
      </c>
      <c r="D3" s="14" t="s">
        <v>38</v>
      </c>
      <c r="E3" s="14" t="s">
        <v>39</v>
      </c>
      <c r="F3" s="15" t="s">
        <v>40</v>
      </c>
      <c r="G3" s="15" t="n">
        <v>2008</v>
      </c>
      <c r="H3" s="15" t="n">
        <v>2009</v>
      </c>
      <c r="I3" s="15" t="n">
        <v>2010</v>
      </c>
      <c r="J3" s="15" t="n">
        <v>2011</v>
      </c>
      <c r="K3" s="15" t="n">
        <f aca="false">J3+1</f>
        <v>2012</v>
      </c>
      <c r="L3" s="15" t="n">
        <f aca="false">K3+1</f>
        <v>2013</v>
      </c>
      <c r="M3" s="15" t="n">
        <f aca="false">L3+1</f>
        <v>2014</v>
      </c>
      <c r="N3" s="15" t="n">
        <f aca="false">M3+1</f>
        <v>2015</v>
      </c>
    </row>
    <row r="4" customFormat="false" ht="15" hidden="false" customHeight="false" outlineLevel="0" collapsed="false">
      <c r="B4" s="16" t="n">
        <v>73</v>
      </c>
      <c r="C4" s="17" t="s">
        <v>19</v>
      </c>
      <c r="D4" s="17" t="s">
        <v>41</v>
      </c>
      <c r="E4" s="17" t="s">
        <v>42</v>
      </c>
      <c r="F4" s="18" t="s">
        <v>43</v>
      </c>
      <c r="G4" s="19" t="n">
        <f aca="false">SUMIFS('Asset Value'!$F$4:$F$102,'Asset Value'!$B$4:$B$102,Register!G$3,'Asset Value'!$C$4:$C$102,Register!$C4)/1000</f>
        <v>143610</v>
      </c>
      <c r="H4" s="19" t="n">
        <f aca="false">SUMIFS('Asset Value'!$F$4:$F$102,'Asset Value'!$B$4:$B$102,Register!H$3,'Asset Value'!$C$4:$C$102,Register!$C4)/1000</f>
        <v>158220</v>
      </c>
      <c r="I4" s="19" t="n">
        <f aca="false">SUMIFS('Asset Value'!$F$4:$F$102,'Asset Value'!$B$4:$B$102,Register!I$3,'Asset Value'!$C$4:$C$102,Register!$C4)/1000</f>
        <v>164240</v>
      </c>
      <c r="J4" s="19" t="n">
        <f aca="false">SUMIFS('Asset Value'!$F$4:$F$102,'Asset Value'!$B$4:$B$102,Register!J$3,'Asset Value'!$C$4:$C$102,Register!$C4)/1000</f>
        <v>179570</v>
      </c>
      <c r="K4" s="19" t="n">
        <f aca="false">SUMIFS('Asset Value'!$F$4:$F$102,'Asset Value'!$B$4:$B$102,Register!K$3,'Asset Value'!$C$4:$C$102,Register!$C4)/1000</f>
        <v>215630</v>
      </c>
      <c r="L4" s="19" t="n">
        <f aca="false">SUMIFS('Asset Value'!$F$4:$F$102,'Asset Value'!$B$4:$B$102,Register!L$3,'Asset Value'!$C$4:$C$102,Register!$C4)/1000</f>
        <v>224342</v>
      </c>
      <c r="M4" s="19" t="n">
        <f aca="false">SUMIFS('Asset Value'!$F$4:$F$102,'Asset Value'!$B$4:$B$102,Register!M$3,'Asset Value'!$C$4:$C$102,Register!$C4)/1000</f>
        <v>269921</v>
      </c>
      <c r="N4" s="20" t="n">
        <f aca="false">SUMIFS('Asset Value'!$F$4:$F$102,'Asset Value'!$B$4:$B$102,Register!N$3,'Asset Value'!$C$4:$C$102,Register!$C4)/1000</f>
        <v>290900</v>
      </c>
    </row>
    <row r="5" customFormat="false" ht="11.25" hidden="false" customHeight="true" outlineLevel="0" collapsed="false">
      <c r="B5" s="16"/>
      <c r="C5" s="17"/>
      <c r="D5" s="17"/>
      <c r="E5" s="17"/>
      <c r="F5" s="21" t="s">
        <v>44</v>
      </c>
      <c r="H5" s="22" t="n">
        <f aca="false">H4/G4-1</f>
        <v>0.101733862544391</v>
      </c>
      <c r="I5" s="22" t="n">
        <f aca="false">I4/H4-1</f>
        <v>0.0380482871950449</v>
      </c>
      <c r="J5" s="22" t="n">
        <f aca="false">J4/I4-1</f>
        <v>0.0933390160740379</v>
      </c>
      <c r="K5" s="22" t="n">
        <f aca="false">K4/J4-1</f>
        <v>0.200813053405357</v>
      </c>
      <c r="L5" s="22" t="n">
        <f aca="false">L4/K4-1</f>
        <v>0.0404025413903446</v>
      </c>
      <c r="M5" s="22" t="n">
        <f aca="false">M4/L4-1</f>
        <v>0.203167485357178</v>
      </c>
      <c r="N5" s="23" t="n">
        <f aca="false">N4/M4-1</f>
        <v>0.0777227410983215</v>
      </c>
    </row>
    <row r="6" customFormat="false" ht="15" hidden="false" customHeight="false" outlineLevel="0" collapsed="false">
      <c r="B6" s="16"/>
      <c r="C6" s="17"/>
      <c r="D6" s="17"/>
      <c r="E6" s="17"/>
      <c r="F6" s="1" t="s">
        <v>45</v>
      </c>
      <c r="G6" s="24" t="n">
        <f aca="false">SUMIFS(Rent!$E$3:$E$110,Rent!$C$3:$C$110,Register!G$3,Rent!$D$3:$D$110,Register!$C4)/1000</f>
        <v>5764.1164875</v>
      </c>
      <c r="H6" s="24" t="n">
        <f aca="false">SUMIFS(Rent!$E$3:$E$110,Rent!$C$3:$C$110,Register!H$3,Rent!$D$3:$D$110,Register!$C4)/1000</f>
        <v>5432.845425</v>
      </c>
      <c r="I6" s="24" t="n">
        <f aca="false">SUMIFS(Rent!$E$3:$E$110,Rent!$C$3:$C$110,Register!I$3,Rent!$D$3:$D$110,Register!$C4)/1000</f>
        <v>5962.879125</v>
      </c>
      <c r="J6" s="24" t="n">
        <f aca="false">SUMIFS(Rent!$E$3:$E$110,Rent!$C$3:$C$110,Register!J$3,Rent!$D$3:$D$110,Register!$C4)/1000</f>
        <v>4000.30904</v>
      </c>
      <c r="K6" s="24" t="n">
        <f aca="false">SUMIFS(Rent!$E$3:$E$110,Rent!$C$3:$C$110,Register!K$3,Rent!$D$3:$D$110,Register!$C4)/1000</f>
        <v>6522</v>
      </c>
      <c r="L6" s="24" t="n">
        <f aca="false">SUMIFS(Rent!$E$3:$E$110,Rent!$C$3:$C$110,Register!L$3,Rent!$D$3:$D$110,Register!$C4)/1000</f>
        <v>5902</v>
      </c>
      <c r="M6" s="24" t="n">
        <f aca="false">SUMIFS(Rent!$E$3:$E$110,Rent!$C$3:$C$110,Register!M$3,Rent!$D$3:$D$110,Register!$C4)/1000</f>
        <v>6567</v>
      </c>
      <c r="N6" s="25" t="n">
        <f aca="false">SUMIFS(Rent!$E$3:$E$110,Rent!$C$3:$C$110,Register!N$3,Rent!$D$3:$D$110,Register!$C4)/1000</f>
        <v>8312</v>
      </c>
    </row>
    <row r="7" customFormat="false" ht="10.5" hidden="false" customHeight="true" outlineLevel="0" collapsed="false">
      <c r="B7" s="16"/>
      <c r="C7" s="17"/>
      <c r="D7" s="17"/>
      <c r="E7" s="17"/>
      <c r="F7" s="21" t="s">
        <v>44</v>
      </c>
      <c r="H7" s="22" t="n">
        <f aca="false">H6/G6-1</f>
        <v>-0.0574712643678161</v>
      </c>
      <c r="I7" s="22" t="n">
        <f aca="false">I6/H6-1</f>
        <v>0.0975609756097562</v>
      </c>
      <c r="J7" s="22" t="n">
        <f aca="false">J6/I6-1</f>
        <v>-0.329131287731747</v>
      </c>
      <c r="K7" s="22" t="n">
        <f aca="false">K6/J6-1</f>
        <v>0.630374037301878</v>
      </c>
      <c r="L7" s="22" t="n">
        <f aca="false">L6/K6-1</f>
        <v>-0.0950628641521006</v>
      </c>
      <c r="M7" s="22" t="n">
        <f aca="false">M6/L6-1</f>
        <v>0.112673669942392</v>
      </c>
      <c r="N7" s="23" t="n">
        <f aca="false">N6/M6-1</f>
        <v>0.265722552154713</v>
      </c>
    </row>
    <row r="8" customFormat="false" ht="11.25" hidden="false" customHeight="true" outlineLevel="0" collapsed="false">
      <c r="B8" s="16"/>
      <c r="C8" s="17"/>
      <c r="D8" s="17"/>
      <c r="E8" s="17"/>
      <c r="F8" s="26" t="s">
        <v>46</v>
      </c>
      <c r="G8" s="27" t="n">
        <f aca="false">G6/G4</f>
        <v>0.0401372918842699</v>
      </c>
      <c r="H8" s="27" t="n">
        <f aca="false">H6/H4</f>
        <v>0.0343372862153963</v>
      </c>
      <c r="I8" s="27" t="n">
        <f aca="false">I6/I4</f>
        <v>0.0363058884863614</v>
      </c>
      <c r="J8" s="27" t="n">
        <f aca="false">J6/J4</f>
        <v>0.0222771567633792</v>
      </c>
      <c r="K8" s="27" t="n">
        <f aca="false">K6/K4</f>
        <v>0.0302462551593007</v>
      </c>
      <c r="L8" s="27" t="n">
        <f aca="false">L6/L4</f>
        <v>0.0263080475345678</v>
      </c>
      <c r="M8" s="27" t="n">
        <f aca="false">M6/M4</f>
        <v>0.0243293408071251</v>
      </c>
      <c r="N8" s="28" t="n">
        <f aca="false">N6/N4</f>
        <v>0.0285733929185287</v>
      </c>
    </row>
    <row r="9" customFormat="false" ht="15" hidden="false" customHeight="false" outlineLevel="0" collapsed="false">
      <c r="B9" s="16" t="n">
        <v>41</v>
      </c>
      <c r="C9" s="17" t="s">
        <v>20</v>
      </c>
      <c r="D9" s="17" t="s">
        <v>47</v>
      </c>
      <c r="E9" s="17" t="s">
        <v>48</v>
      </c>
      <c r="F9" s="18" t="s">
        <v>43</v>
      </c>
      <c r="G9" s="19" t="n">
        <f aca="false">SUMIFS('Asset Value'!$F$4:$F$102,'Asset Value'!$B$4:$B$102,Register!G$3,'Asset Value'!$C$4:$C$102,Register!$C9)/1000</f>
        <v>207710</v>
      </c>
      <c r="H9" s="19" t="n">
        <f aca="false">SUMIFS('Asset Value'!$F$4:$F$102,'Asset Value'!$B$4:$B$102,Register!H$3,'Asset Value'!$C$4:$C$102,Register!$C9)/1000</f>
        <v>234810</v>
      </c>
      <c r="I9" s="19" t="n">
        <f aca="false">SUMIFS('Asset Value'!$F$4:$F$102,'Asset Value'!$B$4:$B$102,Register!I$3,'Asset Value'!$C$4:$C$102,Register!$C9)/1000</f>
        <v>241810</v>
      </c>
      <c r="J9" s="19" t="n">
        <f aca="false">SUMIFS('Asset Value'!$F$4:$F$102,'Asset Value'!$B$4:$B$102,Register!J$3,'Asset Value'!$C$4:$C$102,Register!$C9)/1000</f>
        <v>273920</v>
      </c>
      <c r="K9" s="19" t="n">
        <f aca="false">SUMIFS('Asset Value'!$F$4:$F$102,'Asset Value'!$B$4:$B$102,Register!K$3,'Asset Value'!$C$4:$C$102,Register!$C9)/1000</f>
        <v>322340</v>
      </c>
      <c r="L9" s="19" t="n">
        <f aca="false">SUMIFS('Asset Value'!$F$4:$F$102,'Asset Value'!$B$4:$B$102,Register!L$3,'Asset Value'!$C$4:$C$102,Register!$C9)/1000</f>
        <v>331712</v>
      </c>
      <c r="M9" s="19" t="n">
        <f aca="false">SUMIFS('Asset Value'!$F$4:$F$102,'Asset Value'!$B$4:$B$102,Register!M$3,'Asset Value'!$C$4:$C$102,Register!$C9)/1000</f>
        <v>453258</v>
      </c>
      <c r="N9" s="20" t="n">
        <f aca="false">SUMIFS('Asset Value'!$F$4:$F$102,'Asset Value'!$B$4:$B$102,Register!N$3,'Asset Value'!$C$4:$C$102,Register!$C9)/1000</f>
        <v>473550</v>
      </c>
    </row>
    <row r="10" customFormat="false" ht="15" hidden="false" customHeight="false" outlineLevel="0" collapsed="false">
      <c r="B10" s="16"/>
      <c r="C10" s="17"/>
      <c r="D10" s="17"/>
      <c r="E10" s="17"/>
      <c r="F10" s="21" t="s">
        <v>44</v>
      </c>
      <c r="H10" s="22" t="n">
        <f aca="false">H9/G9-1</f>
        <v>0.130470367339079</v>
      </c>
      <c r="I10" s="22" t="n">
        <f aca="false">I9/H9-1</f>
        <v>0.0298113368255184</v>
      </c>
      <c r="J10" s="22" t="n">
        <f aca="false">J9/I9-1</f>
        <v>0.132790207187461</v>
      </c>
      <c r="K10" s="22" t="n">
        <f aca="false">K9/J9-1</f>
        <v>0.176766939252337</v>
      </c>
      <c r="L10" s="22" t="n">
        <f aca="false">L9/K9-1</f>
        <v>0.0290748898678415</v>
      </c>
      <c r="M10" s="22" t="n">
        <f aca="false">M9/L9-1</f>
        <v>0.366420268184449</v>
      </c>
      <c r="N10" s="23" t="n">
        <f aca="false">N9/M9-1</f>
        <v>0.0447692042942429</v>
      </c>
    </row>
    <row r="11" customFormat="false" ht="15" hidden="false" customHeight="false" outlineLevel="0" collapsed="false">
      <c r="B11" s="16"/>
      <c r="C11" s="17"/>
      <c r="D11" s="17"/>
      <c r="E11" s="17"/>
      <c r="F11" s="1" t="s">
        <v>45</v>
      </c>
      <c r="G11" s="24" t="n">
        <f aca="false">SUMIFS(Rent!$E$3:$E$110,Rent!$C$3:$C$110,Register!G$3,Rent!$D$3:$D$110,Register!$C9)/1000</f>
        <v>6078.89436</v>
      </c>
      <c r="H11" s="24" t="n">
        <f aca="false">SUMIFS(Rent!$E$3:$E$110,Rent!$C$3:$C$110,Register!H$3,Rent!$D$3:$D$110,Register!$C9)/1000</f>
        <v>5934.15878</v>
      </c>
      <c r="I11" s="24" t="n">
        <f aca="false">SUMIFS(Rent!$E$3:$E$110,Rent!$C$3:$C$110,Register!I$3,Rent!$D$3:$D$110,Register!$C9)/1000</f>
        <v>6802.57226</v>
      </c>
      <c r="J11" s="24" t="n">
        <f aca="false">SUMIFS(Rent!$E$3:$E$110,Rent!$C$3:$C$110,Register!J$3,Rent!$D$3:$D$110,Register!$C9)/1000</f>
        <v>4563.6751968</v>
      </c>
      <c r="K11" s="24" t="n">
        <f aca="false">SUMIFS(Rent!$E$3:$E$110,Rent!$C$3:$C$110,Register!K$3,Rent!$D$3:$D$110,Register!$C9)/1000</f>
        <v>7795</v>
      </c>
      <c r="L11" s="24" t="n">
        <f aca="false">SUMIFS(Rent!$E$3:$E$110,Rent!$C$3:$C$110,Register!L$3,Rent!$D$3:$D$110,Register!$C9)/1000</f>
        <v>7483</v>
      </c>
      <c r="M11" s="24" t="n">
        <f aca="false">SUMIFS(Rent!$E$3:$E$110,Rent!$C$3:$C$110,Register!M$3,Rent!$D$3:$D$110,Register!$C9)/1000</f>
        <v>10660</v>
      </c>
      <c r="N11" s="25" t="n">
        <f aca="false">SUMIFS(Rent!$E$3:$E$110,Rent!$C$3:$C$110,Register!N$3,Rent!$D$3:$D$110,Register!$C9)/1000</f>
        <v>13057</v>
      </c>
    </row>
    <row r="12" customFormat="false" ht="15" hidden="false" customHeight="false" outlineLevel="0" collapsed="false">
      <c r="B12" s="16"/>
      <c r="C12" s="17"/>
      <c r="D12" s="17"/>
      <c r="E12" s="17"/>
      <c r="F12" s="21" t="s">
        <v>44</v>
      </c>
      <c r="H12" s="22" t="n">
        <f aca="false">H11/G11-1</f>
        <v>-0.0238095238095237</v>
      </c>
      <c r="I12" s="22" t="n">
        <f aca="false">I11/H11-1</f>
        <v>0.146341463414634</v>
      </c>
      <c r="J12" s="22" t="n">
        <f aca="false">J11/I11-1</f>
        <v>-0.329125068816248</v>
      </c>
      <c r="K12" s="22" t="n">
        <f aca="false">K11/J11-1</f>
        <v>0.708053194816707</v>
      </c>
      <c r="L12" s="22" t="n">
        <f aca="false">L11/K11-1</f>
        <v>-0.0400256574727389</v>
      </c>
      <c r="M12" s="22" t="n">
        <f aca="false">M11/L11-1</f>
        <v>0.424562341306962</v>
      </c>
      <c r="N12" s="23" t="n">
        <f aca="false">N11/M11-1</f>
        <v>0.224859287054409</v>
      </c>
    </row>
    <row r="13" customFormat="false" ht="15" hidden="false" customHeight="false" outlineLevel="0" collapsed="false">
      <c r="B13" s="16"/>
      <c r="C13" s="17"/>
      <c r="D13" s="17"/>
      <c r="E13" s="17"/>
      <c r="F13" s="26" t="s">
        <v>46</v>
      </c>
      <c r="G13" s="27" t="n">
        <f aca="false">G11/G9</f>
        <v>0.0292662575706514</v>
      </c>
      <c r="H13" s="27" t="n">
        <f aca="false">H11/H9</f>
        <v>0.0252721723095269</v>
      </c>
      <c r="I13" s="27" t="n">
        <f aca="false">I11/I9</f>
        <v>0.0281318897481494</v>
      </c>
      <c r="J13" s="27" t="n">
        <f aca="false">J11/J9</f>
        <v>0.0166606133060748</v>
      </c>
      <c r="K13" s="27" t="n">
        <f aca="false">K11/K9</f>
        <v>0.0241825401749705</v>
      </c>
      <c r="L13" s="27" t="n">
        <f aca="false">L11/L9</f>
        <v>0.0225587256415204</v>
      </c>
      <c r="M13" s="27" t="n">
        <f aca="false">M11/M9</f>
        <v>0.023518614122641</v>
      </c>
      <c r="N13" s="28" t="n">
        <f aca="false">N11/N9</f>
        <v>0.0275725900116144</v>
      </c>
    </row>
    <row r="14" customFormat="false" ht="15" hidden="false" customHeight="false" outlineLevel="0" collapsed="false">
      <c r="B14" s="16" t="n">
        <v>114</v>
      </c>
      <c r="C14" s="17" t="s">
        <v>21</v>
      </c>
      <c r="D14" s="17" t="s">
        <v>49</v>
      </c>
      <c r="E14" s="17" t="s">
        <v>50</v>
      </c>
      <c r="F14" s="18" t="s">
        <v>43</v>
      </c>
      <c r="G14" s="19" t="n">
        <f aca="false">SUMIFS('Asset Value'!$F$4:$F$102,'Asset Value'!$B$4:$B$102,Register!G$3,'Asset Value'!$C$4:$C$102,Register!$C14)/1000</f>
        <v>106940</v>
      </c>
      <c r="H14" s="19" t="n">
        <f aca="false">SUMIFS('Asset Value'!$F$4:$F$102,'Asset Value'!$B$4:$B$102,Register!H$3,'Asset Value'!$C$4:$C$102,Register!$C14)/1000</f>
        <v>118040</v>
      </c>
      <c r="I14" s="19" t="n">
        <f aca="false">SUMIFS('Asset Value'!$F$4:$F$102,'Asset Value'!$B$4:$B$102,Register!I$3,'Asset Value'!$C$4:$C$102,Register!$C14)/1000</f>
        <v>142170</v>
      </c>
      <c r="J14" s="19" t="n">
        <f aca="false">SUMIFS('Asset Value'!$F$4:$F$102,'Asset Value'!$B$4:$B$102,Register!J$3,'Asset Value'!$C$4:$C$102,Register!$C14)/1000</f>
        <v>172970</v>
      </c>
      <c r="K14" s="19" t="n">
        <f aca="false">SUMIFS('Asset Value'!$F$4:$F$102,'Asset Value'!$B$4:$B$102,Register!K$3,'Asset Value'!$C$4:$C$102,Register!$C14)/1000</f>
        <v>197471</v>
      </c>
      <c r="L14" s="19" t="n">
        <f aca="false">SUMIFS('Asset Value'!$F$4:$F$102,'Asset Value'!$B$4:$B$102,Register!L$3,'Asset Value'!$C$4:$C$102,Register!$C14)/1000</f>
        <v>220203</v>
      </c>
      <c r="M14" s="19" t="n">
        <f aca="false">SUMIFS('Asset Value'!$F$4:$F$102,'Asset Value'!$B$4:$B$102,Register!M$3,'Asset Value'!$C$4:$C$102,Register!$C14)/1000</f>
        <v>229674</v>
      </c>
      <c r="N14" s="20" t="n">
        <f aca="false">SUMIFS('Asset Value'!$F$4:$F$102,'Asset Value'!$B$4:$B$102,Register!N$3,'Asset Value'!$C$4:$C$102,Register!$C14)/1000</f>
        <v>234550</v>
      </c>
    </row>
    <row r="15" customFormat="false" ht="15" hidden="false" customHeight="false" outlineLevel="0" collapsed="false">
      <c r="B15" s="16"/>
      <c r="C15" s="17"/>
      <c r="D15" s="17"/>
      <c r="E15" s="17"/>
      <c r="F15" s="21" t="s">
        <v>44</v>
      </c>
      <c r="H15" s="22" t="n">
        <f aca="false">H14/G14-1</f>
        <v>0.103796521413877</v>
      </c>
      <c r="I15" s="22" t="n">
        <f aca="false">I14/H14-1</f>
        <v>0.204422229752626</v>
      </c>
      <c r="J15" s="22" t="n">
        <f aca="false">J14/I14-1</f>
        <v>0.216642048252093</v>
      </c>
      <c r="K15" s="22" t="n">
        <f aca="false">K14/J14-1</f>
        <v>0.141648840839452</v>
      </c>
      <c r="L15" s="22" t="n">
        <f aca="false">L14/K14-1</f>
        <v>0.115115637232809</v>
      </c>
      <c r="M15" s="22" t="n">
        <f aca="false">M14/L14-1</f>
        <v>0.0430103132109916</v>
      </c>
      <c r="N15" s="23" t="n">
        <f aca="false">N14/M14-1</f>
        <v>0.0212300913468655</v>
      </c>
    </row>
    <row r="16" customFormat="false" ht="15" hidden="false" customHeight="false" outlineLevel="0" collapsed="false">
      <c r="B16" s="16"/>
      <c r="C16" s="17"/>
      <c r="D16" s="17"/>
      <c r="E16" s="17"/>
      <c r="F16" s="1" t="s">
        <v>45</v>
      </c>
      <c r="G16" s="24" t="n">
        <f aca="false">SUMIFS(Rent!$E$3:$E$110,Rent!$C$3:$C$110,Register!G$3,Rent!$D$3:$D$110,Register!$C14)/1000</f>
        <v>3727.49265</v>
      </c>
      <c r="H16" s="24" t="n">
        <f aca="false">SUMIFS(Rent!$E$3:$E$110,Rent!$C$3:$C$110,Register!H$3,Rent!$D$3:$D$110,Register!$C14)/1000</f>
        <v>3502.9449</v>
      </c>
      <c r="I16" s="24" t="n">
        <f aca="false">SUMIFS(Rent!$E$3:$E$110,Rent!$C$3:$C$110,Register!I$3,Rent!$D$3:$D$110,Register!$C14)/1000</f>
        <v>3907.13085</v>
      </c>
      <c r="J16" s="24" t="n">
        <f aca="false">SUMIFS(Rent!$E$3:$E$110,Rent!$C$3:$C$110,Register!J$3,Rent!$D$3:$D$110,Register!$C14)/1000</f>
        <v>4417.44924</v>
      </c>
      <c r="K16" s="24" t="n">
        <f aca="false">SUMIFS(Rent!$E$3:$E$110,Rent!$C$3:$C$110,Register!K$3,Rent!$D$3:$D$110,Register!$C14)/1000</f>
        <v>9821</v>
      </c>
      <c r="L16" s="24" t="n">
        <f aca="false">SUMIFS(Rent!$E$3:$E$110,Rent!$C$3:$C$110,Register!L$3,Rent!$D$3:$D$110,Register!$C14)/1000</f>
        <v>7371</v>
      </c>
      <c r="M16" s="24" t="n">
        <f aca="false">SUMIFS(Rent!$E$3:$E$110,Rent!$C$3:$C$110,Register!M$3,Rent!$D$3:$D$110,Register!$C14)/1000</f>
        <v>8241</v>
      </c>
      <c r="N16" s="25" t="n">
        <f aca="false">SUMIFS(Rent!$E$3:$E$110,Rent!$C$3:$C$110,Register!N$3,Rent!$D$3:$D$110,Register!$C14)/1000</f>
        <v>8398</v>
      </c>
    </row>
    <row r="17" customFormat="false" ht="15" hidden="false" customHeight="false" outlineLevel="0" collapsed="false">
      <c r="B17" s="16"/>
      <c r="C17" s="17"/>
      <c r="D17" s="17"/>
      <c r="E17" s="17"/>
      <c r="F17" s="21" t="s">
        <v>44</v>
      </c>
      <c r="H17" s="22" t="n">
        <f aca="false">H16/G16-1</f>
        <v>-0.0602409638554217</v>
      </c>
      <c r="I17" s="22" t="n">
        <f aca="false">I16/H16-1</f>
        <v>0.115384615384615</v>
      </c>
      <c r="J17" s="22" t="n">
        <f aca="false">J16/I16-1</f>
        <v>0.130612055135036</v>
      </c>
      <c r="K17" s="22" t="n">
        <f aca="false">K16/J16-1</f>
        <v>1.22322871558339</v>
      </c>
      <c r="L17" s="22" t="n">
        <f aca="false">L16/K16-1</f>
        <v>-0.249465431218817</v>
      </c>
      <c r="M17" s="22" t="n">
        <f aca="false">M16/L16-1</f>
        <v>0.118030118030118</v>
      </c>
      <c r="N17" s="23" t="n">
        <f aca="false">N16/M16-1</f>
        <v>0.0190510860332485</v>
      </c>
    </row>
    <row r="18" customFormat="false" ht="15" hidden="false" customHeight="false" outlineLevel="0" collapsed="false">
      <c r="B18" s="16"/>
      <c r="C18" s="17"/>
      <c r="D18" s="17"/>
      <c r="E18" s="17"/>
      <c r="F18" s="26" t="s">
        <v>46</v>
      </c>
      <c r="G18" s="27" t="n">
        <f aca="false">G16/G14</f>
        <v>0.0348559252852067</v>
      </c>
      <c r="H18" s="27" t="n">
        <f aca="false">H16/H14</f>
        <v>0.0296759140969163</v>
      </c>
      <c r="I18" s="27" t="n">
        <f aca="false">I16/I14</f>
        <v>0.0274821048744461</v>
      </c>
      <c r="J18" s="27" t="n">
        <f aca="false">J16/J14</f>
        <v>0.0255388173671735</v>
      </c>
      <c r="K18" s="27" t="n">
        <f aca="false">K16/K14</f>
        <v>0.0497338849755154</v>
      </c>
      <c r="L18" s="27" t="n">
        <f aca="false">L16/L14</f>
        <v>0.0334736583970246</v>
      </c>
      <c r="M18" s="27" t="n">
        <f aca="false">M16/M14</f>
        <v>0.0358812926147496</v>
      </c>
      <c r="N18" s="28" t="n">
        <f aca="false">N16/N14</f>
        <v>0.0358047324664251</v>
      </c>
    </row>
    <row r="19" customFormat="false" ht="15" hidden="false" customHeight="false" outlineLevel="0" collapsed="false">
      <c r="B19" s="16" t="n">
        <v>82</v>
      </c>
      <c r="C19" s="17" t="s">
        <v>22</v>
      </c>
      <c r="D19" s="17" t="s">
        <v>51</v>
      </c>
      <c r="E19" s="17" t="s">
        <v>52</v>
      </c>
      <c r="F19" s="18" t="s">
        <v>43</v>
      </c>
      <c r="G19" s="19" t="n">
        <f aca="false">SUMIFS('Asset Value'!$F$4:$F$102,'Asset Value'!$B$4:$B$102,Register!G$3,'Asset Value'!$C$4:$C$102,Register!$C19)/1000</f>
        <v>75090</v>
      </c>
      <c r="H19" s="19" t="n">
        <f aca="false">SUMIFS('Asset Value'!$F$4:$F$102,'Asset Value'!$B$4:$B$102,Register!H$3,'Asset Value'!$C$4:$C$102,Register!$C19)/1000</f>
        <v>86360</v>
      </c>
      <c r="I19" s="19" t="n">
        <f aca="false">SUMIFS('Asset Value'!$F$4:$F$102,'Asset Value'!$B$4:$B$102,Register!I$3,'Asset Value'!$C$4:$C$102,Register!$C19)/1000</f>
        <v>102810</v>
      </c>
      <c r="J19" s="19" t="n">
        <f aca="false">SUMIFS('Asset Value'!$F$4:$F$102,'Asset Value'!$B$4:$B$102,Register!J$3,'Asset Value'!$C$4:$C$102,Register!$C19)/1000</f>
        <v>146710</v>
      </c>
      <c r="K19" s="19" t="n">
        <f aca="false">SUMIFS('Asset Value'!$F$4:$F$102,'Asset Value'!$B$4:$B$102,Register!K$3,'Asset Value'!$C$4:$C$102,Register!$C19)/1000</f>
        <v>167470</v>
      </c>
      <c r="L19" s="19" t="n">
        <f aca="false">SUMIFS('Asset Value'!$F$4:$F$102,'Asset Value'!$B$4:$B$102,Register!L$3,'Asset Value'!$C$4:$C$102,Register!$C19)/1000</f>
        <v>145456</v>
      </c>
      <c r="M19" s="19" t="n">
        <f aca="false">SUMIFS('Asset Value'!$F$4:$F$102,'Asset Value'!$B$4:$B$102,Register!M$3,'Asset Value'!$C$4:$C$102,Register!$C19)/1000</f>
        <v>156350</v>
      </c>
      <c r="N19" s="20" t="n">
        <f aca="false">SUMIFS('Asset Value'!$F$4:$F$102,'Asset Value'!$B$4:$B$102,Register!N$3,'Asset Value'!$C$4:$C$102,Register!$C19)/1000</f>
        <v>166430</v>
      </c>
    </row>
    <row r="20" customFormat="false" ht="15" hidden="false" customHeight="false" outlineLevel="0" collapsed="false">
      <c r="B20" s="16"/>
      <c r="C20" s="17"/>
      <c r="D20" s="17"/>
      <c r="E20" s="17"/>
      <c r="F20" s="21" t="s">
        <v>44</v>
      </c>
      <c r="H20" s="22" t="n">
        <f aca="false">H19/G19-1</f>
        <v>0.150086562791317</v>
      </c>
      <c r="I20" s="22" t="n">
        <f aca="false">I19/H19-1</f>
        <v>0.190481704492821</v>
      </c>
      <c r="J20" s="22" t="n">
        <f aca="false">J19/I19-1</f>
        <v>0.427001264468437</v>
      </c>
      <c r="K20" s="22" t="n">
        <f aca="false">K19/J19-1</f>
        <v>0.141503646649853</v>
      </c>
      <c r="L20" s="22" t="n">
        <f aca="false">L19/K19-1</f>
        <v>-0.131450409028483</v>
      </c>
      <c r="M20" s="22" t="n">
        <f aca="false">M19/L19-1</f>
        <v>0.0748955010449897</v>
      </c>
      <c r="N20" s="23" t="n">
        <f aca="false">N19/M19-1</f>
        <v>0.0644707387272145</v>
      </c>
    </row>
    <row r="21" customFormat="false" ht="15" hidden="false" customHeight="false" outlineLevel="0" collapsed="false">
      <c r="B21" s="16"/>
      <c r="C21" s="17"/>
      <c r="D21" s="17"/>
      <c r="E21" s="17"/>
      <c r="F21" s="1" t="s">
        <v>45</v>
      </c>
      <c r="G21" s="24" t="n">
        <f aca="false">SUMIFS(Rent!$E$3:$E$110,Rent!$C$3:$C$110,Register!G$3,Rent!$D$3:$D$110,Register!$C19)/1000</f>
        <v>2181.24</v>
      </c>
      <c r="H21" s="24" t="n">
        <f aca="false">SUMIFS(Rent!$E$3:$E$110,Rent!$C$3:$C$110,Register!H$3,Rent!$D$3:$D$110,Register!$C19)/1000</f>
        <v>2049.84</v>
      </c>
      <c r="I21" s="24" t="n">
        <f aca="false">SUMIFS(Rent!$E$3:$E$110,Rent!$C$3:$C$110,Register!I$3,Rent!$D$3:$D$110,Register!$C19)/1000</f>
        <v>2897.28</v>
      </c>
      <c r="J21" s="24" t="n">
        <f aca="false">SUMIFS(Rent!$E$3:$E$110,Rent!$C$3:$C$110,Register!J$3,Rent!$D$3:$D$110,Register!$C19)/1000</f>
        <v>3924.8868575</v>
      </c>
      <c r="K21" s="24" t="n">
        <f aca="false">SUMIFS(Rent!$E$3:$E$110,Rent!$C$3:$C$110,Register!K$3,Rent!$D$3:$D$110,Register!$C19)/1000</f>
        <v>7989</v>
      </c>
      <c r="L21" s="24" t="n">
        <f aca="false">SUMIFS(Rent!$E$3:$E$110,Rent!$C$3:$C$110,Register!L$3,Rent!$D$3:$D$110,Register!$C19)/1000</f>
        <v>5372</v>
      </c>
      <c r="M21" s="24" t="n">
        <f aca="false">SUMIFS(Rent!$E$3:$E$110,Rent!$C$3:$C$110,Register!M$3,Rent!$D$3:$D$110,Register!$C19)/1000</f>
        <v>5792</v>
      </c>
      <c r="N21" s="25" t="n">
        <f aca="false">SUMIFS(Rent!$E$3:$E$110,Rent!$C$3:$C$110,Register!N$3,Rent!$D$3:$D$110,Register!$C19)/1000</f>
        <v>6119</v>
      </c>
    </row>
    <row r="22" customFormat="false" ht="15" hidden="false" customHeight="false" outlineLevel="0" collapsed="false">
      <c r="B22" s="16"/>
      <c r="C22" s="17"/>
      <c r="D22" s="17"/>
      <c r="E22" s="17"/>
      <c r="F22" s="21" t="s">
        <v>44</v>
      </c>
      <c r="H22" s="22" t="n">
        <f aca="false">H21/G21-1</f>
        <v>-0.0602409638554216</v>
      </c>
      <c r="I22" s="22" t="n">
        <f aca="false">I21/H21-1</f>
        <v>0.413417632595715</v>
      </c>
      <c r="J22" s="22" t="n">
        <f aca="false">J21/I21-1</f>
        <v>0.354679857487022</v>
      </c>
      <c r="K22" s="22" t="n">
        <f aca="false">K21/J21-1</f>
        <v>1.03547268750791</v>
      </c>
      <c r="L22" s="22" t="n">
        <f aca="false">L21/K21-1</f>
        <v>-0.327575416197271</v>
      </c>
      <c r="M22" s="22" t="n">
        <f aca="false">M21/L21-1</f>
        <v>0.0781831720029784</v>
      </c>
      <c r="N22" s="23" t="n">
        <f aca="false">N21/M21-1</f>
        <v>0.0564571823204421</v>
      </c>
    </row>
    <row r="23" customFormat="false" ht="15" hidden="false" customHeight="false" outlineLevel="0" collapsed="false">
      <c r="B23" s="16"/>
      <c r="C23" s="17"/>
      <c r="D23" s="17"/>
      <c r="E23" s="17"/>
      <c r="F23" s="26" t="s">
        <v>46</v>
      </c>
      <c r="G23" s="27" t="n">
        <f aca="false">G21/G19</f>
        <v>0.0290483419896125</v>
      </c>
      <c r="H23" s="27" t="n">
        <f aca="false">H21/H19</f>
        <v>0.0237359888837425</v>
      </c>
      <c r="I23" s="27" t="n">
        <f aca="false">I21/I19</f>
        <v>0.0281809162532828</v>
      </c>
      <c r="J23" s="27" t="n">
        <f aca="false">J21/J19</f>
        <v>0.0267526880069525</v>
      </c>
      <c r="K23" s="27" t="n">
        <f aca="false">K21/K19</f>
        <v>0.0477040663999522</v>
      </c>
      <c r="L23" s="27" t="n">
        <f aca="false">L21/L19</f>
        <v>0.0369321306786932</v>
      </c>
      <c r="M23" s="27" t="n">
        <f aca="false">M21/M19</f>
        <v>0.0370450911416693</v>
      </c>
      <c r="N23" s="28" t="n">
        <f aca="false">N21/N19</f>
        <v>0.0367662080153818</v>
      </c>
    </row>
    <row r="24" customFormat="false" ht="15" hidden="false" customHeight="false" outlineLevel="0" collapsed="false">
      <c r="B24" s="16" t="n">
        <v>82</v>
      </c>
      <c r="C24" s="17" t="s">
        <v>23</v>
      </c>
      <c r="D24" s="17" t="s">
        <v>51</v>
      </c>
      <c r="E24" s="17" t="s">
        <v>53</v>
      </c>
      <c r="F24" s="18" t="s">
        <v>43</v>
      </c>
      <c r="G24" s="19" t="n">
        <f aca="false">SUMIFS('Asset Value'!$F$4:$F$102,'Asset Value'!$B$4:$B$102,Register!G$3,'Asset Value'!$C$4:$C$102,Register!$C24)/1000</f>
        <v>58920</v>
      </c>
      <c r="H24" s="19" t="n">
        <f aca="false">SUMIFS('Asset Value'!$F$4:$F$102,'Asset Value'!$B$4:$B$102,Register!H$3,'Asset Value'!$C$4:$C$102,Register!$C24)/1000</f>
        <v>94840</v>
      </c>
      <c r="I24" s="19" t="n">
        <f aca="false">SUMIFS('Asset Value'!$F$4:$F$102,'Asset Value'!$B$4:$B$102,Register!I$3,'Asset Value'!$C$4:$C$102,Register!$C24)/1000</f>
        <v>81810</v>
      </c>
      <c r="J24" s="19" t="n">
        <f aca="false">SUMIFS('Asset Value'!$F$4:$F$102,'Asset Value'!$B$4:$B$102,Register!J$3,'Asset Value'!$C$4:$C$102,Register!$C24)/1000</f>
        <v>117020</v>
      </c>
      <c r="K24" s="19" t="n">
        <f aca="false">SUMIFS('Asset Value'!$F$4:$F$102,'Asset Value'!$B$4:$B$102,Register!K$3,'Asset Value'!$C$4:$C$102,Register!$C24)/1000</f>
        <v>133583</v>
      </c>
      <c r="L24" s="19" t="n">
        <f aca="false">SUMIFS('Asset Value'!$F$4:$F$102,'Asset Value'!$B$4:$B$102,Register!L$3,'Asset Value'!$C$4:$C$102,Register!$C24)/1000</f>
        <v>176404</v>
      </c>
      <c r="M24" s="19" t="n">
        <f aca="false">SUMIFS('Asset Value'!$F$4:$F$102,'Asset Value'!$B$4:$B$102,Register!M$3,'Asset Value'!$C$4:$C$102,Register!$C24)/1000</f>
        <v>198210</v>
      </c>
      <c r="N24" s="20" t="n">
        <f aca="false">SUMIFS('Asset Value'!$F$4:$F$102,'Asset Value'!$B$4:$B$102,Register!N$3,'Asset Value'!$C$4:$C$102,Register!$C24)/1000</f>
        <v>222860</v>
      </c>
    </row>
    <row r="25" customFormat="false" ht="15" hidden="false" customHeight="false" outlineLevel="0" collapsed="false">
      <c r="B25" s="16"/>
      <c r="C25" s="17"/>
      <c r="D25" s="17"/>
      <c r="E25" s="17"/>
      <c r="F25" s="21" t="s">
        <v>44</v>
      </c>
      <c r="H25" s="22" t="n">
        <f aca="false">H24/G24-1</f>
        <v>0.609640190088255</v>
      </c>
      <c r="I25" s="22" t="n">
        <f aca="false">I24/H24-1</f>
        <v>-0.137389287220582</v>
      </c>
      <c r="J25" s="22" t="n">
        <f aca="false">J24/I24-1</f>
        <v>0.430387483192764</v>
      </c>
      <c r="K25" s="22" t="n">
        <f aca="false">K24/J24-1</f>
        <v>0.141539907708084</v>
      </c>
      <c r="L25" s="22" t="n">
        <f aca="false">L24/K24-1</f>
        <v>0.320557256537134</v>
      </c>
      <c r="M25" s="22" t="n">
        <f aca="false">M24/L24-1</f>
        <v>0.123613977007324</v>
      </c>
      <c r="N25" s="23" t="n">
        <f aca="false">N24/M24-1</f>
        <v>0.124363049291156</v>
      </c>
    </row>
    <row r="26" customFormat="false" ht="15" hidden="false" customHeight="false" outlineLevel="0" collapsed="false">
      <c r="B26" s="16"/>
      <c r="C26" s="17"/>
      <c r="D26" s="17"/>
      <c r="E26" s="17"/>
      <c r="F26" s="1" t="s">
        <v>45</v>
      </c>
      <c r="G26" s="24" t="n">
        <f aca="false">SUMIFS(Rent!$E$3:$E$110,Rent!$C$3:$C$110,Register!G$3,Rent!$D$3:$D$110,Register!$C24)/1000</f>
        <v>0</v>
      </c>
      <c r="H26" s="24" t="n">
        <f aca="false">SUMIFS(Rent!$E$3:$E$110,Rent!$C$3:$C$110,Register!H$3,Rent!$D$3:$D$110,Register!$C24)/1000</f>
        <v>0</v>
      </c>
      <c r="I26" s="24" t="n">
        <f aca="false">SUMIFS(Rent!$E$3:$E$110,Rent!$C$3:$C$110,Register!I$3,Rent!$D$3:$D$110,Register!$C24)/1000</f>
        <v>455</v>
      </c>
      <c r="J26" s="24" t="n">
        <f aca="false">SUMIFS(Rent!$E$3:$E$110,Rent!$C$3:$C$110,Register!J$3,Rent!$D$3:$D$110,Register!$C24)/1000</f>
        <v>2193.42048</v>
      </c>
      <c r="K26" s="24" t="n">
        <f aca="false">SUMIFS(Rent!$E$3:$E$110,Rent!$C$3:$C$110,Register!K$3,Rent!$D$3:$D$110,Register!$C24)/1000</f>
        <v>3466</v>
      </c>
      <c r="L26" s="24" t="n">
        <f aca="false">SUMIFS(Rent!$E$3:$E$110,Rent!$C$3:$C$110,Register!L$3,Rent!$D$3:$D$110,Register!$C24)/1000</f>
        <v>2818</v>
      </c>
      <c r="M26" s="24" t="n">
        <f aca="false">SUMIFS(Rent!$E$3:$E$110,Rent!$C$3:$C$110,Register!M$3,Rent!$D$3:$D$110,Register!$C24)/1000</f>
        <v>3235</v>
      </c>
      <c r="N26" s="25" t="n">
        <f aca="false">SUMIFS(Rent!$E$3:$E$110,Rent!$C$3:$C$110,Register!N$3,Rent!$D$3:$D$110,Register!$C24)/1000</f>
        <v>3602</v>
      </c>
    </row>
    <row r="27" customFormat="false" ht="15" hidden="false" customHeight="false" outlineLevel="0" collapsed="false">
      <c r="B27" s="16"/>
      <c r="C27" s="17"/>
      <c r="D27" s="17"/>
      <c r="E27" s="17"/>
      <c r="F27" s="21" t="s">
        <v>44</v>
      </c>
      <c r="H27" s="22" t="e">
        <f aca="false">H26/G26-1</f>
        <v>#DIV/0!</v>
      </c>
      <c r="I27" s="22" t="e">
        <f aca="false">I26/H26-1</f>
        <v>#DIV/0!</v>
      </c>
      <c r="J27" s="22" t="n">
        <f aca="false">J26/I26-1</f>
        <v>3.82070435164835</v>
      </c>
      <c r="K27" s="22" t="n">
        <f aca="false">K26/J26-1</f>
        <v>0.580180376541392</v>
      </c>
      <c r="L27" s="22" t="n">
        <f aca="false">L26/K26-1</f>
        <v>-0.186959030582804</v>
      </c>
      <c r="M27" s="22" t="n">
        <f aca="false">M26/L26-1</f>
        <v>0.147977288857346</v>
      </c>
      <c r="N27" s="23" t="n">
        <f aca="false">N26/M26-1</f>
        <v>0.113446676970634</v>
      </c>
    </row>
    <row r="28" customFormat="false" ht="15" hidden="false" customHeight="false" outlineLevel="0" collapsed="false">
      <c r="B28" s="16"/>
      <c r="C28" s="17"/>
      <c r="D28" s="17"/>
      <c r="E28" s="17"/>
      <c r="F28" s="26" t="s">
        <v>46</v>
      </c>
      <c r="G28" s="27" t="n">
        <f aca="false">G26/G24</f>
        <v>0</v>
      </c>
      <c r="H28" s="27" t="n">
        <f aca="false">H26/H24</f>
        <v>0</v>
      </c>
      <c r="I28" s="27" t="n">
        <f aca="false">I26/I24</f>
        <v>0.0055616672778389</v>
      </c>
      <c r="J28" s="27" t="n">
        <f aca="false">J26/J24</f>
        <v>0.0187439794906854</v>
      </c>
      <c r="K28" s="27" t="n">
        <f aca="false">K26/K24</f>
        <v>0.0259464153372809</v>
      </c>
      <c r="L28" s="27" t="n">
        <f aca="false">L26/L24</f>
        <v>0.015974694451373</v>
      </c>
      <c r="M28" s="27" t="n">
        <f aca="false">M26/M24</f>
        <v>0.0163210736087988</v>
      </c>
      <c r="N28" s="28" t="n">
        <f aca="false">N26/N24</f>
        <v>0.0161626132998295</v>
      </c>
    </row>
    <row r="29" customFormat="false" ht="15" hidden="false" customHeight="false" outlineLevel="0" collapsed="false">
      <c r="B29" s="16" t="n">
        <v>82</v>
      </c>
      <c r="C29" s="17" t="s">
        <v>24</v>
      </c>
      <c r="D29" s="17" t="s">
        <v>51</v>
      </c>
      <c r="E29" s="17" t="s">
        <v>54</v>
      </c>
      <c r="F29" s="18" t="s">
        <v>43</v>
      </c>
      <c r="G29" s="19" t="n">
        <f aca="false">SUMIFS('Asset Value'!$F$4:$F$102,'Asset Value'!$B$4:$B$102,Register!G$3,'Asset Value'!$C$4:$C$102,Register!$C29)/1000</f>
        <v>0</v>
      </c>
      <c r="H29" s="19" t="n">
        <f aca="false">SUMIFS('Asset Value'!$F$4:$F$102,'Asset Value'!$B$4:$B$102,Register!H$3,'Asset Value'!$C$4:$C$102,Register!$C29)/1000</f>
        <v>22780</v>
      </c>
      <c r="I29" s="19" t="n">
        <f aca="false">SUMIFS('Asset Value'!$F$4:$F$102,'Asset Value'!$B$4:$B$102,Register!I$3,'Asset Value'!$C$4:$C$102,Register!$C29)/1000</f>
        <v>46320</v>
      </c>
      <c r="J29" s="19" t="n">
        <f aca="false">SUMIFS('Asset Value'!$F$4:$F$102,'Asset Value'!$B$4:$B$102,Register!J$3,'Asset Value'!$C$4:$C$102,Register!$C29)/1000</f>
        <v>83990</v>
      </c>
      <c r="K29" s="19" t="n">
        <f aca="false">SUMIFS('Asset Value'!$F$4:$F$102,'Asset Value'!$B$4:$B$102,Register!K$3,'Asset Value'!$C$4:$C$102,Register!$C29)/1000</f>
        <v>102260</v>
      </c>
      <c r="L29" s="19" t="n">
        <f aca="false">SUMIFS('Asset Value'!$F$4:$F$102,'Asset Value'!$B$4:$B$102,Register!L$3,'Asset Value'!$C$4:$C$102,Register!$C29)/1000</f>
        <v>173185</v>
      </c>
      <c r="M29" s="19" t="n">
        <f aca="false">SUMIFS('Asset Value'!$F$4:$F$102,'Asset Value'!$B$4:$B$102,Register!M$3,'Asset Value'!$C$4:$C$102,Register!$C29)/1000</f>
        <v>183096</v>
      </c>
      <c r="N29" s="20" t="n">
        <f aca="false">SUMIFS('Asset Value'!$F$4:$F$102,'Asset Value'!$B$4:$B$102,Register!N$3,'Asset Value'!$C$4:$C$102,Register!$C29)/1000</f>
        <v>187600</v>
      </c>
    </row>
    <row r="30" customFormat="false" ht="15" hidden="false" customHeight="false" outlineLevel="0" collapsed="false">
      <c r="B30" s="16"/>
      <c r="C30" s="17"/>
      <c r="D30" s="17"/>
      <c r="E30" s="17"/>
      <c r="F30" s="21" t="s">
        <v>44</v>
      </c>
      <c r="H30" s="22" t="e">
        <f aca="false">H29/G29-1</f>
        <v>#DIV/0!</v>
      </c>
      <c r="I30" s="22" t="n">
        <f aca="false">I29/H29-1</f>
        <v>1.03336259877085</v>
      </c>
      <c r="J30" s="22" t="n">
        <f aca="false">J29/I29-1</f>
        <v>0.81325561312608</v>
      </c>
      <c r="K30" s="22" t="n">
        <f aca="false">K29/J29-1</f>
        <v>0.217525895939993</v>
      </c>
      <c r="L30" s="22" t="n">
        <f aca="false">L29/K29-1</f>
        <v>0.693575200469392</v>
      </c>
      <c r="M30" s="22" t="n">
        <f aca="false">M29/L29-1</f>
        <v>0.057227819961313</v>
      </c>
      <c r="N30" s="23" t="n">
        <f aca="false">N29/M29-1</f>
        <v>0.0245991174028926</v>
      </c>
    </row>
    <row r="31" customFormat="false" ht="15" hidden="false" customHeight="false" outlineLevel="0" collapsed="false">
      <c r="B31" s="16"/>
      <c r="C31" s="17"/>
      <c r="D31" s="17"/>
      <c r="E31" s="17"/>
      <c r="F31" s="1" t="s">
        <v>45</v>
      </c>
      <c r="G31" s="24" t="n">
        <f aca="false">SUMIFS(Rent!$E$3:$E$110,Rent!$C$3:$C$110,Register!G$3,Rent!$D$3:$D$110,Register!$C29)/1000</f>
        <v>565.677</v>
      </c>
      <c r="H31" s="24" t="n">
        <f aca="false">SUMIFS(Rent!$E$3:$E$110,Rent!$C$3:$C$110,Register!H$3,Rent!$D$3:$D$110,Register!$C29)/1000</f>
        <v>1155.04272</v>
      </c>
      <c r="I31" s="24" t="n">
        <f aca="false">SUMIFS(Rent!$E$3:$E$110,Rent!$C$3:$C$110,Register!I$3,Rent!$D$3:$D$110,Register!$C29)/1000</f>
        <v>2568.87</v>
      </c>
      <c r="J31" s="24" t="n">
        <f aca="false">SUMIFS(Rent!$E$3:$E$110,Rent!$C$3:$C$110,Register!J$3,Rent!$D$3:$D$110,Register!$C29)/1000</f>
        <v>4695.29248</v>
      </c>
      <c r="K31" s="24" t="n">
        <f aca="false">SUMIFS(Rent!$E$3:$E$110,Rent!$C$3:$C$110,Register!K$3,Rent!$D$3:$D$110,Register!$C29)/1000</f>
        <v>7902</v>
      </c>
      <c r="L31" s="24" t="n">
        <f aca="false">SUMIFS(Rent!$E$3:$E$110,Rent!$C$3:$C$110,Register!L$3,Rent!$D$3:$D$110,Register!$C29)/1000</f>
        <v>7315</v>
      </c>
      <c r="M31" s="24" t="n">
        <f aca="false">SUMIFS(Rent!$E$3:$E$110,Rent!$C$3:$C$110,Register!M$3,Rent!$D$3:$D$110,Register!$C29)/1000</f>
        <v>7608</v>
      </c>
      <c r="N31" s="25" t="n">
        <f aca="false">SUMIFS(Rent!$E$3:$E$110,Rent!$C$3:$C$110,Register!N$3,Rent!$D$3:$D$110,Register!$C29)/1000</f>
        <v>10130</v>
      </c>
    </row>
    <row r="32" customFormat="false" ht="15" hidden="false" customHeight="false" outlineLevel="0" collapsed="false">
      <c r="B32" s="16"/>
      <c r="C32" s="17"/>
      <c r="D32" s="17"/>
      <c r="E32" s="17"/>
      <c r="F32" s="21" t="s">
        <v>44</v>
      </c>
      <c r="H32" s="22" t="n">
        <f aca="false">H31/G31-1</f>
        <v>1.04187676005919</v>
      </c>
      <c r="I32" s="22" t="n">
        <f aca="false">I31/H31-1</f>
        <v>1.22404760925206</v>
      </c>
      <c r="J32" s="22" t="n">
        <f aca="false">J31/I31-1</f>
        <v>0.827765702429473</v>
      </c>
      <c r="K32" s="22" t="n">
        <f aca="false">K31/J31-1</f>
        <v>0.682962250735017</v>
      </c>
      <c r="L32" s="22" t="n">
        <f aca="false">L31/K31-1</f>
        <v>-0.0742849911414831</v>
      </c>
      <c r="M32" s="22" t="n">
        <f aca="false">M31/L31-1</f>
        <v>0.0400546821599452</v>
      </c>
      <c r="N32" s="23" t="n">
        <f aca="false">N31/M31-1</f>
        <v>0.33149316508938</v>
      </c>
    </row>
    <row r="33" customFormat="false" ht="15" hidden="false" customHeight="false" outlineLevel="0" collapsed="false">
      <c r="B33" s="16"/>
      <c r="C33" s="17"/>
      <c r="D33" s="17"/>
      <c r="E33" s="17"/>
      <c r="F33" s="26" t="s">
        <v>46</v>
      </c>
      <c r="G33" s="27" t="e">
        <f aca="false">G31/G29</f>
        <v>#DIV/0!</v>
      </c>
      <c r="H33" s="27" t="n">
        <f aca="false">H31/H29</f>
        <v>0.0507042458296752</v>
      </c>
      <c r="I33" s="27" t="n">
        <f aca="false">I31/I29</f>
        <v>0.0554591968911917</v>
      </c>
      <c r="J33" s="27" t="n">
        <f aca="false">J31/J29</f>
        <v>0.0559029941659721</v>
      </c>
      <c r="K33" s="27" t="n">
        <f aca="false">K31/K29</f>
        <v>0.0772736162722472</v>
      </c>
      <c r="L33" s="27" t="n">
        <f aca="false">L31/L29</f>
        <v>0.0422380691168404</v>
      </c>
      <c r="M33" s="27" t="n">
        <f aca="false">M31/M29</f>
        <v>0.0415519727356141</v>
      </c>
      <c r="N33" s="28" t="n">
        <f aca="false">N31/N29</f>
        <v>0.053997867803838</v>
      </c>
    </row>
    <row r="34" customFormat="false" ht="15" hidden="false" customHeight="false" outlineLevel="0" collapsed="false">
      <c r="B34" s="16" t="n">
        <v>114</v>
      </c>
      <c r="C34" s="17" t="s">
        <v>25</v>
      </c>
      <c r="D34" s="17" t="s">
        <v>49</v>
      </c>
      <c r="E34" s="17" t="s">
        <v>55</v>
      </c>
      <c r="F34" s="18" t="s">
        <v>43</v>
      </c>
      <c r="G34" s="19" t="n">
        <f aca="false">SUMIFS('Asset Value'!$F$4:$F$102,'Asset Value'!$B$4:$B$102,Register!G$3,'Asset Value'!$C$4:$C$102,Register!$C34)/1000</f>
        <v>156660</v>
      </c>
      <c r="H34" s="19" t="n">
        <f aca="false">SUMIFS('Asset Value'!$F$4:$F$102,'Asset Value'!$B$4:$B$102,Register!H$3,'Asset Value'!$C$4:$C$102,Register!$C34)/1000</f>
        <v>207350</v>
      </c>
      <c r="I34" s="19" t="n">
        <f aca="false">SUMIFS('Asset Value'!$F$4:$F$102,'Asset Value'!$B$4:$B$102,Register!I$3,'Asset Value'!$C$4:$C$102,Register!$C34)/1000</f>
        <v>199850</v>
      </c>
      <c r="J34" s="19" t="n">
        <f aca="false">SUMIFS('Asset Value'!$F$4:$F$102,'Asset Value'!$B$4:$B$102,Register!J$3,'Asset Value'!$C$4:$C$102,Register!$C34)/1000</f>
        <v>222570</v>
      </c>
      <c r="K34" s="19" t="n">
        <f aca="false">SUMIFS('Asset Value'!$F$4:$F$102,'Asset Value'!$B$4:$B$102,Register!K$3,'Asset Value'!$C$4:$C$102,Register!$C34)/1000</f>
        <v>262140</v>
      </c>
      <c r="L34" s="19" t="n">
        <f aca="false">SUMIFS('Asset Value'!$F$4:$F$102,'Asset Value'!$B$4:$B$102,Register!L$3,'Asset Value'!$C$4:$C$102,Register!$C34)/1000</f>
        <v>305364</v>
      </c>
      <c r="M34" s="19" t="n">
        <f aca="false">SUMIFS('Asset Value'!$F$4:$F$102,'Asset Value'!$B$4:$B$102,Register!M$3,'Asset Value'!$C$4:$C$102,Register!$C34)/1000</f>
        <v>346990</v>
      </c>
      <c r="N34" s="20" t="n">
        <f aca="false">SUMIFS('Asset Value'!$F$4:$F$102,'Asset Value'!$B$4:$B$102,Register!N$3,'Asset Value'!$C$4:$C$102,Register!$C34)/1000</f>
        <v>412090</v>
      </c>
    </row>
    <row r="35" customFormat="false" ht="15" hidden="false" customHeight="false" outlineLevel="0" collapsed="false">
      <c r="B35" s="16"/>
      <c r="C35" s="17"/>
      <c r="D35" s="17"/>
      <c r="E35" s="17"/>
      <c r="F35" s="21" t="s">
        <v>44</v>
      </c>
      <c r="H35" s="22" t="n">
        <f aca="false">H34/G34-1</f>
        <v>0.323566960296183</v>
      </c>
      <c r="I35" s="22" t="n">
        <f aca="false">I34/H34-1</f>
        <v>-0.0361707258258982</v>
      </c>
      <c r="J35" s="22" t="n">
        <f aca="false">J34/I34-1</f>
        <v>0.113685263947961</v>
      </c>
      <c r="K35" s="22" t="n">
        <f aca="false">K34/J34-1</f>
        <v>0.177786763714786</v>
      </c>
      <c r="L35" s="22" t="n">
        <f aca="false">L34/K34-1</f>
        <v>0.164888990615702</v>
      </c>
      <c r="M35" s="22" t="n">
        <f aca="false">M34/L34-1</f>
        <v>0.136316003196186</v>
      </c>
      <c r="N35" s="23" t="n">
        <f aca="false">N34/M34-1</f>
        <v>0.187613475892677</v>
      </c>
    </row>
    <row r="36" customFormat="false" ht="15" hidden="false" customHeight="false" outlineLevel="0" collapsed="false">
      <c r="B36" s="16"/>
      <c r="C36" s="17"/>
      <c r="D36" s="17"/>
      <c r="E36" s="17"/>
      <c r="F36" s="1" t="s">
        <v>45</v>
      </c>
      <c r="G36" s="24" t="n">
        <f aca="false">SUMIFS(Rent!$E$3:$E$110,Rent!$C$3:$C$110,Register!G$3,Rent!$D$3:$D$110,Register!$C34)/1000</f>
        <v>0</v>
      </c>
      <c r="H36" s="24" t="n">
        <f aca="false">SUMIFS(Rent!$E$3:$E$110,Rent!$C$3:$C$110,Register!H$3,Rent!$D$3:$D$110,Register!$C34)/1000</f>
        <v>0</v>
      </c>
      <c r="I36" s="24" t="n">
        <f aca="false">SUMIFS(Rent!$E$3:$E$110,Rent!$C$3:$C$110,Register!I$3,Rent!$D$3:$D$110,Register!$C34)/1000</f>
        <v>0</v>
      </c>
      <c r="J36" s="24" t="n">
        <f aca="false">SUMIFS(Rent!$E$3:$E$110,Rent!$C$3:$C$110,Register!J$3,Rent!$D$3:$D$110,Register!$C34)/1000</f>
        <v>0</v>
      </c>
      <c r="K36" s="24" t="n">
        <f aca="false">SUMIFS(Rent!$E$3:$E$110,Rent!$C$3:$C$110,Register!K$3,Rent!$D$3:$D$110,Register!$C34)/1000</f>
        <v>0</v>
      </c>
      <c r="L36" s="24" t="n">
        <f aca="false">SUMIFS(Rent!$E$3:$E$110,Rent!$C$3:$C$110,Register!L$3,Rent!$D$3:$D$110,Register!$C34)/1000</f>
        <v>0</v>
      </c>
      <c r="M36" s="24" t="n">
        <f aca="false">SUMIFS(Rent!$E$3:$E$110,Rent!$C$3:$C$110,Register!M$3,Rent!$D$3:$D$110,Register!$C34)/1000</f>
        <v>151</v>
      </c>
      <c r="N36" s="25" t="n">
        <f aca="false">SUMIFS(Rent!$E$3:$E$110,Rent!$C$3:$C$110,Register!N$3,Rent!$D$3:$D$110,Register!$C34)/1000</f>
        <v>159</v>
      </c>
    </row>
    <row r="37" customFormat="false" ht="15" hidden="false" customHeight="false" outlineLevel="0" collapsed="false">
      <c r="B37" s="16"/>
      <c r="C37" s="17"/>
      <c r="D37" s="17"/>
      <c r="E37" s="17"/>
      <c r="F37" s="21" t="s">
        <v>44</v>
      </c>
      <c r="H37" s="22" t="e">
        <f aca="false">H36/G36-1</f>
        <v>#DIV/0!</v>
      </c>
      <c r="I37" s="22" t="e">
        <f aca="false">I36/H36-1</f>
        <v>#DIV/0!</v>
      </c>
      <c r="J37" s="22" t="e">
        <f aca="false">J36/I36-1</f>
        <v>#DIV/0!</v>
      </c>
      <c r="K37" s="22" t="e">
        <f aca="false">K36/J36-1</f>
        <v>#DIV/0!</v>
      </c>
      <c r="L37" s="22" t="e">
        <f aca="false">L36/K36-1</f>
        <v>#DIV/0!</v>
      </c>
      <c r="M37" s="22" t="e">
        <f aca="false">M36/L36-1</f>
        <v>#DIV/0!</v>
      </c>
      <c r="N37" s="23" t="n">
        <f aca="false">N36/M36-1</f>
        <v>0.0529801324503312</v>
      </c>
    </row>
    <row r="38" customFormat="false" ht="15" hidden="false" customHeight="false" outlineLevel="0" collapsed="false">
      <c r="B38" s="16"/>
      <c r="C38" s="17"/>
      <c r="D38" s="17"/>
      <c r="E38" s="17"/>
      <c r="F38" s="26" t="s">
        <v>46</v>
      </c>
      <c r="G38" s="27" t="n">
        <f aca="false">G36/G34</f>
        <v>0</v>
      </c>
      <c r="H38" s="27" t="n">
        <f aca="false">H36/H34</f>
        <v>0</v>
      </c>
      <c r="I38" s="27" t="n">
        <f aca="false">I36/I34</f>
        <v>0</v>
      </c>
      <c r="J38" s="27" t="n">
        <f aca="false">J36/J34</f>
        <v>0</v>
      </c>
      <c r="K38" s="27" t="n">
        <f aca="false">K36/K34</f>
        <v>0</v>
      </c>
      <c r="L38" s="27" t="n">
        <f aca="false">L36/L34</f>
        <v>0</v>
      </c>
      <c r="M38" s="27" t="n">
        <f aca="false">M36/M34</f>
        <v>0.000435171042393153</v>
      </c>
      <c r="N38" s="28" t="n">
        <f aca="false">N36/N34</f>
        <v>0.000385838045087238</v>
      </c>
    </row>
    <row r="39" customFormat="false" ht="15" hidden="false" customHeight="false" outlineLevel="0" collapsed="false">
      <c r="B39" s="16" t="n">
        <v>64</v>
      </c>
      <c r="C39" s="17" t="s">
        <v>26</v>
      </c>
      <c r="D39" s="17" t="s">
        <v>56</v>
      </c>
      <c r="E39" s="17" t="s">
        <v>57</v>
      </c>
      <c r="F39" s="18" t="s">
        <v>43</v>
      </c>
      <c r="G39" s="19" t="n">
        <f aca="false">(SUMIFS('Asset Value'!$F$4:$F$102,'Asset Value'!$B$4:$B$102,Register!G$3,'Asset Value'!$C$4:$C$102,Register!$C39)/1000)+(G44)</f>
        <v>218840</v>
      </c>
      <c r="H39" s="19" t="n">
        <f aca="false">(SUMIFS('Asset Value'!$F$4:$F$102,'Asset Value'!$B$4:$B$102,Register!H$3,'Asset Value'!$C$4:$C$102,Register!$C39)/1000)+(H44)</f>
        <v>265050</v>
      </c>
      <c r="I39" s="19" t="n">
        <f aca="false">(SUMIFS('Asset Value'!$F$4:$F$102,'Asset Value'!$B$4:$B$102,Register!I$3,'Asset Value'!$C$4:$C$102,Register!$C39)/1000)+(I44)</f>
        <v>243950</v>
      </c>
      <c r="J39" s="19" t="n">
        <f aca="false">(SUMIFS('Asset Value'!$F$4:$F$102,'Asset Value'!$B$4:$B$102,Register!J$3,'Asset Value'!$C$4:$C$102,Register!$C39)/1000)+(J44)</f>
        <v>279570</v>
      </c>
      <c r="K39" s="19" t="n">
        <f aca="false">(SUMIFS('Asset Value'!$F$4:$F$102,'Asset Value'!$B$4:$B$102,Register!K$3,'Asset Value'!$C$4:$C$102,Register!$C39)/1000)+(K44)</f>
        <v>332180</v>
      </c>
      <c r="L39" s="19" t="n">
        <f aca="false">(SUMIFS('Asset Value'!$F$4:$F$102,'Asset Value'!$B$4:$B$102,Register!L$3,'Asset Value'!$C$4:$C$102,Register!$C39)/1000)+(L44)</f>
        <v>341232</v>
      </c>
      <c r="M39" s="19" t="n">
        <f aca="false">(SUMIFS('Asset Value'!$F$4:$F$102,'Asset Value'!$B$4:$B$102,Register!M$3,'Asset Value'!$C$4:$C$102,Register!$C39)/1000)+(M44)</f>
        <v>420555</v>
      </c>
      <c r="N39" s="20" t="n">
        <f aca="false">(SUMIFS('Asset Value'!$F$4:$F$102,'Asset Value'!$B$4:$B$102,Register!N$3,'Asset Value'!$C$4:$C$102,Register!$C39)/1000)+(N44)</f>
        <v>450910</v>
      </c>
    </row>
    <row r="40" customFormat="false" ht="15" hidden="false" customHeight="false" outlineLevel="0" collapsed="false">
      <c r="B40" s="16"/>
      <c r="C40" s="17"/>
      <c r="D40" s="17"/>
      <c r="E40" s="17"/>
      <c r="F40" s="21" t="s">
        <v>44</v>
      </c>
      <c r="H40" s="22" t="n">
        <f aca="false">H39/G39-1</f>
        <v>0.211158837506854</v>
      </c>
      <c r="I40" s="22" t="n">
        <f aca="false">I39/H39-1</f>
        <v>-0.0796076212035465</v>
      </c>
      <c r="J40" s="22" t="n">
        <f aca="false">J39/I39-1</f>
        <v>0.146013527362164</v>
      </c>
      <c r="K40" s="22" t="n">
        <f aca="false">K39/J39-1</f>
        <v>0.188181850699288</v>
      </c>
      <c r="L40" s="22" t="n">
        <f aca="false">L39/K39-1</f>
        <v>0.0272502859895238</v>
      </c>
      <c r="M40" s="22" t="n">
        <f aca="false">M39/L39-1</f>
        <v>0.232460613307075</v>
      </c>
      <c r="N40" s="23" t="n">
        <f aca="false">N39/M39-1</f>
        <v>0.0721784308829998</v>
      </c>
    </row>
    <row r="41" customFormat="false" ht="15" hidden="false" customHeight="false" outlineLevel="0" collapsed="false">
      <c r="B41" s="16"/>
      <c r="C41" s="17"/>
      <c r="D41" s="17"/>
      <c r="E41" s="17"/>
      <c r="F41" s="1" t="s">
        <v>45</v>
      </c>
      <c r="G41" s="24" t="n">
        <f aca="false">(SUMIFS(Rent!$E$3:$E$110,Rent!$C$3:$C$110,Register!G$3,Rent!$D$3:$D$110,Register!$C39)/1000)+(G46)</f>
        <v>7507.249555</v>
      </c>
      <c r="H41" s="24" t="n">
        <f aca="false">(SUMIFS(Rent!$E$3:$E$110,Rent!$C$3:$C$110,Register!H$3,Rent!$D$3:$D$110,Register!$C39)/1000)+(H46)</f>
        <v>7007.61131</v>
      </c>
      <c r="I41" s="24" t="n">
        <f aca="false">(SUMIFS(Rent!$E$3:$E$110,Rent!$C$3:$C$110,Register!I$3,Rent!$D$3:$D$110,Register!$C39)/1000)+(I46)</f>
        <v>8841.9566235</v>
      </c>
      <c r="J41" s="24" t="n">
        <f aca="false">(SUMIFS(Rent!$E$3:$E$110,Rent!$C$3:$C$110,Register!J$3,Rent!$D$3:$D$110,Register!$C39)/1000)+(J46)</f>
        <v>4976.6418</v>
      </c>
      <c r="K41" s="24" t="n">
        <f aca="false">(SUMIFS(Rent!$E$3:$E$110,Rent!$C$3:$C$110,Register!K$3,Rent!$D$3:$D$110,Register!$C39)/1000)+(K46)</f>
        <v>10538</v>
      </c>
      <c r="L41" s="24" t="n">
        <f aca="false">(SUMIFS(Rent!$E$3:$E$110,Rent!$C$3:$C$110,Register!L$3,Rent!$D$3:$D$110,Register!$C39)/1000)+(L46)</f>
        <v>9884</v>
      </c>
      <c r="M41" s="24" t="n">
        <f aca="false">(SUMIFS(Rent!$E$3:$E$110,Rent!$C$3:$C$110,Register!M$3,Rent!$D$3:$D$110,Register!$C39)/1000)+(M46)</f>
        <v>15146</v>
      </c>
      <c r="N41" s="25" t="n">
        <f aca="false">(SUMIFS(Rent!$E$3:$E$110,Rent!$C$3:$C$110,Register!N$3,Rent!$D$3:$D$110,Register!$C39)/1000)+(N46)</f>
        <v>17733</v>
      </c>
    </row>
    <row r="42" customFormat="false" ht="15" hidden="false" customHeight="false" outlineLevel="0" collapsed="false">
      <c r="B42" s="16"/>
      <c r="C42" s="17"/>
      <c r="D42" s="17"/>
      <c r="E42" s="17"/>
      <c r="F42" s="21" t="s">
        <v>44</v>
      </c>
      <c r="H42" s="22" t="n">
        <f aca="false">H41/G41-1</f>
        <v>-0.0665541009845914</v>
      </c>
      <c r="I42" s="22" t="n">
        <f aca="false">I41/H41-1</f>
        <v>0.261764705882353</v>
      </c>
      <c r="J42" s="22" t="n">
        <f aca="false">J41/I41-1</f>
        <v>-0.437156049061226</v>
      </c>
      <c r="K42" s="22" t="n">
        <f aca="false">K41/J41-1</f>
        <v>1.11749216107939</v>
      </c>
      <c r="L42" s="22" t="n">
        <f aca="false">L41/K41-1</f>
        <v>-0.0620611121654963</v>
      </c>
      <c r="M42" s="22" t="n">
        <f aca="false">M41/L41-1</f>
        <v>0.532375556454877</v>
      </c>
      <c r="N42" s="23" t="n">
        <f aca="false">N41/M41-1</f>
        <v>0.17080417271887</v>
      </c>
    </row>
    <row r="43" customFormat="false" ht="15" hidden="false" customHeight="false" outlineLevel="0" collapsed="false">
      <c r="B43" s="16"/>
      <c r="C43" s="17"/>
      <c r="D43" s="17"/>
      <c r="E43" s="17"/>
      <c r="F43" s="26" t="s">
        <v>46</v>
      </c>
      <c r="G43" s="27" t="n">
        <f aca="false">G41/G39</f>
        <v>0.0343047411579236</v>
      </c>
      <c r="H43" s="27" t="n">
        <f aca="false">H41/H39</f>
        <v>0.0264388278060743</v>
      </c>
      <c r="I43" s="27" t="n">
        <f aca="false">I41/I39</f>
        <v>0.0362449543902439</v>
      </c>
      <c r="J43" s="27" t="n">
        <f aca="false">J41/J39</f>
        <v>0.0178010580534392</v>
      </c>
      <c r="K43" s="27" t="n">
        <f aca="false">K41/K39</f>
        <v>0.0317237642242158</v>
      </c>
      <c r="L43" s="27" t="n">
        <f aca="false">L41/L39</f>
        <v>0.0289656304215314</v>
      </c>
      <c r="M43" s="27" t="n">
        <f aca="false">M41/M39</f>
        <v>0.0360143144178526</v>
      </c>
      <c r="N43" s="28" t="n">
        <f aca="false">N41/N39</f>
        <v>0.0393271384533499</v>
      </c>
    </row>
    <row r="44" customFormat="false" ht="15" hidden="true" customHeight="false" outlineLevel="0" collapsed="false">
      <c r="B44" s="16" t="n">
        <v>64</v>
      </c>
      <c r="C44" s="17" t="s">
        <v>27</v>
      </c>
      <c r="D44" s="17" t="s">
        <v>56</v>
      </c>
      <c r="E44" s="17" t="s">
        <v>57</v>
      </c>
      <c r="F44" s="18" t="s">
        <v>43</v>
      </c>
      <c r="G44" s="19" t="n">
        <f aca="false">SUMIFS('Asset Value'!$F$4:$F$102,'Asset Value'!$B$4:$B$102,Register!G$3,'Asset Value'!$C$4:$C$102,Register!$C44)/1000</f>
        <v>0</v>
      </c>
      <c r="H44" s="19" t="n">
        <f aca="false">SUMIFS('Asset Value'!$F$4:$F$102,'Asset Value'!$B$4:$B$102,Register!H$3,'Asset Value'!$C$4:$C$102,Register!$C44)/1000</f>
        <v>0</v>
      </c>
      <c r="I44" s="19" t="n">
        <f aca="false">SUMIFS('Asset Value'!$F$4:$F$102,'Asset Value'!$B$4:$B$102,Register!I$3,'Asset Value'!$C$4:$C$102,Register!$C44)/1000</f>
        <v>0</v>
      </c>
      <c r="J44" s="19" t="n">
        <f aca="false">SUMIFS('Asset Value'!$F$4:$F$102,'Asset Value'!$B$4:$B$102,Register!J$3,'Asset Value'!$C$4:$C$102,Register!$C44)/1000</f>
        <v>0</v>
      </c>
      <c r="K44" s="19" t="n">
        <f aca="false">SUMIFS('Asset Value'!$F$4:$F$102,'Asset Value'!$B$4:$B$102,Register!K$3,'Asset Value'!$C$4:$C$102,Register!$C44)/1000</f>
        <v>41600</v>
      </c>
      <c r="L44" s="19" t="n">
        <f aca="false">SUMIFS('Asset Value'!$F$4:$F$102,'Asset Value'!$B$4:$B$102,Register!L$3,'Asset Value'!$C$4:$C$102,Register!$C44)/1000</f>
        <v>42627</v>
      </c>
      <c r="M44" s="19" t="n">
        <f aca="false">SUMIFS('Asset Value'!$F$4:$F$102,'Asset Value'!$B$4:$B$102,Register!M$3,'Asset Value'!$C$4:$C$102,Register!$C44)/1000</f>
        <v>0</v>
      </c>
      <c r="N44" s="20" t="n">
        <f aca="false">SUMIFS('Asset Value'!$F$4:$F$102,'Asset Value'!$B$4:$B$102,Register!N$3,'Asset Value'!$C$4:$C$102,Register!$C44)/1000</f>
        <v>0</v>
      </c>
    </row>
    <row r="45" customFormat="false" ht="15" hidden="true" customHeight="false" outlineLevel="0" collapsed="false">
      <c r="B45" s="16"/>
      <c r="C45" s="17"/>
      <c r="D45" s="17"/>
      <c r="E45" s="17"/>
      <c r="F45" s="21" t="s">
        <v>44</v>
      </c>
      <c r="H45" s="22" t="e">
        <f aca="false">H44/G44-1</f>
        <v>#DIV/0!</v>
      </c>
      <c r="I45" s="22" t="e">
        <f aca="false">I44/H44-1</f>
        <v>#DIV/0!</v>
      </c>
      <c r="J45" s="22" t="e">
        <f aca="false">J44/I44-1</f>
        <v>#DIV/0!</v>
      </c>
      <c r="K45" s="22" t="e">
        <f aca="false">K44/J44-1</f>
        <v>#DIV/0!</v>
      </c>
      <c r="L45" s="22" t="n">
        <f aca="false">L44/K44-1</f>
        <v>0.0246875</v>
      </c>
      <c r="M45" s="22" t="n">
        <f aca="false">M44/L44-1</f>
        <v>-1</v>
      </c>
      <c r="N45" s="23" t="e">
        <f aca="false">N44/M44-1</f>
        <v>#DIV/0!</v>
      </c>
    </row>
    <row r="46" customFormat="false" ht="15" hidden="true" customHeight="false" outlineLevel="0" collapsed="false">
      <c r="B46" s="16"/>
      <c r="C46" s="17"/>
      <c r="D46" s="17"/>
      <c r="E46" s="17"/>
      <c r="F46" s="1" t="s">
        <v>45</v>
      </c>
      <c r="G46" s="24" t="n">
        <f aca="false">SUMIFS(Rent!$E$3:$E$110,Rent!$C$3:$C$110,Register!G$3,Rent!$D$3:$D$110,Register!$C44)/1000</f>
        <v>0</v>
      </c>
      <c r="H46" s="24" t="n">
        <f aca="false">SUMIFS(Rent!$E$3:$E$110,Rent!$C$3:$C$110,Register!H$3,Rent!$D$3:$D$110,Register!$C44)/1000</f>
        <v>0</v>
      </c>
      <c r="I46" s="24" t="n">
        <f aca="false">SUMIFS(Rent!$E$3:$E$110,Rent!$C$3:$C$110,Register!I$3,Rent!$D$3:$D$110,Register!$C44)/1000</f>
        <v>0</v>
      </c>
      <c r="J46" s="24" t="n">
        <f aca="false">SUMIFS(Rent!$E$3:$E$110,Rent!$C$3:$C$110,Register!J$3,Rent!$D$3:$D$110,Register!$C44)/1000</f>
        <v>0</v>
      </c>
      <c r="K46" s="24" t="n">
        <f aca="false">SUMIFS(Rent!$E$3:$E$110,Rent!$C$3:$C$110,Register!K$3,Rent!$D$3:$D$110,Register!$C44)/1000</f>
        <v>1287</v>
      </c>
      <c r="L46" s="24" t="n">
        <f aca="false">SUMIFS(Rent!$E$3:$E$110,Rent!$C$3:$C$110,Register!L$3,Rent!$D$3:$D$110,Register!$C44)/1000</f>
        <v>1207</v>
      </c>
      <c r="M46" s="24" t="n">
        <f aca="false">SUMIFS(Rent!$E$3:$E$110,Rent!$C$3:$C$110,Register!M$3,Rent!$D$3:$D$110,Register!$C44)/1000</f>
        <v>0</v>
      </c>
      <c r="N46" s="25" t="n">
        <f aca="false">SUMIFS(Rent!$E$3:$E$110,Rent!$C$3:$C$110,Register!N$3,Rent!$D$3:$D$110,Register!$C44)/1000</f>
        <v>0</v>
      </c>
    </row>
    <row r="47" customFormat="false" ht="15" hidden="true" customHeight="false" outlineLevel="0" collapsed="false">
      <c r="B47" s="16"/>
      <c r="C47" s="17"/>
      <c r="D47" s="17"/>
      <c r="E47" s="17"/>
      <c r="F47" s="21" t="s">
        <v>44</v>
      </c>
      <c r="H47" s="22" t="e">
        <f aca="false">H46/G46-1</f>
        <v>#DIV/0!</v>
      </c>
      <c r="I47" s="22" t="e">
        <f aca="false">I46/H46-1</f>
        <v>#DIV/0!</v>
      </c>
      <c r="J47" s="22" t="e">
        <f aca="false">J46/I46-1</f>
        <v>#DIV/0!</v>
      </c>
      <c r="K47" s="22" t="e">
        <f aca="false">K46/J46-1</f>
        <v>#DIV/0!</v>
      </c>
      <c r="L47" s="22" t="n">
        <f aca="false">L46/K46-1</f>
        <v>-0.0621600621600622</v>
      </c>
      <c r="M47" s="22" t="n">
        <f aca="false">M46/L46-1</f>
        <v>-1</v>
      </c>
      <c r="N47" s="23" t="e">
        <f aca="false">N46/M46-1</f>
        <v>#DIV/0!</v>
      </c>
    </row>
    <row r="48" customFormat="false" ht="15" hidden="true" customHeight="false" outlineLevel="0" collapsed="false">
      <c r="B48" s="16"/>
      <c r="C48" s="17"/>
      <c r="D48" s="17"/>
      <c r="E48" s="17"/>
      <c r="F48" s="26" t="s">
        <v>46</v>
      </c>
      <c r="G48" s="27" t="e">
        <f aca="false">G46/G44</f>
        <v>#DIV/0!</v>
      </c>
      <c r="H48" s="27" t="e">
        <f aca="false">H46/H44</f>
        <v>#DIV/0!</v>
      </c>
      <c r="I48" s="27" t="e">
        <f aca="false">I46/I44</f>
        <v>#DIV/0!</v>
      </c>
      <c r="J48" s="27" t="e">
        <f aca="false">J46/J44</f>
        <v>#DIV/0!</v>
      </c>
      <c r="K48" s="27" t="n">
        <f aca="false">K46/K44</f>
        <v>0.0309375</v>
      </c>
      <c r="L48" s="27" t="n">
        <f aca="false">L46/L44</f>
        <v>0.0283153869613156</v>
      </c>
      <c r="M48" s="27" t="e">
        <f aca="false">M46/M44</f>
        <v>#DIV/0!</v>
      </c>
      <c r="N48" s="28" t="e">
        <f aca="false">N46/N44</f>
        <v>#DIV/0!</v>
      </c>
    </row>
    <row r="49" customFormat="false" ht="15" hidden="false" customHeight="false" outlineLevel="0" collapsed="false">
      <c r="B49" s="16" t="n">
        <v>82</v>
      </c>
      <c r="C49" s="17" t="s">
        <v>28</v>
      </c>
      <c r="D49" s="17" t="s">
        <v>51</v>
      </c>
      <c r="E49" s="17" t="s">
        <v>58</v>
      </c>
      <c r="F49" s="18" t="s">
        <v>43</v>
      </c>
      <c r="G49" s="19" t="n">
        <f aca="false">SUMIFS('Asset Value'!$F$4:$F$102,'Asset Value'!$B$4:$B$102,Register!G$3,'Asset Value'!$C$4:$C$102,Register!$C49)/1000</f>
        <v>0</v>
      </c>
      <c r="H49" s="19" t="n">
        <f aca="false">SUMIFS('Asset Value'!$F$4:$F$102,'Asset Value'!$B$4:$B$102,Register!H$3,'Asset Value'!$C$4:$C$102,Register!$C49)/1000</f>
        <v>0</v>
      </c>
      <c r="I49" s="19" t="n">
        <f aca="false">SUMIFS('Asset Value'!$F$4:$F$102,'Asset Value'!$B$4:$B$102,Register!I$3,'Asset Value'!$C$4:$C$102,Register!$C49)/1000</f>
        <v>0</v>
      </c>
      <c r="J49" s="19" t="n">
        <f aca="false">SUMIFS('Asset Value'!$F$4:$F$102,'Asset Value'!$B$4:$B$102,Register!J$3,'Asset Value'!$C$4:$C$102,Register!$C49)/1000</f>
        <v>0</v>
      </c>
      <c r="K49" s="19" t="n">
        <f aca="false">SUMIFS('Asset Value'!$F$4:$F$102,'Asset Value'!$B$4:$B$102,Register!K$3,'Asset Value'!$C$4:$C$102,Register!$C49)/1000</f>
        <v>114366</v>
      </c>
      <c r="L49" s="19" t="n">
        <f aca="false">SUMIFS('Asset Value'!$F$4:$F$102,'Asset Value'!$B$4:$B$102,Register!L$3,'Asset Value'!$C$4:$C$102,Register!$C49)/1000</f>
        <v>168079</v>
      </c>
      <c r="M49" s="19" t="n">
        <f aca="false">SUMIFS('Asset Value'!$F$4:$F$102,'Asset Value'!$B$4:$B$102,Register!M$3,'Asset Value'!$C$4:$C$102,Register!$C49)/1000</f>
        <v>226665</v>
      </c>
      <c r="N49" s="20" t="n">
        <f aca="false">SUMIFS('Asset Value'!$F$4:$F$102,'Asset Value'!$B$4:$B$102,Register!N$3,'Asset Value'!$C$4:$C$102,Register!$C49)/1000</f>
        <v>234990</v>
      </c>
    </row>
    <row r="50" customFormat="false" ht="15" hidden="false" customHeight="false" outlineLevel="0" collapsed="false">
      <c r="B50" s="16"/>
      <c r="C50" s="17"/>
      <c r="D50" s="17"/>
      <c r="E50" s="17"/>
      <c r="F50" s="21" t="s">
        <v>44</v>
      </c>
      <c r="H50" s="22" t="e">
        <f aca="false">H49/G49-1</f>
        <v>#DIV/0!</v>
      </c>
      <c r="I50" s="22" t="e">
        <f aca="false">I49/H49-1</f>
        <v>#DIV/0!</v>
      </c>
      <c r="J50" s="22" t="e">
        <f aca="false">J49/I49-1</f>
        <v>#DIV/0!</v>
      </c>
      <c r="K50" s="22" t="e">
        <f aca="false">K49/J49-1</f>
        <v>#DIV/0!</v>
      </c>
      <c r="L50" s="22" t="n">
        <f aca="false">L49/K49-1</f>
        <v>0.469658814682685</v>
      </c>
      <c r="M50" s="22" t="n">
        <f aca="false">M49/L49-1</f>
        <v>0.348562283212061</v>
      </c>
      <c r="N50" s="23" t="n">
        <f aca="false">N49/M49-1</f>
        <v>0.0367282112368472</v>
      </c>
    </row>
    <row r="51" customFormat="false" ht="15" hidden="false" customHeight="false" outlineLevel="0" collapsed="false">
      <c r="B51" s="16"/>
      <c r="C51" s="17"/>
      <c r="D51" s="17"/>
      <c r="E51" s="17"/>
      <c r="F51" s="1" t="s">
        <v>45</v>
      </c>
      <c r="G51" s="24" t="n">
        <f aca="false">SUMIFS(Rent!$E$3:$E$110,Rent!$C$3:$C$110,Register!G$3,Rent!$D$3:$D$110,Register!$C49)/1000</f>
        <v>0</v>
      </c>
      <c r="H51" s="24" t="n">
        <f aca="false">SUMIFS(Rent!$E$3:$E$110,Rent!$C$3:$C$110,Register!H$3,Rent!$D$3:$D$110,Register!$C49)/1000</f>
        <v>0</v>
      </c>
      <c r="I51" s="24" t="n">
        <f aca="false">SUMIFS(Rent!$E$3:$E$110,Rent!$C$3:$C$110,Register!I$3,Rent!$D$3:$D$110,Register!$C49)/1000</f>
        <v>0</v>
      </c>
      <c r="J51" s="24" t="n">
        <f aca="false">SUMIFS(Rent!$E$3:$E$110,Rent!$C$3:$C$110,Register!J$3,Rent!$D$3:$D$110,Register!$C49)/1000</f>
        <v>0</v>
      </c>
      <c r="K51" s="24" t="n">
        <f aca="false">SUMIFS(Rent!$E$3:$E$110,Rent!$C$3:$C$110,Register!K$3,Rent!$D$3:$D$110,Register!$C49)/1000</f>
        <v>2962</v>
      </c>
      <c r="L51" s="24" t="n">
        <f aca="false">SUMIFS(Rent!$E$3:$E$110,Rent!$C$3:$C$110,Register!L$3,Rent!$D$3:$D$110,Register!$C49)/1000</f>
        <v>2245</v>
      </c>
      <c r="M51" s="24" t="n">
        <f aca="false">SUMIFS(Rent!$E$3:$E$110,Rent!$C$3:$C$110,Register!M$3,Rent!$D$3:$D$110,Register!$C49)/1000</f>
        <v>657</v>
      </c>
      <c r="N51" s="25" t="n">
        <f aca="false">SUMIFS(Rent!$E$3:$E$110,Rent!$C$3:$C$110,Register!N$3,Rent!$D$3:$D$110,Register!$C49)/1000</f>
        <v>1217</v>
      </c>
    </row>
    <row r="52" customFormat="false" ht="15" hidden="false" customHeight="false" outlineLevel="0" collapsed="false">
      <c r="B52" s="16"/>
      <c r="C52" s="17"/>
      <c r="D52" s="17"/>
      <c r="E52" s="17"/>
      <c r="F52" s="21" t="s">
        <v>44</v>
      </c>
      <c r="H52" s="22" t="e">
        <f aca="false">H51/G51-1</f>
        <v>#DIV/0!</v>
      </c>
      <c r="I52" s="22" t="e">
        <f aca="false">I51/H51-1</f>
        <v>#DIV/0!</v>
      </c>
      <c r="J52" s="22" t="e">
        <f aca="false">J51/I51-1</f>
        <v>#DIV/0!</v>
      </c>
      <c r="K52" s="22" t="e">
        <f aca="false">K51/J51-1</f>
        <v>#DIV/0!</v>
      </c>
      <c r="L52" s="22" t="n">
        <f aca="false">L51/K51-1</f>
        <v>-0.242066171505739</v>
      </c>
      <c r="M52" s="22" t="n">
        <f aca="false">M51/L51-1</f>
        <v>-0.707349665924276</v>
      </c>
      <c r="N52" s="23" t="n">
        <f aca="false">N51/M51-1</f>
        <v>0.852359208523592</v>
      </c>
    </row>
    <row r="53" customFormat="false" ht="15" hidden="false" customHeight="false" outlineLevel="0" collapsed="false">
      <c r="B53" s="16"/>
      <c r="C53" s="17"/>
      <c r="D53" s="17"/>
      <c r="E53" s="17"/>
      <c r="F53" s="26" t="s">
        <v>46</v>
      </c>
      <c r="G53" s="27" t="e">
        <f aca="false">G51/G49</f>
        <v>#DIV/0!</v>
      </c>
      <c r="H53" s="27" t="e">
        <f aca="false">H51/H49</f>
        <v>#DIV/0!</v>
      </c>
      <c r="I53" s="27" t="e">
        <f aca="false">I51/I49</f>
        <v>#DIV/0!</v>
      </c>
      <c r="J53" s="27" t="e">
        <f aca="false">J51/J49</f>
        <v>#DIV/0!</v>
      </c>
      <c r="K53" s="27" t="n">
        <f aca="false">K51/K49</f>
        <v>0.0258993057377193</v>
      </c>
      <c r="L53" s="27" t="n">
        <f aca="false">L51/L49</f>
        <v>0.0133568143551544</v>
      </c>
      <c r="M53" s="27" t="n">
        <f aca="false">M51/M49</f>
        <v>0.00289855072463768</v>
      </c>
      <c r="N53" s="28" t="n">
        <f aca="false">N51/N49</f>
        <v>0.00517894378484191</v>
      </c>
    </row>
    <row r="54" customFormat="false" ht="15" hidden="true" customHeight="false" outlineLevel="0" collapsed="false">
      <c r="B54" s="16" t="n">
        <v>82</v>
      </c>
      <c r="C54" s="17" t="s">
        <v>59</v>
      </c>
      <c r="D54" s="17" t="s">
        <v>51</v>
      </c>
      <c r="E54" s="17" t="s">
        <v>60</v>
      </c>
      <c r="F54" s="18" t="s">
        <v>43</v>
      </c>
      <c r="G54" s="19" t="n">
        <f aca="false">SUMIFS('Asset Value'!$F$4:$F$102,'Asset Value'!$B$4:$B$102,Register!G$3,'Asset Value'!$C$4:$C$102,Register!$C54)/1000</f>
        <v>0</v>
      </c>
      <c r="H54" s="19" t="n">
        <f aca="false">SUMIFS('Asset Value'!$F$4:$F$102,'Asset Value'!$B$4:$B$102,Register!H$3,'Asset Value'!$C$4:$C$102,Register!$C54)/1000</f>
        <v>0</v>
      </c>
      <c r="I54" s="19" t="n">
        <f aca="false">SUMIFS('Asset Value'!$F$4:$F$102,'Asset Value'!$B$4:$B$102,Register!I$3,'Asset Value'!$C$4:$C$102,Register!$C54)/1000</f>
        <v>0</v>
      </c>
      <c r="J54" s="19" t="n">
        <f aca="false">SUMIFS('Asset Value'!$F$4:$F$102,'Asset Value'!$B$4:$B$102,Register!J$3,'Asset Value'!$C$4:$C$102,Register!$C54)/1000</f>
        <v>0</v>
      </c>
      <c r="K54" s="19" t="n">
        <f aca="false">SUMIFS('Asset Value'!$F$4:$F$102,'Asset Value'!$B$4:$B$102,Register!K$3,'Asset Value'!$C$4:$C$102,Register!$C54)/1000</f>
        <v>0</v>
      </c>
      <c r="L54" s="19" t="n">
        <f aca="false">SUMIFS('Asset Value'!$F$4:$F$102,'Asset Value'!$B$4:$B$102,Register!L$3,'Asset Value'!$C$4:$C$102,Register!$C54)/1000</f>
        <v>0</v>
      </c>
      <c r="M54" s="19" t="n">
        <f aca="false">SUMIFS('Asset Value'!$F$4:$F$102,'Asset Value'!$B$4:$B$102,Register!M$3,'Asset Value'!$C$4:$C$102,Register!$C54)/1000</f>
        <v>0</v>
      </c>
      <c r="N54" s="20" t="n">
        <f aca="false">SUMIFS('Asset Value'!$F$4:$F$102,'Asset Value'!$B$4:$B$102,Register!N$3,'Asset Value'!$C$4:$C$102,Register!$C54)/1000</f>
        <v>0</v>
      </c>
    </row>
    <row r="55" customFormat="false" ht="15" hidden="true" customHeight="false" outlineLevel="0" collapsed="false">
      <c r="B55" s="16"/>
      <c r="C55" s="17"/>
      <c r="D55" s="17"/>
      <c r="E55" s="17"/>
      <c r="F55" s="21" t="s">
        <v>44</v>
      </c>
      <c r="H55" s="22" t="e">
        <f aca="false">H54/G54-1</f>
        <v>#DIV/0!</v>
      </c>
      <c r="I55" s="22" t="e">
        <f aca="false">I54/H54-1</f>
        <v>#DIV/0!</v>
      </c>
      <c r="J55" s="22" t="e">
        <f aca="false">J54/I54-1</f>
        <v>#DIV/0!</v>
      </c>
      <c r="K55" s="22" t="e">
        <f aca="false">K54/J54-1</f>
        <v>#DIV/0!</v>
      </c>
      <c r="L55" s="22" t="e">
        <f aca="false">L54/K54-1</f>
        <v>#DIV/0!</v>
      </c>
      <c r="M55" s="22" t="e">
        <f aca="false">M54/L54-1</f>
        <v>#DIV/0!</v>
      </c>
      <c r="N55" s="23" t="e">
        <f aca="false">N54/M54-1</f>
        <v>#DIV/0!</v>
      </c>
    </row>
    <row r="56" customFormat="false" ht="15" hidden="true" customHeight="false" outlineLevel="0" collapsed="false">
      <c r="B56" s="16"/>
      <c r="C56" s="17"/>
      <c r="D56" s="17"/>
      <c r="E56" s="17"/>
      <c r="F56" s="1" t="s">
        <v>45</v>
      </c>
      <c r="G56" s="24" t="n">
        <f aca="false">SUMIFS(Rent!$E$3:$E$110,Rent!$C$3:$C$110,Register!G$3,Rent!$D$3:$D$110,Register!$C54)/1000</f>
        <v>0</v>
      </c>
      <c r="H56" s="24" t="n">
        <f aca="false">SUMIFS(Rent!$E$3:$E$110,Rent!$C$3:$C$110,Register!H$3,Rent!$D$3:$D$110,Register!$C54)/1000</f>
        <v>0</v>
      </c>
      <c r="I56" s="24" t="n">
        <f aca="false">SUMIFS(Rent!$E$3:$E$110,Rent!$C$3:$C$110,Register!I$3,Rent!$D$3:$D$110,Register!$C54)/1000</f>
        <v>0</v>
      </c>
      <c r="J56" s="24" t="n">
        <f aca="false">SUMIFS(Rent!$E$3:$E$110,Rent!$C$3:$C$110,Register!J$3,Rent!$D$3:$D$110,Register!$C54)/1000</f>
        <v>0</v>
      </c>
      <c r="K56" s="24" t="n">
        <f aca="false">SUMIFS(Rent!$E$3:$E$110,Rent!$C$3:$C$110,Register!K$3,Rent!$D$3:$D$110,Register!$C54)/1000</f>
        <v>0</v>
      </c>
      <c r="L56" s="24" t="n">
        <f aca="false">SUMIFS(Rent!$E$3:$E$110,Rent!$C$3:$C$110,Register!L$3,Rent!$D$3:$D$110,Register!$C54)/1000</f>
        <v>0</v>
      </c>
      <c r="M56" s="24" t="n">
        <f aca="false">SUMIFS(Rent!$E$3:$E$110,Rent!$C$3:$C$110,Register!M$3,Rent!$D$3:$D$110,Register!$C54)/1000</f>
        <v>0</v>
      </c>
      <c r="N56" s="25" t="n">
        <f aca="false">SUMIFS(Rent!$E$3:$E$110,Rent!$C$3:$C$110,Register!N$3,Rent!$D$3:$D$110,Register!$C54)/1000</f>
        <v>0</v>
      </c>
    </row>
    <row r="57" customFormat="false" ht="15" hidden="true" customHeight="false" outlineLevel="0" collapsed="false">
      <c r="B57" s="16"/>
      <c r="C57" s="17"/>
      <c r="D57" s="17"/>
      <c r="E57" s="17"/>
      <c r="F57" s="21" t="s">
        <v>44</v>
      </c>
      <c r="H57" s="22" t="e">
        <f aca="false">H56/G56-1</f>
        <v>#DIV/0!</v>
      </c>
      <c r="I57" s="22" t="e">
        <f aca="false">I56/H56-1</f>
        <v>#DIV/0!</v>
      </c>
      <c r="J57" s="22" t="e">
        <f aca="false">J56/I56-1</f>
        <v>#DIV/0!</v>
      </c>
      <c r="K57" s="22" t="e">
        <f aca="false">K56/J56-1</f>
        <v>#DIV/0!</v>
      </c>
      <c r="L57" s="22" t="e">
        <f aca="false">L56/K56-1</f>
        <v>#DIV/0!</v>
      </c>
      <c r="M57" s="22" t="e">
        <f aca="false">M56/L56-1</f>
        <v>#DIV/0!</v>
      </c>
      <c r="N57" s="23" t="e">
        <f aca="false">N56/M56-1</f>
        <v>#DIV/0!</v>
      </c>
    </row>
    <row r="58" customFormat="false" ht="15" hidden="true" customHeight="false" outlineLevel="0" collapsed="false">
      <c r="B58" s="16"/>
      <c r="C58" s="17"/>
      <c r="D58" s="17"/>
      <c r="E58" s="17"/>
      <c r="F58" s="26" t="s">
        <v>46</v>
      </c>
      <c r="G58" s="27" t="e">
        <f aca="false">G56/G54</f>
        <v>#DIV/0!</v>
      </c>
      <c r="H58" s="27" t="e">
        <f aca="false">H56/H54</f>
        <v>#DIV/0!</v>
      </c>
      <c r="I58" s="27" t="e">
        <f aca="false">I56/I54</f>
        <v>#DIV/0!</v>
      </c>
      <c r="J58" s="27" t="e">
        <f aca="false">J56/J54</f>
        <v>#DIV/0!</v>
      </c>
      <c r="K58" s="27" t="e">
        <f aca="false">K56/K54</f>
        <v>#DIV/0!</v>
      </c>
      <c r="L58" s="27" t="e">
        <f aca="false">L56/L54</f>
        <v>#DIV/0!</v>
      </c>
      <c r="M58" s="27" t="e">
        <f aca="false">M56/M54</f>
        <v>#DIV/0!</v>
      </c>
      <c r="N58" s="28" t="e">
        <f aca="false">N56/N54</f>
        <v>#DIV/0!</v>
      </c>
    </row>
    <row r="59" customFormat="false" ht="15" hidden="false" customHeight="false" outlineLevel="0" collapsed="false">
      <c r="B59" s="16" t="n">
        <v>66</v>
      </c>
      <c r="C59" s="17" t="s">
        <v>29</v>
      </c>
      <c r="D59" s="17" t="s">
        <v>56</v>
      </c>
      <c r="E59" s="17" t="s">
        <v>61</v>
      </c>
      <c r="F59" s="18" t="s">
        <v>43</v>
      </c>
      <c r="G59" s="19" t="n">
        <f aca="false">SUMIFS('Asset Value'!$F$4:$F$102,'Asset Value'!$B$4:$B$102,Register!G$3,'Asset Value'!$C$4:$C$102,Register!$C59)/1000</f>
        <v>0</v>
      </c>
      <c r="H59" s="19" t="n">
        <f aca="false">SUMIFS('Asset Value'!$F$4:$F$102,'Asset Value'!$B$4:$B$102,Register!H$3,'Asset Value'!$C$4:$C$102,Register!$C59)/1000</f>
        <v>0</v>
      </c>
      <c r="I59" s="19" t="n">
        <f aca="false">SUMIFS('Asset Value'!$F$4:$F$102,'Asset Value'!$B$4:$B$102,Register!I$3,'Asset Value'!$C$4:$C$102,Register!$C59)/1000</f>
        <v>0</v>
      </c>
      <c r="J59" s="19" t="n">
        <f aca="false">SUMIFS('Asset Value'!$F$4:$F$102,'Asset Value'!$B$4:$B$102,Register!J$3,'Asset Value'!$C$4:$C$102,Register!$C59)/1000</f>
        <v>0</v>
      </c>
      <c r="K59" s="19" t="n">
        <f aca="false">SUMIFS('Asset Value'!$F$4:$F$102,'Asset Value'!$B$4:$B$102,Register!K$3,'Asset Value'!$C$4:$C$102,Register!$C59)/1000</f>
        <v>84185</v>
      </c>
      <c r="L59" s="19" t="n">
        <f aca="false">SUMIFS('Asset Value'!$F$4:$F$102,'Asset Value'!$B$4:$B$102,Register!L$3,'Asset Value'!$C$4:$C$102,Register!$C59)/1000</f>
        <v>165731</v>
      </c>
      <c r="M59" s="19" t="n">
        <f aca="false">SUMIFS('Asset Value'!$F$4:$F$102,'Asset Value'!$B$4:$B$102,Register!M$3,'Asset Value'!$C$4:$C$102,Register!$C59)/1000</f>
        <v>170931</v>
      </c>
      <c r="N59" s="20" t="n">
        <f aca="false">SUMIFS('Asset Value'!$F$4:$F$102,'Asset Value'!$B$4:$B$102,Register!N$3,'Asset Value'!$C$4:$C$102,Register!$C59)/1000</f>
        <v>175030</v>
      </c>
    </row>
    <row r="60" customFormat="false" ht="15" hidden="false" customHeight="false" outlineLevel="0" collapsed="false">
      <c r="B60" s="16"/>
      <c r="C60" s="17"/>
      <c r="D60" s="17"/>
      <c r="E60" s="17"/>
      <c r="F60" s="21" t="s">
        <v>44</v>
      </c>
      <c r="H60" s="22" t="e">
        <f aca="false">H59/G59-1</f>
        <v>#DIV/0!</v>
      </c>
      <c r="I60" s="22" t="e">
        <f aca="false">I59/H59-1</f>
        <v>#DIV/0!</v>
      </c>
      <c r="J60" s="22" t="e">
        <f aca="false">J59/I59-1</f>
        <v>#DIV/0!</v>
      </c>
      <c r="K60" s="22" t="e">
        <f aca="false">K59/J59-1</f>
        <v>#DIV/0!</v>
      </c>
      <c r="L60" s="22" t="n">
        <f aca="false">L59/K59-1</f>
        <v>0.96865237275049</v>
      </c>
      <c r="M60" s="22" t="n">
        <f aca="false">M59/L59-1</f>
        <v>0.031376145681858</v>
      </c>
      <c r="N60" s="23" t="n">
        <f aca="false">N59/M59-1</f>
        <v>0.023980436550421</v>
      </c>
    </row>
    <row r="61" customFormat="false" ht="15" hidden="false" customHeight="false" outlineLevel="0" collapsed="false">
      <c r="B61" s="16"/>
      <c r="C61" s="17"/>
      <c r="D61" s="17"/>
      <c r="E61" s="17"/>
      <c r="F61" s="1" t="s">
        <v>45</v>
      </c>
      <c r="G61" s="24" t="n">
        <f aca="false">SUMIFS(Rent!$E$3:$E$110,Rent!$C$3:$C$110,Register!G$3,Rent!$D$3:$D$110,Register!$C59)/1000</f>
        <v>0</v>
      </c>
      <c r="H61" s="24" t="n">
        <f aca="false">SUMIFS(Rent!$E$3:$E$110,Rent!$C$3:$C$110,Register!H$3,Rent!$D$3:$D$110,Register!$C59)/1000</f>
        <v>0</v>
      </c>
      <c r="I61" s="24" t="n">
        <f aca="false">SUMIFS(Rent!$E$3:$E$110,Rent!$C$3:$C$110,Register!I$3,Rent!$D$3:$D$110,Register!$C59)/1000</f>
        <v>0</v>
      </c>
      <c r="J61" s="24" t="n">
        <f aca="false">SUMIFS(Rent!$E$3:$E$110,Rent!$C$3:$C$110,Register!J$3,Rent!$D$3:$D$110,Register!$C59)/1000</f>
        <v>0</v>
      </c>
      <c r="K61" s="24" t="n">
        <f aca="false">SUMIFS(Rent!$E$3:$E$110,Rent!$C$3:$C$110,Register!K$3,Rent!$D$3:$D$110,Register!$C59)/1000</f>
        <v>5276</v>
      </c>
      <c r="L61" s="24" t="n">
        <f aca="false">SUMIFS(Rent!$E$3:$E$110,Rent!$C$3:$C$110,Register!L$3,Rent!$D$3:$D$110,Register!$C59)/1000</f>
        <v>4830</v>
      </c>
      <c r="M61" s="24" t="n">
        <f aca="false">SUMIFS(Rent!$E$3:$E$110,Rent!$C$3:$C$110,Register!M$3,Rent!$D$3:$D$110,Register!$C59)/1000</f>
        <v>5172</v>
      </c>
      <c r="N61" s="25" t="n">
        <f aca="false">SUMIFS(Rent!$E$3:$E$110,Rent!$C$3:$C$110,Register!N$3,Rent!$D$3:$D$110,Register!$C59)/1000</f>
        <v>5990</v>
      </c>
    </row>
    <row r="62" customFormat="false" ht="15" hidden="false" customHeight="false" outlineLevel="0" collapsed="false">
      <c r="B62" s="16"/>
      <c r="C62" s="17"/>
      <c r="D62" s="17"/>
      <c r="E62" s="17"/>
      <c r="F62" s="21" t="s">
        <v>44</v>
      </c>
      <c r="H62" s="22" t="e">
        <f aca="false">H61/G61-1</f>
        <v>#DIV/0!</v>
      </c>
      <c r="I62" s="22" t="e">
        <f aca="false">I61/H61-1</f>
        <v>#DIV/0!</v>
      </c>
      <c r="J62" s="22" t="e">
        <f aca="false">J61/I61-1</f>
        <v>#DIV/0!</v>
      </c>
      <c r="K62" s="22" t="e">
        <f aca="false">K61/J61-1</f>
        <v>#DIV/0!</v>
      </c>
      <c r="L62" s="22" t="n">
        <f aca="false">L61/K61-1</f>
        <v>-0.0845337376800607</v>
      </c>
      <c r="M62" s="22" t="n">
        <f aca="false">M61/L61-1</f>
        <v>0.0708074534161491</v>
      </c>
      <c r="N62" s="23" t="n">
        <f aca="false">N61/M61-1</f>
        <v>0.15815931941222</v>
      </c>
    </row>
    <row r="63" customFormat="false" ht="15" hidden="false" customHeight="false" outlineLevel="0" collapsed="false">
      <c r="B63" s="16"/>
      <c r="C63" s="17"/>
      <c r="D63" s="17"/>
      <c r="E63" s="17"/>
      <c r="F63" s="26" t="s">
        <v>46</v>
      </c>
      <c r="G63" s="27" t="e">
        <f aca="false">G61/G59</f>
        <v>#DIV/0!</v>
      </c>
      <c r="H63" s="27" t="e">
        <f aca="false">H61/H59</f>
        <v>#DIV/0!</v>
      </c>
      <c r="I63" s="27" t="e">
        <f aca="false">I61/I59</f>
        <v>#DIV/0!</v>
      </c>
      <c r="J63" s="27" t="e">
        <f aca="false">J61/J59</f>
        <v>#DIV/0!</v>
      </c>
      <c r="K63" s="27" t="n">
        <f aca="false">K61/K59</f>
        <v>0.0626714972976183</v>
      </c>
      <c r="L63" s="27" t="n">
        <f aca="false">L61/L59</f>
        <v>0.0291436122391104</v>
      </c>
      <c r="M63" s="27" t="n">
        <f aca="false">M61/M59</f>
        <v>0.0302578233322218</v>
      </c>
      <c r="N63" s="28" t="n">
        <f aca="false">N61/N59</f>
        <v>0.0342227046791979</v>
      </c>
    </row>
    <row r="64" customFormat="false" ht="15" hidden="false" customHeight="false" outlineLevel="0" collapsed="false">
      <c r="B64" s="16" t="n">
        <v>63</v>
      </c>
      <c r="C64" s="17" t="s">
        <v>30</v>
      </c>
      <c r="D64" s="17" t="s">
        <v>56</v>
      </c>
      <c r="E64" s="17" t="s">
        <v>62</v>
      </c>
      <c r="F64" s="18" t="s">
        <v>43</v>
      </c>
      <c r="G64" s="19" t="n">
        <f aca="false">SUMIFS('Asset Value'!$F$4:$F$102,'Asset Value'!$B$4:$B$102,Register!G$3,'Asset Value'!$C$4:$C$102,Register!$C64)/1000</f>
        <v>108480</v>
      </c>
      <c r="H64" s="19" t="n">
        <f aca="false">SUMIFS('Asset Value'!$F$4:$F$102,'Asset Value'!$B$4:$B$102,Register!H$3,'Asset Value'!$C$4:$C$102,Register!$C64)/1000</f>
        <v>232990</v>
      </c>
      <c r="I64" s="19" t="n">
        <f aca="false">SUMIFS('Asset Value'!$F$4:$F$102,'Asset Value'!$B$4:$B$102,Register!I$3,'Asset Value'!$C$4:$C$102,Register!$C64)/1000</f>
        <v>200050</v>
      </c>
      <c r="J64" s="19" t="n">
        <f aca="false">SUMIFS('Asset Value'!$F$4:$F$102,'Asset Value'!$B$4:$B$102,Register!J$3,'Asset Value'!$C$4:$C$102,Register!$C64)/1000</f>
        <v>219290</v>
      </c>
      <c r="K64" s="19" t="n">
        <f aca="false">SUMIFS('Asset Value'!$F$4:$F$102,'Asset Value'!$B$4:$B$102,Register!K$3,'Asset Value'!$C$4:$C$102,Register!$C64)/1000</f>
        <v>255020</v>
      </c>
      <c r="L64" s="19" t="n">
        <f aca="false">SUMIFS('Asset Value'!$F$4:$F$102,'Asset Value'!$B$4:$B$102,Register!L$3,'Asset Value'!$C$4:$C$102,Register!$C64)/1000</f>
        <v>256728</v>
      </c>
      <c r="M64" s="19" t="n">
        <f aca="false">SUMIFS('Asset Value'!$F$4:$F$102,'Asset Value'!$B$4:$B$102,Register!M$3,'Asset Value'!$C$4:$C$102,Register!$C64)/1000</f>
        <v>308243</v>
      </c>
      <c r="N64" s="20" t="n">
        <f aca="false">SUMIFS('Asset Value'!$F$4:$F$102,'Asset Value'!$B$4:$B$102,Register!N$3,'Asset Value'!$C$4:$C$102,Register!$C64)/1000</f>
        <v>315870</v>
      </c>
    </row>
    <row r="65" customFormat="false" ht="15" hidden="false" customHeight="false" outlineLevel="0" collapsed="false">
      <c r="B65" s="16"/>
      <c r="C65" s="17"/>
      <c r="D65" s="17"/>
      <c r="E65" s="17"/>
      <c r="F65" s="21" t="s">
        <v>44</v>
      </c>
      <c r="H65" s="22" t="n">
        <f aca="false">H64/G64-1</f>
        <v>1.1477691740413</v>
      </c>
      <c r="I65" s="22" t="n">
        <f aca="false">I64/H64-1</f>
        <v>-0.141379458345852</v>
      </c>
      <c r="J65" s="22" t="n">
        <f aca="false">J64/I64-1</f>
        <v>0.0961759560109972</v>
      </c>
      <c r="K65" s="22" t="n">
        <f aca="false">K64/J64-1</f>
        <v>0.162934926353231</v>
      </c>
      <c r="L65" s="22" t="n">
        <f aca="false">L64/K64-1</f>
        <v>0.00669751392047679</v>
      </c>
      <c r="M65" s="22" t="n">
        <f aca="false">M64/L64-1</f>
        <v>0.200659842323393</v>
      </c>
      <c r="N65" s="23" t="n">
        <f aca="false">N64/M64-1</f>
        <v>0.0247434653828311</v>
      </c>
    </row>
    <row r="66" customFormat="false" ht="15" hidden="false" customHeight="false" outlineLevel="0" collapsed="false">
      <c r="B66" s="16"/>
      <c r="C66" s="17"/>
      <c r="D66" s="17"/>
      <c r="E66" s="17"/>
      <c r="F66" s="1" t="s">
        <v>45</v>
      </c>
      <c r="G66" s="24" t="n">
        <f aca="false">SUMIFS(Rent!$E$3:$E$110,Rent!$C$3:$C$110,Register!G$3,Rent!$D$3:$D$110,Register!$C64)/1000</f>
        <v>0</v>
      </c>
      <c r="H66" s="24" t="n">
        <f aca="false">SUMIFS(Rent!$E$3:$E$110,Rent!$C$3:$C$110,Register!H$3,Rent!$D$3:$D$110,Register!$C64)/1000</f>
        <v>0</v>
      </c>
      <c r="I66" s="24" t="n">
        <f aca="false">SUMIFS(Rent!$E$3:$E$110,Rent!$C$3:$C$110,Register!I$3,Rent!$D$3:$D$110,Register!$C64)/1000</f>
        <v>0</v>
      </c>
      <c r="J66" s="24" t="n">
        <f aca="false">SUMIFS(Rent!$E$3:$E$110,Rent!$C$3:$C$110,Register!J$3,Rent!$D$3:$D$110,Register!$C64)/1000</f>
        <v>0</v>
      </c>
      <c r="K66" s="24" t="n">
        <f aca="false">SUMIFS(Rent!$E$3:$E$110,Rent!$C$3:$C$110,Register!K$3,Rent!$D$3:$D$110,Register!$C64)/1000</f>
        <v>0</v>
      </c>
      <c r="L66" s="24" t="n">
        <f aca="false">SUMIFS(Rent!$E$3:$E$110,Rent!$C$3:$C$110,Register!L$3,Rent!$D$3:$D$110,Register!$C64)/1000</f>
        <v>0</v>
      </c>
      <c r="M66" s="24" t="n">
        <f aca="false">SUMIFS(Rent!$E$3:$E$110,Rent!$C$3:$C$110,Register!M$3,Rent!$D$3:$D$110,Register!$C64)/1000</f>
        <v>0</v>
      </c>
      <c r="N66" s="25" t="n">
        <f aca="false">SUMIFS(Rent!$E$3:$E$110,Rent!$C$3:$C$110,Register!N$3,Rent!$D$3:$D$110,Register!$C64)/1000</f>
        <v>0</v>
      </c>
    </row>
    <row r="67" customFormat="false" ht="15" hidden="false" customHeight="false" outlineLevel="0" collapsed="false">
      <c r="B67" s="16"/>
      <c r="C67" s="17"/>
      <c r="D67" s="17"/>
      <c r="E67" s="17"/>
      <c r="F67" s="21" t="s">
        <v>44</v>
      </c>
      <c r="H67" s="22" t="e">
        <f aca="false">H66/G66-1</f>
        <v>#DIV/0!</v>
      </c>
      <c r="I67" s="22" t="e">
        <f aca="false">I66/H66-1</f>
        <v>#DIV/0!</v>
      </c>
      <c r="J67" s="22" t="e">
        <f aca="false">J66/I66-1</f>
        <v>#DIV/0!</v>
      </c>
      <c r="K67" s="22" t="e">
        <f aca="false">K66/J66-1</f>
        <v>#DIV/0!</v>
      </c>
      <c r="L67" s="22" t="e">
        <f aca="false">L66/K66-1</f>
        <v>#DIV/0!</v>
      </c>
      <c r="M67" s="22" t="e">
        <f aca="false">M66/L66-1</f>
        <v>#DIV/0!</v>
      </c>
      <c r="N67" s="23" t="e">
        <f aca="false">N66/M66-1</f>
        <v>#DIV/0!</v>
      </c>
    </row>
    <row r="68" customFormat="false" ht="15" hidden="false" customHeight="false" outlineLevel="0" collapsed="false">
      <c r="B68" s="16"/>
      <c r="C68" s="17"/>
      <c r="D68" s="17"/>
      <c r="E68" s="17"/>
      <c r="F68" s="26" t="s">
        <v>46</v>
      </c>
      <c r="G68" s="27" t="n">
        <f aca="false">G66/G64</f>
        <v>0</v>
      </c>
      <c r="H68" s="27" t="n">
        <f aca="false">H66/H64</f>
        <v>0</v>
      </c>
      <c r="I68" s="27" t="n">
        <f aca="false">I66/I64</f>
        <v>0</v>
      </c>
      <c r="J68" s="27" t="n">
        <f aca="false">J66/J64</f>
        <v>0</v>
      </c>
      <c r="K68" s="27" t="n">
        <f aca="false">K66/K64</f>
        <v>0</v>
      </c>
      <c r="L68" s="27" t="n">
        <f aca="false">L66/L64</f>
        <v>0</v>
      </c>
      <c r="M68" s="27" t="n">
        <f aca="false">M66/M64</f>
        <v>0</v>
      </c>
      <c r="N68" s="28" t="n">
        <f aca="false">N66/N64</f>
        <v>0</v>
      </c>
    </row>
    <row r="69" customFormat="false" ht="15" hidden="false" customHeight="false" outlineLevel="0" collapsed="false">
      <c r="B69" s="16" t="n">
        <v>110</v>
      </c>
      <c r="C69" s="17" t="s">
        <v>31</v>
      </c>
      <c r="D69" s="17" t="s">
        <v>63</v>
      </c>
      <c r="E69" s="17" t="s">
        <v>64</v>
      </c>
      <c r="F69" s="18" t="s">
        <v>43</v>
      </c>
      <c r="G69" s="19" t="n">
        <f aca="false">SUMIFS('Asset Value'!$F$4:$F$102,'Asset Value'!$B$4:$B$102,Register!G$3,'Asset Value'!$C$4:$C$102,Register!$C69)/1000</f>
        <v>0</v>
      </c>
      <c r="H69" s="19" t="n">
        <f aca="false">SUMIFS('Asset Value'!$F$4:$F$102,'Asset Value'!$B$4:$B$102,Register!H$3,'Asset Value'!$C$4:$C$102,Register!$C69)/1000</f>
        <v>49990</v>
      </c>
      <c r="I69" s="19" t="n">
        <f aca="false">SUMIFS('Asset Value'!$F$4:$F$102,'Asset Value'!$B$4:$B$102,Register!I$3,'Asset Value'!$C$4:$C$102,Register!$C69)/1000</f>
        <v>50760</v>
      </c>
      <c r="J69" s="19" t="n">
        <f aca="false">SUMIFS('Asset Value'!$F$4:$F$102,'Asset Value'!$B$4:$B$102,Register!J$3,'Asset Value'!$C$4:$C$102,Register!$C69)/1000</f>
        <v>60540</v>
      </c>
      <c r="K69" s="19" t="n">
        <f aca="false">SUMIFS('Asset Value'!$F$4:$F$102,'Asset Value'!$B$4:$B$102,Register!K$3,'Asset Value'!$C$4:$C$102,Register!$C69)/1000</f>
        <v>63480</v>
      </c>
      <c r="L69" s="19" t="n">
        <f aca="false">SUMIFS('Asset Value'!$F$4:$F$102,'Asset Value'!$B$4:$B$102,Register!L$3,'Asset Value'!$C$4:$C$102,Register!$C69)/1000</f>
        <v>86708</v>
      </c>
      <c r="M69" s="19" t="n">
        <f aca="false">SUMIFS('Asset Value'!$F$4:$F$102,'Asset Value'!$B$4:$B$102,Register!M$3,'Asset Value'!$C$4:$C$102,Register!$C69)/1000</f>
        <v>137610</v>
      </c>
      <c r="N69" s="20" t="n">
        <f aca="false">SUMIFS('Asset Value'!$F$4:$F$102,'Asset Value'!$B$4:$B$102,Register!N$3,'Asset Value'!$C$4:$C$102,Register!$C69)/1000</f>
        <v>143710</v>
      </c>
    </row>
    <row r="70" customFormat="false" ht="15" hidden="false" customHeight="false" outlineLevel="0" collapsed="false">
      <c r="B70" s="16"/>
      <c r="C70" s="17"/>
      <c r="D70" s="17"/>
      <c r="E70" s="17"/>
      <c r="F70" s="21" t="s">
        <v>44</v>
      </c>
      <c r="H70" s="22" t="e">
        <f aca="false">H69/G69-1</f>
        <v>#DIV/0!</v>
      </c>
      <c r="I70" s="22" t="n">
        <f aca="false">I69/H69-1</f>
        <v>0.0154030806161232</v>
      </c>
      <c r="J70" s="22" t="n">
        <f aca="false">J69/I69-1</f>
        <v>0.192671394799054</v>
      </c>
      <c r="K70" s="22" t="n">
        <f aca="false">K69/J69-1</f>
        <v>0.0485629335976214</v>
      </c>
      <c r="L70" s="22" t="n">
        <f aca="false">L69/K69-1</f>
        <v>0.36591052299937</v>
      </c>
      <c r="M70" s="22" t="n">
        <f aca="false">M69/L69-1</f>
        <v>0.587050791161139</v>
      </c>
      <c r="N70" s="23" t="n">
        <f aca="false">N69/M69-1</f>
        <v>0.0443281738245767</v>
      </c>
    </row>
    <row r="71" customFormat="false" ht="15" hidden="false" customHeight="false" outlineLevel="0" collapsed="false">
      <c r="B71" s="16"/>
      <c r="C71" s="17"/>
      <c r="D71" s="17"/>
      <c r="E71" s="17"/>
      <c r="F71" s="1" t="s">
        <v>45</v>
      </c>
      <c r="G71" s="24" t="n">
        <f aca="false">SUMIFS(Rent!$E$3:$E$110,Rent!$C$3:$C$110,Register!G$3,Rent!$D$3:$D$110,Register!$C69)/1000</f>
        <v>0</v>
      </c>
      <c r="H71" s="24" t="n">
        <f aca="false">SUMIFS(Rent!$E$3:$E$110,Rent!$C$3:$C$110,Register!H$3,Rent!$D$3:$D$110,Register!$C69)/1000</f>
        <v>0</v>
      </c>
      <c r="I71" s="24" t="n">
        <f aca="false">SUMIFS(Rent!$E$3:$E$110,Rent!$C$3:$C$110,Register!I$3,Rent!$D$3:$D$110,Register!$C69)/1000</f>
        <v>0</v>
      </c>
      <c r="J71" s="24" t="n">
        <f aca="false">SUMIFS(Rent!$E$3:$E$110,Rent!$C$3:$C$110,Register!J$3,Rent!$D$3:$D$110,Register!$C69)/1000</f>
        <v>0</v>
      </c>
      <c r="K71" s="24" t="n">
        <f aca="false">SUMIFS(Rent!$E$3:$E$110,Rent!$C$3:$C$110,Register!K$3,Rent!$D$3:$D$110,Register!$C69)/1000</f>
        <v>0</v>
      </c>
      <c r="L71" s="24" t="n">
        <f aca="false">SUMIFS(Rent!$E$3:$E$110,Rent!$C$3:$C$110,Register!L$3,Rent!$D$3:$D$110,Register!$C69)/1000</f>
        <v>2100</v>
      </c>
      <c r="M71" s="24" t="n">
        <f aca="false">SUMIFS(Rent!$E$3:$E$110,Rent!$C$3:$C$110,Register!M$3,Rent!$D$3:$D$110,Register!$C69)/1000</f>
        <v>0</v>
      </c>
      <c r="N71" s="25" t="n">
        <f aca="false">SUMIFS(Rent!$E$3:$E$110,Rent!$C$3:$C$110,Register!N$3,Rent!$D$3:$D$110,Register!$C69)/1000</f>
        <v>586</v>
      </c>
    </row>
    <row r="72" customFormat="false" ht="15" hidden="false" customHeight="false" outlineLevel="0" collapsed="false">
      <c r="B72" s="16"/>
      <c r="C72" s="17"/>
      <c r="D72" s="17"/>
      <c r="E72" s="17"/>
      <c r="F72" s="21" t="s">
        <v>44</v>
      </c>
      <c r="H72" s="22" t="e">
        <f aca="false">H71/G71-1</f>
        <v>#DIV/0!</v>
      </c>
      <c r="I72" s="22" t="e">
        <f aca="false">I71/H71-1</f>
        <v>#DIV/0!</v>
      </c>
      <c r="J72" s="22" t="e">
        <f aca="false">J71/I71-1</f>
        <v>#DIV/0!</v>
      </c>
      <c r="K72" s="22" t="e">
        <f aca="false">K71/J71-1</f>
        <v>#DIV/0!</v>
      </c>
      <c r="L72" s="22" t="e">
        <f aca="false">L71/K71-1</f>
        <v>#DIV/0!</v>
      </c>
      <c r="M72" s="22" t="n">
        <f aca="false">M71/L71-1</f>
        <v>-1</v>
      </c>
      <c r="N72" s="23" t="e">
        <f aca="false">N71/M71-1</f>
        <v>#DIV/0!</v>
      </c>
    </row>
    <row r="73" customFormat="false" ht="15" hidden="false" customHeight="false" outlineLevel="0" collapsed="false">
      <c r="B73" s="16"/>
      <c r="C73" s="17"/>
      <c r="D73" s="17"/>
      <c r="E73" s="17"/>
      <c r="F73" s="26" t="s">
        <v>46</v>
      </c>
      <c r="G73" s="27" t="e">
        <f aca="false">G71/G69</f>
        <v>#DIV/0!</v>
      </c>
      <c r="H73" s="27" t="n">
        <f aca="false">H71/H69</f>
        <v>0</v>
      </c>
      <c r="I73" s="27" t="n">
        <f aca="false">I71/I69</f>
        <v>0</v>
      </c>
      <c r="J73" s="27" t="n">
        <f aca="false">J71/J69</f>
        <v>0</v>
      </c>
      <c r="K73" s="27" t="n">
        <f aca="false">K71/K69</f>
        <v>0</v>
      </c>
      <c r="L73" s="27" t="n">
        <f aca="false">L71/L69</f>
        <v>0.0242192185265489</v>
      </c>
      <c r="M73" s="27" t="n">
        <f aca="false">M71/M69</f>
        <v>0</v>
      </c>
      <c r="N73" s="28" t="n">
        <f aca="false">N71/N69</f>
        <v>0.00407765639134368</v>
      </c>
    </row>
    <row r="74" customFormat="false" ht="15" hidden="false" customHeight="false" outlineLevel="0" collapsed="false">
      <c r="B74" s="16" t="n">
        <v>110</v>
      </c>
      <c r="C74" s="17" t="s">
        <v>32</v>
      </c>
      <c r="D74" s="17" t="s">
        <v>63</v>
      </c>
      <c r="E74" s="17" t="s">
        <v>65</v>
      </c>
      <c r="F74" s="18" t="s">
        <v>43</v>
      </c>
      <c r="G74" s="19" t="n">
        <f aca="false">SUMIFS('Asset Value'!$F$4:$F$102,'Asset Value'!$B$4:$B$102,Register!G$3,'Asset Value'!$C$4:$C$102,Register!$C74)/1000</f>
        <v>0</v>
      </c>
      <c r="H74" s="19" t="n">
        <f aca="false">SUMIFS('Asset Value'!$F$4:$F$102,'Asset Value'!$B$4:$B$102,Register!H$3,'Asset Value'!$C$4:$C$102,Register!$C74)/1000</f>
        <v>0</v>
      </c>
      <c r="I74" s="19" t="n">
        <f aca="false">SUMIFS('Asset Value'!$F$4:$F$102,'Asset Value'!$B$4:$B$102,Register!I$3,'Asset Value'!$C$4:$C$102,Register!$C74)/1000</f>
        <v>0</v>
      </c>
      <c r="J74" s="19" t="n">
        <f aca="false">SUMIFS('Asset Value'!$F$4:$F$102,'Asset Value'!$B$4:$B$102,Register!J$3,'Asset Value'!$C$4:$C$102,Register!$C74)/1000</f>
        <v>0</v>
      </c>
      <c r="K74" s="19" t="n">
        <f aca="false">SUMIFS('Asset Value'!$F$4:$F$102,'Asset Value'!$B$4:$B$102,Register!K$3,'Asset Value'!$C$4:$C$102,Register!$C74)/1000</f>
        <v>65475</v>
      </c>
      <c r="L74" s="19" t="n">
        <f aca="false">SUMIFS('Asset Value'!$F$4:$F$102,'Asset Value'!$B$4:$B$102,Register!L$3,'Asset Value'!$C$4:$C$102,Register!$C74)/1000</f>
        <v>83471</v>
      </c>
      <c r="M74" s="19" t="n">
        <f aca="false">SUMIFS('Asset Value'!$F$4:$F$102,'Asset Value'!$B$4:$B$102,Register!M$3,'Asset Value'!$C$4:$C$102,Register!$C74)/1000</f>
        <v>87257</v>
      </c>
      <c r="N74" s="20" t="n">
        <f aca="false">SUMIFS('Asset Value'!$F$4:$F$102,'Asset Value'!$B$4:$B$102,Register!N$3,'Asset Value'!$C$4:$C$102,Register!$C74)/1000</f>
        <v>93350</v>
      </c>
    </row>
    <row r="75" customFormat="false" ht="15" hidden="false" customHeight="false" outlineLevel="0" collapsed="false">
      <c r="B75" s="16"/>
      <c r="C75" s="17"/>
      <c r="D75" s="17"/>
      <c r="E75" s="17"/>
      <c r="F75" s="21" t="s">
        <v>44</v>
      </c>
      <c r="H75" s="22" t="e">
        <f aca="false">H74/G74-1</f>
        <v>#DIV/0!</v>
      </c>
      <c r="I75" s="22" t="e">
        <f aca="false">I74/H74-1</f>
        <v>#DIV/0!</v>
      </c>
      <c r="J75" s="22" t="e">
        <f aca="false">J74/I74-1</f>
        <v>#DIV/0!</v>
      </c>
      <c r="K75" s="22" t="e">
        <f aca="false">K74/J74-1</f>
        <v>#DIV/0!</v>
      </c>
      <c r="L75" s="22" t="n">
        <f aca="false">L74/K74-1</f>
        <v>0.274852997327224</v>
      </c>
      <c r="M75" s="22" t="n">
        <f aca="false">M74/L74-1</f>
        <v>0.0453570701201616</v>
      </c>
      <c r="N75" s="23" t="n">
        <f aca="false">N74/M74-1</f>
        <v>0.0698282086250961</v>
      </c>
    </row>
    <row r="76" customFormat="false" ht="15" hidden="false" customHeight="false" outlineLevel="0" collapsed="false">
      <c r="B76" s="16"/>
      <c r="C76" s="17"/>
      <c r="D76" s="17"/>
      <c r="E76" s="17"/>
      <c r="F76" s="1" t="s">
        <v>45</v>
      </c>
      <c r="G76" s="24" t="n">
        <f aca="false">SUMIFS(Rent!$E$3:$E$110,Rent!$C$3:$C$110,Register!G$3,Rent!$D$3:$D$110,Register!$C74)/1000</f>
        <v>0</v>
      </c>
      <c r="H76" s="24" t="n">
        <f aca="false">SUMIFS(Rent!$E$3:$E$110,Rent!$C$3:$C$110,Register!H$3,Rent!$D$3:$D$110,Register!$C74)/1000</f>
        <v>0</v>
      </c>
      <c r="I76" s="24" t="n">
        <f aca="false">SUMIFS(Rent!$E$3:$E$110,Rent!$C$3:$C$110,Register!I$3,Rent!$D$3:$D$110,Register!$C74)/1000</f>
        <v>0</v>
      </c>
      <c r="J76" s="24" t="n">
        <f aca="false">SUMIFS(Rent!$E$3:$E$110,Rent!$C$3:$C$110,Register!J$3,Rent!$D$3:$D$110,Register!$C74)/1000</f>
        <v>0</v>
      </c>
      <c r="K76" s="24" t="n">
        <f aca="false">SUMIFS(Rent!$E$3:$E$110,Rent!$C$3:$C$110,Register!K$3,Rent!$D$3:$D$110,Register!$C74)/1000</f>
        <v>2533</v>
      </c>
      <c r="L76" s="24" t="n">
        <f aca="false">SUMIFS(Rent!$E$3:$E$110,Rent!$C$3:$C$110,Register!L$3,Rent!$D$3:$D$110,Register!$C74)/1000</f>
        <v>1965</v>
      </c>
      <c r="M76" s="24" t="n">
        <f aca="false">SUMIFS(Rent!$E$3:$E$110,Rent!$C$3:$C$110,Register!M$3,Rent!$D$3:$D$110,Register!$C74)/1000</f>
        <v>2688</v>
      </c>
      <c r="N76" s="25" t="n">
        <f aca="false">SUMIFS(Rent!$E$3:$E$110,Rent!$C$3:$C$110,Register!N$3,Rent!$D$3:$D$110,Register!$C74)/1000</f>
        <v>0</v>
      </c>
    </row>
    <row r="77" customFormat="false" ht="15" hidden="false" customHeight="false" outlineLevel="0" collapsed="false">
      <c r="B77" s="16"/>
      <c r="C77" s="17"/>
      <c r="D77" s="17"/>
      <c r="E77" s="17"/>
      <c r="F77" s="21" t="s">
        <v>44</v>
      </c>
      <c r="H77" s="22" t="e">
        <f aca="false">H76/G76-1</f>
        <v>#DIV/0!</v>
      </c>
      <c r="I77" s="22" t="e">
        <f aca="false">I76/H76-1</f>
        <v>#DIV/0!</v>
      </c>
      <c r="J77" s="22" t="e">
        <f aca="false">J76/I76-1</f>
        <v>#DIV/0!</v>
      </c>
      <c r="K77" s="22" t="e">
        <f aca="false">K76/J76-1</f>
        <v>#DIV/0!</v>
      </c>
      <c r="L77" s="22" t="n">
        <f aca="false">L76/K76-1</f>
        <v>-0.224240031583103</v>
      </c>
      <c r="M77" s="22" t="n">
        <f aca="false">M76/L76-1</f>
        <v>0.36793893129771</v>
      </c>
      <c r="N77" s="23" t="n">
        <f aca="false">N76/M76-1</f>
        <v>-1</v>
      </c>
    </row>
    <row r="78" customFormat="false" ht="15" hidden="false" customHeight="false" outlineLevel="0" collapsed="false">
      <c r="B78" s="16"/>
      <c r="C78" s="17"/>
      <c r="D78" s="17"/>
      <c r="E78" s="17"/>
      <c r="F78" s="26" t="s">
        <v>46</v>
      </c>
      <c r="G78" s="27" t="e">
        <f aca="false">G76/G74</f>
        <v>#DIV/0!</v>
      </c>
      <c r="H78" s="27" t="e">
        <f aca="false">H76/H74</f>
        <v>#DIV/0!</v>
      </c>
      <c r="I78" s="27" t="e">
        <f aca="false">I76/I74</f>
        <v>#DIV/0!</v>
      </c>
      <c r="J78" s="27" t="e">
        <f aca="false">J76/J74</f>
        <v>#DIV/0!</v>
      </c>
      <c r="K78" s="27" t="n">
        <f aca="false">K76/K74</f>
        <v>0.0386865215731195</v>
      </c>
      <c r="L78" s="27" t="n">
        <f aca="false">L76/L74</f>
        <v>0.0235411100861377</v>
      </c>
      <c r="M78" s="27" t="n">
        <f aca="false">M76/M74</f>
        <v>0.0308055514170783</v>
      </c>
      <c r="N78" s="28" t="n">
        <f aca="false">N76/N74</f>
        <v>0</v>
      </c>
    </row>
    <row r="79" customFormat="false" ht="15" hidden="false" customHeight="false" outlineLevel="0" collapsed="false">
      <c r="B79" s="16" t="n">
        <v>117</v>
      </c>
      <c r="C79" s="17" t="s">
        <v>33</v>
      </c>
      <c r="D79" s="17" t="s">
        <v>49</v>
      </c>
      <c r="E79" s="17" t="s">
        <v>66</v>
      </c>
      <c r="F79" s="18" t="s">
        <v>43</v>
      </c>
      <c r="G79" s="19" t="n">
        <f aca="false">SUMIFS('Asset Value'!$F$4:$F$102,'Asset Value'!$B$4:$B$102,Register!G$3,'Asset Value'!$C$4:$C$102,Register!$C79)/1000</f>
        <v>20520</v>
      </c>
      <c r="H79" s="19" t="n">
        <f aca="false">SUMIFS('Asset Value'!$F$4:$F$102,'Asset Value'!$B$4:$B$102,Register!H$3,'Asset Value'!$C$4:$C$102,Register!$C79)/1000</f>
        <v>25260</v>
      </c>
      <c r="I79" s="19" t="n">
        <f aca="false">SUMIFS('Asset Value'!$F$4:$F$102,'Asset Value'!$B$4:$B$102,Register!I$3,'Asset Value'!$C$4:$C$102,Register!$C79)/1000</f>
        <v>24850</v>
      </c>
      <c r="J79" s="19" t="n">
        <f aca="false">SUMIFS('Asset Value'!$F$4:$F$102,'Asset Value'!$B$4:$B$102,Register!J$3,'Asset Value'!$C$4:$C$102,Register!$C79)/1000</f>
        <v>0</v>
      </c>
      <c r="K79" s="19" t="n">
        <f aca="false">SUMIFS('Asset Value'!$F$4:$F$102,'Asset Value'!$B$4:$B$102,Register!K$3,'Asset Value'!$C$4:$C$102,Register!$C79)/1000</f>
        <v>0</v>
      </c>
      <c r="L79" s="19" t="n">
        <f aca="false">SUMIFS('Asset Value'!$F$4:$F$102,'Asset Value'!$B$4:$B$102,Register!L$3,'Asset Value'!$C$4:$C$102,Register!$C79)/1000</f>
        <v>0</v>
      </c>
      <c r="M79" s="19" t="n">
        <f aca="false">SUMIFS('Asset Value'!$F$4:$F$102,'Asset Value'!$B$4:$B$102,Register!M$3,'Asset Value'!$C$4:$C$102,Register!$C79)/1000</f>
        <v>0</v>
      </c>
      <c r="N79" s="20" t="n">
        <f aca="false">SUMIFS('Asset Value'!$F$4:$F$102,'Asset Value'!$B$4:$B$102,Register!N$3,'Asset Value'!$C$4:$C$102,Register!$C79)/1000</f>
        <v>0</v>
      </c>
    </row>
    <row r="80" customFormat="false" ht="15" hidden="false" customHeight="false" outlineLevel="0" collapsed="false">
      <c r="B80" s="16"/>
      <c r="C80" s="17"/>
      <c r="D80" s="17"/>
      <c r="E80" s="17"/>
      <c r="F80" s="21" t="s">
        <v>44</v>
      </c>
      <c r="H80" s="22" t="n">
        <f aca="false">H79/G79-1</f>
        <v>0.230994152046784</v>
      </c>
      <c r="I80" s="22" t="n">
        <f aca="false">I79/H79-1</f>
        <v>-0.0162311955661124</v>
      </c>
      <c r="J80" s="22" t="n">
        <f aca="false">J79/I79-1</f>
        <v>-1</v>
      </c>
      <c r="K80" s="22" t="e">
        <f aca="false">K79/J79-1</f>
        <v>#DIV/0!</v>
      </c>
      <c r="L80" s="22" t="e">
        <f aca="false">L79/K79-1</f>
        <v>#DIV/0!</v>
      </c>
      <c r="M80" s="22" t="e">
        <f aca="false">M79/L79-1</f>
        <v>#DIV/0!</v>
      </c>
      <c r="N80" s="23" t="e">
        <f aca="false">N79/M79-1</f>
        <v>#DIV/0!</v>
      </c>
    </row>
    <row r="81" customFormat="false" ht="15" hidden="false" customHeight="false" outlineLevel="0" collapsed="false">
      <c r="B81" s="16"/>
      <c r="C81" s="17"/>
      <c r="D81" s="17"/>
      <c r="E81" s="17"/>
      <c r="F81" s="1" t="s">
        <v>45</v>
      </c>
      <c r="G81" s="24" t="n">
        <f aca="false">SUMIFS(Rent!$E$3:$E$110,Rent!$C$3:$C$110,Register!G$3,Rent!$D$3:$D$110,Register!$C79)/1000</f>
        <v>1083.6</v>
      </c>
      <c r="H81" s="24" t="n">
        <f aca="false">SUMIFS(Rent!$E$3:$E$110,Rent!$C$3:$C$110,Register!H$3,Rent!$D$3:$D$110,Register!$C79)/1000</f>
        <v>948.15</v>
      </c>
      <c r="I81" s="24" t="n">
        <f aca="false">SUMIFS(Rent!$E$3:$E$110,Rent!$C$3:$C$110,Register!I$3,Rent!$D$3:$D$110,Register!$C79)/1000</f>
        <v>0</v>
      </c>
      <c r="J81" s="24" t="n">
        <f aca="false">SUMIFS(Rent!$E$3:$E$110,Rent!$C$3:$C$110,Register!J$3,Rent!$D$3:$D$110,Register!$C79)/1000</f>
        <v>0</v>
      </c>
      <c r="K81" s="24" t="n">
        <f aca="false">SUMIFS(Rent!$E$3:$E$110,Rent!$C$3:$C$110,Register!K$3,Rent!$D$3:$D$110,Register!$C79)/1000</f>
        <v>0</v>
      </c>
      <c r="L81" s="24" t="n">
        <f aca="false">SUMIFS(Rent!$E$3:$E$110,Rent!$C$3:$C$110,Register!L$3,Rent!$D$3:$D$110,Register!$C79)/1000</f>
        <v>0</v>
      </c>
      <c r="M81" s="24" t="n">
        <f aca="false">SUMIFS(Rent!$E$3:$E$110,Rent!$C$3:$C$110,Register!M$3,Rent!$D$3:$D$110,Register!$C79)/1000</f>
        <v>0</v>
      </c>
      <c r="N81" s="25" t="n">
        <f aca="false">SUMIFS(Rent!$E$3:$E$110,Rent!$C$3:$C$110,Register!N$3,Rent!$D$3:$D$110,Register!$C79)/1000</f>
        <v>0</v>
      </c>
    </row>
    <row r="82" customFormat="false" ht="15" hidden="false" customHeight="false" outlineLevel="0" collapsed="false">
      <c r="B82" s="16"/>
      <c r="C82" s="17"/>
      <c r="D82" s="17"/>
      <c r="E82" s="17"/>
      <c r="F82" s="21" t="s">
        <v>44</v>
      </c>
      <c r="H82" s="22" t="n">
        <f aca="false">H81/G81-1</f>
        <v>-0.125</v>
      </c>
      <c r="I82" s="22" t="n">
        <f aca="false">I81/H81-1</f>
        <v>-1</v>
      </c>
      <c r="J82" s="22" t="e">
        <f aca="false">J81/I81-1</f>
        <v>#DIV/0!</v>
      </c>
      <c r="K82" s="22" t="e">
        <f aca="false">K81/J81-1</f>
        <v>#DIV/0!</v>
      </c>
      <c r="L82" s="22" t="e">
        <f aca="false">L81/K81-1</f>
        <v>#DIV/0!</v>
      </c>
      <c r="M82" s="22" t="e">
        <f aca="false">M81/L81-1</f>
        <v>#DIV/0!</v>
      </c>
      <c r="N82" s="23" t="e">
        <f aca="false">N81/M81-1</f>
        <v>#DIV/0!</v>
      </c>
    </row>
    <row r="83" customFormat="false" ht="15" hidden="false" customHeight="false" outlineLevel="0" collapsed="false">
      <c r="B83" s="16"/>
      <c r="C83" s="17"/>
      <c r="D83" s="17"/>
      <c r="E83" s="17"/>
      <c r="F83" s="26" t="s">
        <v>46</v>
      </c>
      <c r="G83" s="27" t="n">
        <f aca="false">G81/G79</f>
        <v>0.0528070175438596</v>
      </c>
      <c r="H83" s="27" t="n">
        <f aca="false">H81/H79</f>
        <v>0.0375356294536817</v>
      </c>
      <c r="I83" s="27" t="n">
        <f aca="false">I81/I79</f>
        <v>0</v>
      </c>
      <c r="J83" s="27" t="e">
        <f aca="false">J81/J79</f>
        <v>#DIV/0!</v>
      </c>
      <c r="K83" s="27" t="e">
        <f aca="false">K81/K79</f>
        <v>#DIV/0!</v>
      </c>
      <c r="L83" s="27" t="e">
        <f aca="false">L81/L79</f>
        <v>#DIV/0!</v>
      </c>
      <c r="M83" s="27" t="e">
        <f aca="false">M81/M79</f>
        <v>#DIV/0!</v>
      </c>
      <c r="N83" s="28" t="e">
        <f aca="false">N81/N79</f>
        <v>#DIV/0!</v>
      </c>
    </row>
    <row r="84" customFormat="false" ht="15" hidden="false" customHeight="false" outlineLevel="0" collapsed="false">
      <c r="B84" s="29"/>
      <c r="C84" s="29"/>
      <c r="D84" s="29"/>
      <c r="E84" s="29"/>
    </row>
    <row r="85" customFormat="false" ht="15" hidden="false" customHeight="false" outlineLevel="0" collapsed="false">
      <c r="B85" s="29"/>
      <c r="C85" s="29"/>
      <c r="D85" s="29"/>
      <c r="E85" s="29"/>
    </row>
    <row r="86" customFormat="false" ht="15" hidden="false" customHeight="false" outlineLevel="0" collapsed="false">
      <c r="B86" s="29"/>
      <c r="C86" s="29"/>
      <c r="D86" s="29"/>
      <c r="E86" s="29"/>
    </row>
    <row r="87" customFormat="false" ht="15" hidden="false" customHeight="false" outlineLevel="0" collapsed="false">
      <c r="B87" s="29"/>
      <c r="C87" s="29"/>
      <c r="D87" s="29"/>
      <c r="E87" s="29"/>
    </row>
    <row r="88" customFormat="false" ht="15" hidden="false" customHeight="false" outlineLevel="0" collapsed="false">
      <c r="B88" s="29"/>
      <c r="C88" s="29"/>
      <c r="D88" s="29"/>
      <c r="E88" s="29"/>
    </row>
    <row r="89" customFormat="false" ht="15" hidden="false" customHeight="false" outlineLevel="0" collapsed="false">
      <c r="B89" s="29"/>
      <c r="C89" s="29"/>
      <c r="D89" s="29"/>
      <c r="E89" s="29"/>
    </row>
    <row r="90" customFormat="false" ht="15" hidden="false" customHeight="false" outlineLevel="0" collapsed="false">
      <c r="B90" s="29"/>
      <c r="C90" s="29"/>
      <c r="D90" s="29"/>
      <c r="E90" s="29"/>
    </row>
    <row r="91" customFormat="false" ht="15" hidden="false" customHeight="false" outlineLevel="0" collapsed="false">
      <c r="B91" s="29"/>
      <c r="C91" s="29"/>
      <c r="D91" s="29"/>
      <c r="E91" s="29"/>
    </row>
    <row r="92" customFormat="false" ht="15" hidden="false" customHeight="false" outlineLevel="0" collapsed="false">
      <c r="B92" s="29"/>
      <c r="C92" s="29"/>
      <c r="D92" s="29"/>
      <c r="E92" s="29"/>
    </row>
    <row r="93" customFormat="false" ht="15" hidden="false" customHeight="false" outlineLevel="0" collapsed="false">
      <c r="B93" s="29"/>
      <c r="C93" s="29"/>
      <c r="D93" s="29"/>
      <c r="E93" s="29"/>
    </row>
    <row r="94" customFormat="false" ht="15" hidden="false" customHeight="false" outlineLevel="0" collapsed="false">
      <c r="B94" s="29"/>
      <c r="C94" s="29"/>
      <c r="D94" s="29"/>
      <c r="E94" s="29"/>
    </row>
    <row r="95" customFormat="false" ht="15" hidden="false" customHeight="false" outlineLevel="0" collapsed="false">
      <c r="B95" s="29"/>
      <c r="C95" s="29"/>
      <c r="D95" s="29"/>
      <c r="E95" s="29"/>
    </row>
    <row r="96" customFormat="false" ht="15" hidden="false" customHeight="false" outlineLevel="0" collapsed="false">
      <c r="B96" s="29"/>
      <c r="C96" s="29"/>
      <c r="D96" s="29"/>
      <c r="E96" s="29"/>
    </row>
    <row r="97" customFormat="false" ht="15" hidden="false" customHeight="false" outlineLevel="0" collapsed="false">
      <c r="B97" s="29"/>
      <c r="C97" s="29"/>
      <c r="D97" s="29"/>
      <c r="E97" s="29"/>
    </row>
    <row r="98" customFormat="false" ht="15" hidden="false" customHeight="false" outlineLevel="0" collapsed="false">
      <c r="B98" s="29"/>
      <c r="C98" s="29"/>
      <c r="D98" s="29"/>
      <c r="E98" s="29"/>
    </row>
    <row r="99" customFormat="false" ht="15" hidden="false" customHeight="false" outlineLevel="0" collapsed="false">
      <c r="C99" s="29"/>
      <c r="D99" s="29"/>
    </row>
    <row r="100" customFormat="false" ht="15" hidden="false" customHeight="false" outlineLevel="0" collapsed="false">
      <c r="C100" s="29"/>
      <c r="D100" s="29"/>
    </row>
    <row r="101" customFormat="false" ht="15" hidden="false" customHeight="false" outlineLevel="0" collapsed="false">
      <c r="C101" s="29"/>
      <c r="D101" s="29"/>
    </row>
    <row r="102" customFormat="false" ht="15" hidden="false" customHeight="false" outlineLevel="0" collapsed="false">
      <c r="C102" s="29"/>
      <c r="D102" s="29"/>
    </row>
    <row r="103" customFormat="false" ht="15" hidden="false" customHeight="false" outlineLevel="0" collapsed="false">
      <c r="C103" s="29"/>
      <c r="D103" s="29"/>
    </row>
    <row r="104" customFormat="false" ht="15" hidden="false" customHeight="false" outlineLevel="0" collapsed="false">
      <c r="D104" s="29"/>
    </row>
    <row r="105" customFormat="false" ht="15" hidden="false" customHeight="false" outlineLevel="0" collapsed="false">
      <c r="D105" s="29"/>
    </row>
    <row r="106" customFormat="false" ht="15" hidden="false" customHeight="false" outlineLevel="0" collapsed="false">
      <c r="D106" s="29"/>
    </row>
    <row r="107" customFormat="false" ht="15" hidden="false" customHeight="false" outlineLevel="0" collapsed="false">
      <c r="D107" s="29"/>
    </row>
    <row r="108" customFormat="false" ht="15" hidden="false" customHeight="false" outlineLevel="0" collapsed="false">
      <c r="D108" s="29"/>
    </row>
    <row r="109" customFormat="false" ht="15" hidden="false" customHeight="false" outlineLevel="0" collapsed="false">
      <c r="D109" s="29"/>
    </row>
    <row r="110" customFormat="false" ht="15" hidden="false" customHeight="false" outlineLevel="0" collapsed="false">
      <c r="D110" s="29"/>
    </row>
    <row r="111" customFormat="false" ht="15" hidden="false" customHeight="false" outlineLevel="0" collapsed="false">
      <c r="D111" s="29"/>
    </row>
    <row r="112" customFormat="false" ht="15" hidden="false" customHeight="false" outlineLevel="0" collapsed="false">
      <c r="D112" s="29"/>
    </row>
    <row r="113" customFormat="false" ht="15" hidden="false" customHeight="false" outlineLevel="0" collapsed="false">
      <c r="D113" s="29"/>
    </row>
  </sheetData>
  <mergeCells count="80">
    <mergeCell ref="B4:B8"/>
    <mergeCell ref="C4:C8"/>
    <mergeCell ref="D4:D8"/>
    <mergeCell ref="E4:E8"/>
    <mergeCell ref="B9:B13"/>
    <mergeCell ref="C9:C13"/>
    <mergeCell ref="D9:D13"/>
    <mergeCell ref="E9:E13"/>
    <mergeCell ref="B14:B18"/>
    <mergeCell ref="C14:C18"/>
    <mergeCell ref="D14:D18"/>
    <mergeCell ref="E14:E18"/>
    <mergeCell ref="B19:B23"/>
    <mergeCell ref="C19:C23"/>
    <mergeCell ref="D19:D23"/>
    <mergeCell ref="E19:E23"/>
    <mergeCell ref="B24:B28"/>
    <mergeCell ref="C24:C28"/>
    <mergeCell ref="D24:D28"/>
    <mergeCell ref="E24:E28"/>
    <mergeCell ref="B29:B33"/>
    <mergeCell ref="C29:C33"/>
    <mergeCell ref="D29:D33"/>
    <mergeCell ref="E29:E33"/>
    <mergeCell ref="B34:B38"/>
    <mergeCell ref="C34:C38"/>
    <mergeCell ref="D34:D38"/>
    <mergeCell ref="E34:E38"/>
    <mergeCell ref="B39:B43"/>
    <mergeCell ref="C39:C43"/>
    <mergeCell ref="D39:D43"/>
    <mergeCell ref="E39:E43"/>
    <mergeCell ref="B44:B48"/>
    <mergeCell ref="C44:C48"/>
    <mergeCell ref="D44:D48"/>
    <mergeCell ref="E44:E48"/>
    <mergeCell ref="B49:B53"/>
    <mergeCell ref="C49:C53"/>
    <mergeCell ref="D49:D53"/>
    <mergeCell ref="E49:E53"/>
    <mergeCell ref="B54:B58"/>
    <mergeCell ref="C54:C58"/>
    <mergeCell ref="D54:D58"/>
    <mergeCell ref="E54:E58"/>
    <mergeCell ref="B59:B63"/>
    <mergeCell ref="C59:C63"/>
    <mergeCell ref="D59:D63"/>
    <mergeCell ref="E59:E63"/>
    <mergeCell ref="B64:B68"/>
    <mergeCell ref="C64:C68"/>
    <mergeCell ref="D64:D68"/>
    <mergeCell ref="E64:E68"/>
    <mergeCell ref="B69:B73"/>
    <mergeCell ref="C69:C73"/>
    <mergeCell ref="D69:D73"/>
    <mergeCell ref="E69:E73"/>
    <mergeCell ref="B74:B78"/>
    <mergeCell ref="C74:C78"/>
    <mergeCell ref="D74:D78"/>
    <mergeCell ref="E74:E78"/>
    <mergeCell ref="B79:B83"/>
    <mergeCell ref="C79:C83"/>
    <mergeCell ref="D79:D83"/>
    <mergeCell ref="E79:E83"/>
    <mergeCell ref="B84:B88"/>
    <mergeCell ref="C84:C88"/>
    <mergeCell ref="D84:D88"/>
    <mergeCell ref="E84:E88"/>
    <mergeCell ref="B89:B93"/>
    <mergeCell ref="C89:C93"/>
    <mergeCell ref="D89:D93"/>
    <mergeCell ref="E89:E93"/>
    <mergeCell ref="B94:B98"/>
    <mergeCell ref="C94:C98"/>
    <mergeCell ref="D94:D98"/>
    <mergeCell ref="E94:E98"/>
    <mergeCell ref="C99:C103"/>
    <mergeCell ref="D99:D103"/>
    <mergeCell ref="D104:D108"/>
    <mergeCell ref="D109:D1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102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P80" activeCellId="0" sqref="P80"/>
    </sheetView>
  </sheetViews>
  <sheetFormatPr defaultColWidth="8.53125" defaultRowHeight="15" zeroHeight="false" outlineLevelRow="0" outlineLevelCol="0"/>
  <cols>
    <col collapsed="false" customWidth="true" hidden="false" outlineLevel="0" max="1" min="1" style="1" width="9.42"/>
    <col collapsed="false" customWidth="true" hidden="false" outlineLevel="0" max="2" min="2" style="1" width="6"/>
    <col collapsed="false" customWidth="true" hidden="false" outlineLevel="0" max="3" min="3" style="1" width="18.42"/>
    <col collapsed="false" customWidth="true" hidden="false" outlineLevel="0" max="4" min="4" style="1" width="15.85"/>
    <col collapsed="false" customWidth="true" hidden="false" outlineLevel="0" max="5" min="5" style="1" width="13.28"/>
    <col collapsed="false" customWidth="true" hidden="false" outlineLevel="0" max="6" min="6" style="1" width="14"/>
    <col collapsed="false" customWidth="true" hidden="false" outlineLevel="0" max="7" min="7" style="1" width="9.57"/>
    <col collapsed="false" customWidth="true" hidden="false" outlineLevel="0" max="9" min="8" style="1" width="14"/>
    <col collapsed="false" customWidth="true" hidden="false" outlineLevel="0" max="10" min="10" style="1" width="10"/>
  </cols>
  <sheetData>
    <row r="3" customFormat="false" ht="15" hidden="false" customHeight="false" outlineLevel="0" collapsed="false">
      <c r="A3" s="1" t="s">
        <v>67</v>
      </c>
      <c r="B3" s="1" t="s">
        <v>3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L3" s="3" t="s">
        <v>76</v>
      </c>
    </row>
    <row r="4" customFormat="false" ht="15" hidden="false" customHeight="false" outlineLevel="0" collapsed="false">
      <c r="A4" s="30" t="n">
        <v>39568</v>
      </c>
      <c r="B4" s="1" t="n">
        <v>2008</v>
      </c>
      <c r="C4" s="1" t="s">
        <v>19</v>
      </c>
      <c r="D4" s="31" t="n">
        <v>17094</v>
      </c>
      <c r="E4" s="31" t="n">
        <v>143610</v>
      </c>
      <c r="F4" s="31" t="n">
        <f aca="false">E4*1000</f>
        <v>143610000</v>
      </c>
      <c r="G4" s="32" t="n">
        <f aca="false">F4/D4</f>
        <v>8401.1934011934</v>
      </c>
      <c r="H4" s="33" t="n">
        <f aca="false">IFERROR(INDEX(PTAX!$C$5:$C$5000,MATCH($A4,PTAX!$B$5:$B$5000,1)),"")</f>
        <v>1.6864</v>
      </c>
      <c r="I4" s="9" t="n">
        <f aca="false">IF(H4="","",F4/H4)</f>
        <v>85157732.4478179</v>
      </c>
      <c r="J4" s="34" t="n">
        <f aca="false">IF(H4="","",I4/D4)</f>
        <v>4981.73232992967</v>
      </c>
    </row>
    <row r="5" customFormat="false" ht="15" hidden="false" customHeight="false" outlineLevel="0" collapsed="false">
      <c r="A5" s="30" t="n">
        <v>39568</v>
      </c>
      <c r="B5" s="1" t="n">
        <v>2008</v>
      </c>
      <c r="C5" s="1" t="s">
        <v>20</v>
      </c>
      <c r="D5" s="31" t="n">
        <v>17489</v>
      </c>
      <c r="E5" s="31" t="n">
        <v>207710</v>
      </c>
      <c r="F5" s="31" t="n">
        <f aca="false">E5*1000</f>
        <v>207710000</v>
      </c>
      <c r="G5" s="32" t="n">
        <f aca="false">F5/D5</f>
        <v>11876.6081536966</v>
      </c>
      <c r="H5" s="33" t="n">
        <f aca="false">IFERROR(INDEX(PTAX!$C$5:$C$5000,MATCH($A5,PTAX!$B$5:$B$5000,1)),"")</f>
        <v>1.6864</v>
      </c>
      <c r="I5" s="9" t="n">
        <f aca="false">IF(H5="","",F5/H5)</f>
        <v>123167694.497154</v>
      </c>
      <c r="J5" s="34" t="n">
        <f aca="false">IF(H5="","",I5/D5)</f>
        <v>7042.58073630017</v>
      </c>
    </row>
    <row r="6" customFormat="false" ht="15" hidden="false" customHeight="false" outlineLevel="0" collapsed="false">
      <c r="A6" s="30" t="n">
        <v>39568</v>
      </c>
      <c r="B6" s="1" t="n">
        <v>2008</v>
      </c>
      <c r="C6" s="1" t="s">
        <v>21</v>
      </c>
      <c r="D6" s="31" t="n">
        <v>18256</v>
      </c>
      <c r="E6" s="31" t="n">
        <v>106940</v>
      </c>
      <c r="F6" s="31" t="n">
        <f aca="false">E6*1000</f>
        <v>106940000</v>
      </c>
      <c r="G6" s="32" t="n">
        <f aca="false">F6/D6</f>
        <v>5857.80017528484</v>
      </c>
      <c r="H6" s="33" t="n">
        <f aca="false">IFERROR(INDEX(PTAX!$C$5:$C$5000,MATCH($A6,PTAX!$B$5:$B$5000,1)),"")</f>
        <v>1.6864</v>
      </c>
      <c r="I6" s="9" t="n">
        <f aca="false">IF(H6="","",F6/H6)</f>
        <v>63413187.8557875</v>
      </c>
      <c r="J6" s="34" t="n">
        <f aca="false">IF(H6="","",I6/D6)</f>
        <v>3473.55323487004</v>
      </c>
    </row>
    <row r="7" customFormat="false" ht="15" hidden="false" customHeight="false" outlineLevel="0" collapsed="false">
      <c r="A7" s="30" t="n">
        <v>39568</v>
      </c>
      <c r="B7" s="1" t="n">
        <v>2008</v>
      </c>
      <c r="C7" s="1" t="s">
        <v>25</v>
      </c>
      <c r="D7" s="31" t="n">
        <v>26084</v>
      </c>
      <c r="E7" s="31" t="n">
        <v>156660</v>
      </c>
      <c r="F7" s="31" t="n">
        <f aca="false">E7*1000</f>
        <v>156660000</v>
      </c>
      <c r="G7" s="32" t="n">
        <f aca="false">F7/D7</f>
        <v>6005.98067781015</v>
      </c>
      <c r="H7" s="33" t="n">
        <f aca="false">IFERROR(INDEX(PTAX!$C$5:$C$5000,MATCH($A7,PTAX!$B$5:$B$5000,1)),"")</f>
        <v>1.6864</v>
      </c>
      <c r="I7" s="9" t="n">
        <f aca="false">IF(H7="","",F7/H7)</f>
        <v>92896110.056926</v>
      </c>
      <c r="J7" s="34" t="n">
        <f aca="false">IF(H7="","",I7/D7)</f>
        <v>3561.42117991589</v>
      </c>
    </row>
    <row r="8" customFormat="false" ht="15" hidden="false" customHeight="false" outlineLevel="0" collapsed="false">
      <c r="A8" s="30" t="n">
        <v>39568</v>
      </c>
      <c r="B8" s="1" t="n">
        <v>2008</v>
      </c>
      <c r="C8" s="1" t="s">
        <v>33</v>
      </c>
      <c r="D8" s="31" t="n">
        <v>14963</v>
      </c>
      <c r="E8" s="31" t="n">
        <v>20520</v>
      </c>
      <c r="F8" s="31" t="n">
        <f aca="false">E8*1000</f>
        <v>20520000</v>
      </c>
      <c r="G8" s="32" t="n">
        <f aca="false">F8/D8</f>
        <v>1371.38274410212</v>
      </c>
      <c r="H8" s="33" t="n">
        <f aca="false">IFERROR(INDEX(PTAX!$C$5:$C$5000,MATCH($A8,PTAX!$B$5:$B$5000,1)),"")</f>
        <v>1.6864</v>
      </c>
      <c r="I8" s="9" t="n">
        <f aca="false">IF(H8="","",F8/H8)</f>
        <v>12167931.6888046</v>
      </c>
      <c r="J8" s="34" t="n">
        <f aca="false">IF(H8="","",I8/D8)</f>
        <v>813.201342565298</v>
      </c>
    </row>
    <row r="9" customFormat="false" ht="15" hidden="false" customHeight="false" outlineLevel="0" collapsed="false">
      <c r="A9" s="30" t="n">
        <v>39568</v>
      </c>
      <c r="B9" s="1" t="n">
        <v>2008</v>
      </c>
      <c r="C9" s="1" t="s">
        <v>30</v>
      </c>
      <c r="D9" s="31" t="n">
        <v>13159</v>
      </c>
      <c r="E9" s="31" t="n">
        <v>108480</v>
      </c>
      <c r="F9" s="31" t="n">
        <f aca="false">E9*1000</f>
        <v>108480000</v>
      </c>
      <c r="G9" s="32" t="n">
        <f aca="false">F9/D9</f>
        <v>8243.78752184816</v>
      </c>
      <c r="H9" s="33" t="n">
        <f aca="false">IFERROR(INDEX(PTAX!$C$5:$C$5000,MATCH($A9,PTAX!$B$5:$B$5000,1)),"")</f>
        <v>1.6864</v>
      </c>
      <c r="I9" s="9" t="n">
        <f aca="false">IF(H9="","",F9/H9)</f>
        <v>64326375.711575</v>
      </c>
      <c r="J9" s="34" t="n">
        <f aca="false">IF(H9="","",I9/D9)</f>
        <v>4888.39392898966</v>
      </c>
    </row>
    <row r="10" customFormat="false" ht="15" hidden="false" customHeight="false" outlineLevel="0" collapsed="false">
      <c r="A10" s="30" t="n">
        <v>39568</v>
      </c>
      <c r="B10" s="1" t="n">
        <v>2008</v>
      </c>
      <c r="C10" s="1" t="s">
        <v>26</v>
      </c>
      <c r="D10" s="31" t="n">
        <v>26257</v>
      </c>
      <c r="E10" s="31" t="n">
        <v>218840</v>
      </c>
      <c r="F10" s="31" t="n">
        <f aca="false">E10*1000</f>
        <v>218840000</v>
      </c>
      <c r="G10" s="32" t="n">
        <f aca="false">F10/D10</f>
        <v>8334.53936093232</v>
      </c>
      <c r="H10" s="33" t="n">
        <f aca="false">IFERROR(INDEX(PTAX!$C$5:$C$5000,MATCH($A10,PTAX!$B$5:$B$5000,1)),"")</f>
        <v>1.6864</v>
      </c>
      <c r="I10" s="9" t="n">
        <f aca="false">IF(H10="","",F10/H10)</f>
        <v>129767552.182163</v>
      </c>
      <c r="J10" s="34" t="n">
        <f aca="false">IF(H10="","",I10/D10)</f>
        <v>4942.20787531566</v>
      </c>
    </row>
    <row r="11" customFormat="false" ht="15" hidden="false" customHeight="false" outlineLevel="0" collapsed="false">
      <c r="A11" s="30" t="n">
        <v>39568</v>
      </c>
      <c r="B11" s="1" t="n">
        <v>2008</v>
      </c>
      <c r="C11" s="1" t="s">
        <v>22</v>
      </c>
      <c r="D11" s="31" t="n">
        <v>9220</v>
      </c>
      <c r="E11" s="31" t="n">
        <v>75090</v>
      </c>
      <c r="F11" s="31" t="n">
        <f aca="false">E11*1000</f>
        <v>75090000</v>
      </c>
      <c r="G11" s="32" t="n">
        <f aca="false">F11/D11</f>
        <v>8144.25162689805</v>
      </c>
      <c r="H11" s="33" t="n">
        <f aca="false">IFERROR(INDEX(PTAX!$C$5:$C$5000,MATCH($A11,PTAX!$B$5:$B$5000,1)),"")</f>
        <v>1.6864</v>
      </c>
      <c r="I11" s="9" t="n">
        <f aca="false">IF(H11="","",F11/H11)</f>
        <v>44526802.6565465</v>
      </c>
      <c r="J11" s="34" t="n">
        <f aca="false">IF(H11="","",I11/D11)</f>
        <v>4829.37122088357</v>
      </c>
    </row>
    <row r="12" customFormat="false" ht="15" hidden="false" customHeight="false" outlineLevel="0" collapsed="false">
      <c r="A12" s="30" t="n">
        <v>39568</v>
      </c>
      <c r="B12" s="1" t="n">
        <v>2008</v>
      </c>
      <c r="C12" s="1" t="s">
        <v>23</v>
      </c>
      <c r="D12" s="31" t="n">
        <v>25002</v>
      </c>
      <c r="E12" s="31" t="n">
        <v>58920</v>
      </c>
      <c r="F12" s="31" t="n">
        <f aca="false">E12*1000</f>
        <v>58920000</v>
      </c>
      <c r="G12" s="32" t="n">
        <f aca="false">F12/D12</f>
        <v>2356.61147108231</v>
      </c>
      <c r="H12" s="33" t="n">
        <f aca="false">IFERROR(INDEX(PTAX!$C$5:$C$5000,MATCH($A12,PTAX!$B$5:$B$5000,1)),"")</f>
        <v>1.6864</v>
      </c>
      <c r="I12" s="9" t="n">
        <f aca="false">IF(H12="","",F12/H12)</f>
        <v>34938330.170778</v>
      </c>
      <c r="J12" s="34" t="n">
        <f aca="false">IF(H12="","",I12/D12)</f>
        <v>1397.42141311807</v>
      </c>
    </row>
    <row r="13" customFormat="false" ht="15" hidden="false" customHeight="false" outlineLevel="0" collapsed="false">
      <c r="A13" s="30" t="n">
        <v>39961</v>
      </c>
      <c r="B13" s="1" t="n">
        <v>2009</v>
      </c>
      <c r="C13" s="1" t="s">
        <v>19</v>
      </c>
      <c r="D13" s="31" t="n">
        <v>17094</v>
      </c>
      <c r="E13" s="31" t="n">
        <v>158220</v>
      </c>
      <c r="F13" s="31" t="n">
        <f aca="false">E13*1000</f>
        <v>158220000</v>
      </c>
      <c r="G13" s="32" t="n">
        <f aca="false">F13/D13</f>
        <v>9255.87925587926</v>
      </c>
      <c r="H13" s="33" t="n">
        <f aca="false">IFERROR(INDEX(PTAX!$C$5:$C$5000,MATCH($A13,PTAX!$B$5:$B$5000,1)),"")</f>
        <v>2.0136</v>
      </c>
      <c r="I13" s="9" t="n">
        <f aca="false">IF(H13="","",F13/H13)</f>
        <v>78575685.3396901</v>
      </c>
      <c r="J13" s="34" t="n">
        <f aca="false">IF(H13="","",I13/D13)</f>
        <v>4596.68218905406</v>
      </c>
    </row>
    <row r="14" customFormat="false" ht="15" hidden="false" customHeight="false" outlineLevel="0" collapsed="false">
      <c r="A14" s="30" t="n">
        <v>39961</v>
      </c>
      <c r="B14" s="1" t="n">
        <v>2009</v>
      </c>
      <c r="C14" s="1" t="s">
        <v>20</v>
      </c>
      <c r="D14" s="31" t="n">
        <v>17489</v>
      </c>
      <c r="E14" s="31" t="n">
        <v>234810</v>
      </c>
      <c r="F14" s="31" t="n">
        <f aca="false">E14*1000</f>
        <v>234810000</v>
      </c>
      <c r="G14" s="32" t="n">
        <f aca="false">F14/D14</f>
        <v>13426.1535822517</v>
      </c>
      <c r="H14" s="33" t="n">
        <f aca="false">IFERROR(INDEX(PTAX!$C$5:$C$5000,MATCH($A14,PTAX!$B$5:$B$5000,1)),"")</f>
        <v>2.0136</v>
      </c>
      <c r="I14" s="9" t="n">
        <f aca="false">IF(H14="","",F14/H14)</f>
        <v>116612038.140644</v>
      </c>
      <c r="J14" s="34" t="n">
        <f aca="false">IF(H14="","",I14/D14)</f>
        <v>6667.73618506739</v>
      </c>
    </row>
    <row r="15" customFormat="false" ht="15" hidden="false" customHeight="false" outlineLevel="0" collapsed="false">
      <c r="A15" s="30" t="n">
        <v>39961</v>
      </c>
      <c r="B15" s="1" t="n">
        <v>2009</v>
      </c>
      <c r="C15" s="1" t="s">
        <v>21</v>
      </c>
      <c r="D15" s="31" t="n">
        <v>18256</v>
      </c>
      <c r="E15" s="31" t="n">
        <v>118040</v>
      </c>
      <c r="F15" s="31" t="n">
        <f aca="false">E15*1000</f>
        <v>118040000</v>
      </c>
      <c r="G15" s="32" t="n">
        <f aca="false">F15/D15</f>
        <v>6465.819456617</v>
      </c>
      <c r="H15" s="33" t="n">
        <f aca="false">IFERROR(INDEX(PTAX!$C$5:$C$5000,MATCH($A15,PTAX!$B$5:$B$5000,1)),"")</f>
        <v>2.0136</v>
      </c>
      <c r="I15" s="9" t="n">
        <f aca="false">IF(H15="","",F15/H15)</f>
        <v>58621374.6523639</v>
      </c>
      <c r="J15" s="34" t="n">
        <f aca="false">IF(H15="","",I15/D15)</f>
        <v>3211.07442223729</v>
      </c>
    </row>
    <row r="16" customFormat="false" ht="15" hidden="false" customHeight="false" outlineLevel="0" collapsed="false">
      <c r="A16" s="30" t="n">
        <v>39961</v>
      </c>
      <c r="B16" s="1" t="n">
        <v>2009</v>
      </c>
      <c r="C16" s="1" t="s">
        <v>25</v>
      </c>
      <c r="D16" s="31" t="n">
        <v>33798</v>
      </c>
      <c r="E16" s="31" t="n">
        <v>207350</v>
      </c>
      <c r="F16" s="31" t="n">
        <f aca="false">E16*1000</f>
        <v>207350000</v>
      </c>
      <c r="G16" s="32" t="n">
        <f aca="false">F16/D16</f>
        <v>6134.97840108882</v>
      </c>
      <c r="H16" s="33" t="n">
        <f aca="false">IFERROR(INDEX(PTAX!$C$5:$C$5000,MATCH($A16,PTAX!$B$5:$B$5000,1)),"")</f>
        <v>2.0136</v>
      </c>
      <c r="I16" s="9" t="n">
        <f aca="false">IF(H16="","",F16/H16)</f>
        <v>102974771.553437</v>
      </c>
      <c r="J16" s="34" t="n">
        <f aca="false">IF(H16="","",I16/D16)</f>
        <v>3046.77115667899</v>
      </c>
    </row>
    <row r="17" customFormat="false" ht="15" hidden="false" customHeight="false" outlineLevel="0" collapsed="false">
      <c r="A17" s="30" t="n">
        <v>39961</v>
      </c>
      <c r="B17" s="1" t="n">
        <v>2009</v>
      </c>
      <c r="C17" s="1" t="s">
        <v>33</v>
      </c>
      <c r="D17" s="31" t="n">
        <v>14963</v>
      </c>
      <c r="E17" s="31" t="n">
        <v>25260</v>
      </c>
      <c r="F17" s="31" t="n">
        <f aca="false">E17*1000</f>
        <v>25260000</v>
      </c>
      <c r="G17" s="32" t="n">
        <f aca="false">F17/D17</f>
        <v>1688.16413820758</v>
      </c>
      <c r="H17" s="33" t="n">
        <f aca="false">IFERROR(INDEX(PTAX!$C$5:$C$5000,MATCH($A17,PTAX!$B$5:$B$5000,1)),"")</f>
        <v>2.0136</v>
      </c>
      <c r="I17" s="9" t="n">
        <f aca="false">IF(H17="","",F17/H17)</f>
        <v>12544696.0667461</v>
      </c>
      <c r="J17" s="34" t="n">
        <f aca="false">IF(H17="","",I17/D17)</f>
        <v>838.38107777492</v>
      </c>
    </row>
    <row r="18" customFormat="false" ht="15" hidden="false" customHeight="false" outlineLevel="0" collapsed="false">
      <c r="A18" s="30" t="n">
        <v>39961</v>
      </c>
      <c r="B18" s="1" t="n">
        <v>2009</v>
      </c>
      <c r="C18" s="1" t="s">
        <v>30</v>
      </c>
      <c r="D18" s="31" t="n">
        <v>23794</v>
      </c>
      <c r="E18" s="31" t="n">
        <v>232990</v>
      </c>
      <c r="F18" s="31" t="n">
        <f aca="false">E18*1000</f>
        <v>232990000</v>
      </c>
      <c r="G18" s="32" t="n">
        <f aca="false">F18/D18</f>
        <v>9791.96436076322</v>
      </c>
      <c r="H18" s="33" t="n">
        <f aca="false">IFERROR(INDEX(PTAX!$C$5:$C$5000,MATCH($A18,PTAX!$B$5:$B$5000,1)),"")</f>
        <v>2.0136</v>
      </c>
      <c r="I18" s="9" t="n">
        <f aca="false">IF(H18="","",F18/H18)</f>
        <v>115708184.346444</v>
      </c>
      <c r="J18" s="34" t="n">
        <f aca="false">IF(H18="","",I18/D18)</f>
        <v>4862.91436271515</v>
      </c>
    </row>
    <row r="19" customFormat="false" ht="15" hidden="false" customHeight="false" outlineLevel="0" collapsed="false">
      <c r="A19" s="30" t="n">
        <v>39961</v>
      </c>
      <c r="B19" s="1" t="n">
        <v>2009</v>
      </c>
      <c r="C19" s="1" t="s">
        <v>26</v>
      </c>
      <c r="D19" s="31" t="n">
        <v>26257</v>
      </c>
      <c r="E19" s="31" t="n">
        <v>265050</v>
      </c>
      <c r="F19" s="31" t="n">
        <f aca="false">E19*1000</f>
        <v>265050000</v>
      </c>
      <c r="G19" s="32" t="n">
        <f aca="false">F19/D19</f>
        <v>10094.4510035419</v>
      </c>
      <c r="H19" s="33" t="n">
        <f aca="false">IFERROR(INDEX(PTAX!$C$5:$C$5000,MATCH($A19,PTAX!$B$5:$B$5000,1)),"")</f>
        <v>2.0136</v>
      </c>
      <c r="I19" s="9" t="n">
        <f aca="false">IF(H19="","",F19/H19)</f>
        <v>131629916.567342</v>
      </c>
      <c r="J19" s="34" t="n">
        <f aca="false">IF(H19="","",I19/D19)</f>
        <v>5013.13617577568</v>
      </c>
    </row>
    <row r="20" customFormat="false" ht="15" hidden="false" customHeight="false" outlineLevel="0" collapsed="false">
      <c r="A20" s="30" t="n">
        <v>39961</v>
      </c>
      <c r="B20" s="1" t="n">
        <v>2009</v>
      </c>
      <c r="C20" s="1" t="s">
        <v>22</v>
      </c>
      <c r="D20" s="31" t="n">
        <v>9220</v>
      </c>
      <c r="E20" s="31" t="n">
        <v>86360</v>
      </c>
      <c r="F20" s="31" t="n">
        <f aca="false">E20*1000</f>
        <v>86360000</v>
      </c>
      <c r="G20" s="32" t="n">
        <f aca="false">F20/D20</f>
        <v>9366.59436008677</v>
      </c>
      <c r="H20" s="33" t="n">
        <f aca="false">IFERROR(INDEX(PTAX!$C$5:$C$5000,MATCH($A20,PTAX!$B$5:$B$5000,1)),"")</f>
        <v>2.0136</v>
      </c>
      <c r="I20" s="9" t="n">
        <f aca="false">IF(H20="","",F20/H20)</f>
        <v>42888359.1577275</v>
      </c>
      <c r="J20" s="34" t="n">
        <f aca="false">IF(H20="","",I20/D20)</f>
        <v>4651.6658522481</v>
      </c>
    </row>
    <row r="21" customFormat="false" ht="15" hidden="false" customHeight="false" outlineLevel="0" collapsed="false">
      <c r="A21" s="30" t="n">
        <v>39961</v>
      </c>
      <c r="B21" s="1" t="n">
        <v>2009</v>
      </c>
      <c r="C21" s="1" t="s">
        <v>23</v>
      </c>
      <c r="D21" s="31" t="n">
        <v>25002</v>
      </c>
      <c r="E21" s="31" t="n">
        <v>94840</v>
      </c>
      <c r="F21" s="31" t="n">
        <f aca="false">E21*1000</f>
        <v>94840000</v>
      </c>
      <c r="G21" s="32" t="n">
        <f aca="false">F21/D21</f>
        <v>3793.2965362771</v>
      </c>
      <c r="H21" s="33" t="n">
        <f aca="false">IFERROR(INDEX(PTAX!$C$5:$C$5000,MATCH($A21,PTAX!$B$5:$B$5000,1)),"")</f>
        <v>2.0136</v>
      </c>
      <c r="I21" s="9" t="n">
        <f aca="false">IF(H21="","",F21/H21)</f>
        <v>47099721.8911403</v>
      </c>
      <c r="J21" s="34" t="n">
        <f aca="false">IF(H21="","",I21/D21)</f>
        <v>1883.83816859212</v>
      </c>
    </row>
    <row r="22" customFormat="false" ht="15" hidden="false" customHeight="false" outlineLevel="0" collapsed="false">
      <c r="A22" s="30" t="n">
        <v>39961</v>
      </c>
      <c r="B22" s="1" t="n">
        <v>2009</v>
      </c>
      <c r="C22" s="1" t="s">
        <v>24</v>
      </c>
      <c r="D22" s="31" t="n">
        <v>5280</v>
      </c>
      <c r="E22" s="31" t="n">
        <v>22780</v>
      </c>
      <c r="F22" s="31" t="n">
        <f aca="false">E22*1000</f>
        <v>22780000</v>
      </c>
      <c r="G22" s="32" t="n">
        <f aca="false">F22/D22</f>
        <v>4314.39393939394</v>
      </c>
      <c r="H22" s="33" t="n">
        <f aca="false">IFERROR(INDEX(PTAX!$C$5:$C$5000,MATCH($A22,PTAX!$B$5:$B$5000,1)),"")</f>
        <v>2.0136</v>
      </c>
      <c r="I22" s="9" t="n">
        <f aca="false">IF(H22="","",F22/H22)</f>
        <v>11313071.1164084</v>
      </c>
      <c r="J22" s="34" t="n">
        <f aca="false">IF(H22="","",I22/D22)</f>
        <v>2142.62710538038</v>
      </c>
    </row>
    <row r="23" customFormat="false" ht="15" hidden="false" customHeight="false" outlineLevel="0" collapsed="false">
      <c r="A23" s="30" t="n">
        <v>39961</v>
      </c>
      <c r="B23" s="1" t="n">
        <v>2009</v>
      </c>
      <c r="C23" s="1" t="s">
        <v>31</v>
      </c>
      <c r="D23" s="31" t="n">
        <v>26712</v>
      </c>
      <c r="E23" s="31" t="n">
        <v>49990</v>
      </c>
      <c r="F23" s="31" t="n">
        <f aca="false">E23*1000</f>
        <v>49990000</v>
      </c>
      <c r="G23" s="32" t="n">
        <f aca="false">F23/D23</f>
        <v>1871.44354597185</v>
      </c>
      <c r="H23" s="33" t="n">
        <f aca="false">IFERROR(INDEX(PTAX!$C$5:$C$5000,MATCH($A23,PTAX!$B$5:$B$5000,1)),"")</f>
        <v>2.0136</v>
      </c>
      <c r="I23" s="9" t="n">
        <f aca="false">IF(H23="","",F23/H23)</f>
        <v>24826181.962654</v>
      </c>
      <c r="J23" s="34" t="n">
        <f aca="false">IF(H23="","",I23/D23)</f>
        <v>929.401840470723</v>
      </c>
    </row>
    <row r="24" customFormat="false" ht="15" hidden="false" customHeight="false" outlineLevel="0" collapsed="false">
      <c r="A24" s="30" t="n">
        <v>40298</v>
      </c>
      <c r="B24" s="1" t="n">
        <v>2010</v>
      </c>
      <c r="C24" s="1" t="s">
        <v>19</v>
      </c>
      <c r="D24" s="31" t="n">
        <v>17094</v>
      </c>
      <c r="E24" s="31" t="n">
        <v>164240</v>
      </c>
      <c r="F24" s="31" t="n">
        <f aca="false">E24*1000</f>
        <v>164240000</v>
      </c>
      <c r="G24" s="32" t="n">
        <f aca="false">F24/D24</f>
        <v>9608.04960804961</v>
      </c>
      <c r="H24" s="33" t="n">
        <f aca="false">IFERROR(INDEX(PTAX!$C$5:$C$5000,MATCH($A24,PTAX!$B$5:$B$5000,1)),"")</f>
        <v>1.7298</v>
      </c>
      <c r="I24" s="9" t="n">
        <f aca="false">IF(H24="","",F24/H24)</f>
        <v>94947392.762169</v>
      </c>
      <c r="J24" s="34" t="n">
        <f aca="false">IF(H24="","",I24/D24)</f>
        <v>5554.42803101492</v>
      </c>
    </row>
    <row r="25" customFormat="false" ht="15" hidden="false" customHeight="false" outlineLevel="0" collapsed="false">
      <c r="A25" s="30" t="n">
        <v>40298</v>
      </c>
      <c r="B25" s="1" t="n">
        <v>2010</v>
      </c>
      <c r="C25" s="1" t="s">
        <v>20</v>
      </c>
      <c r="D25" s="31" t="n">
        <v>17490</v>
      </c>
      <c r="E25" s="31" t="n">
        <v>241810</v>
      </c>
      <c r="F25" s="31" t="n">
        <f aca="false">E25*1000</f>
        <v>241810000</v>
      </c>
      <c r="G25" s="32" t="n">
        <f aca="false">F25/D25</f>
        <v>13825.6146369354</v>
      </c>
      <c r="H25" s="33" t="n">
        <f aca="false">IFERROR(INDEX(PTAX!$C$5:$C$5000,MATCH($A25,PTAX!$B$5:$B$5000,1)),"")</f>
        <v>1.7298</v>
      </c>
      <c r="I25" s="9" t="n">
        <f aca="false">IF(H25="","",F25/H25)</f>
        <v>139790727.251705</v>
      </c>
      <c r="J25" s="34" t="n">
        <f aca="false">IF(H25="","",I25/D25)</f>
        <v>7992.60876224731</v>
      </c>
    </row>
    <row r="26" customFormat="false" ht="15" hidden="false" customHeight="false" outlineLevel="0" collapsed="false">
      <c r="A26" s="30" t="n">
        <v>40298</v>
      </c>
      <c r="B26" s="1" t="n">
        <v>2010</v>
      </c>
      <c r="C26" s="1" t="s">
        <v>30</v>
      </c>
      <c r="D26" s="31" t="n">
        <v>23793</v>
      </c>
      <c r="E26" s="31" t="n">
        <v>200050</v>
      </c>
      <c r="F26" s="31" t="n">
        <f aca="false">E26*1000</f>
        <v>200050000</v>
      </c>
      <c r="G26" s="32" t="n">
        <f aca="false">F26/D26</f>
        <v>8407.93510696423</v>
      </c>
      <c r="H26" s="33" t="n">
        <f aca="false">IFERROR(INDEX(PTAX!$C$5:$C$5000,MATCH($A26,PTAX!$B$5:$B$5000,1)),"")</f>
        <v>1.7298</v>
      </c>
      <c r="I26" s="9" t="n">
        <f aca="false">IF(H26="","",F26/H26)</f>
        <v>115649208.000925</v>
      </c>
      <c r="J26" s="34" t="n">
        <f aca="false">IF(H26="","",I26/D26)</f>
        <v>4860.64002021288</v>
      </c>
    </row>
    <row r="27" customFormat="false" ht="15" hidden="false" customHeight="false" outlineLevel="0" collapsed="false">
      <c r="A27" s="30" t="n">
        <v>40298</v>
      </c>
      <c r="B27" s="1" t="n">
        <v>2010</v>
      </c>
      <c r="C27" s="1" t="s">
        <v>26</v>
      </c>
      <c r="D27" s="31" t="n">
        <v>26257</v>
      </c>
      <c r="E27" s="31" t="n">
        <v>243950</v>
      </c>
      <c r="F27" s="31" t="n">
        <f aca="false">E27*1000</f>
        <v>243950000</v>
      </c>
      <c r="G27" s="32" t="n">
        <f aca="false">F27/D27</f>
        <v>9290.85577179419</v>
      </c>
      <c r="H27" s="33" t="n">
        <f aca="false">IFERROR(INDEX(PTAX!$C$5:$C$5000,MATCH($A27,PTAX!$B$5:$B$5000,1)),"")</f>
        <v>1.7298</v>
      </c>
      <c r="I27" s="9" t="n">
        <f aca="false">IF(H27="","",F27/H27)</f>
        <v>141027864.493005</v>
      </c>
      <c r="J27" s="34" t="n">
        <f aca="false">IF(H27="","",I27/D27)</f>
        <v>5371.05779384564</v>
      </c>
    </row>
    <row r="28" customFormat="false" ht="15" hidden="false" customHeight="false" outlineLevel="0" collapsed="false">
      <c r="A28" s="30" t="n">
        <v>40298</v>
      </c>
      <c r="B28" s="1" t="n">
        <v>2010</v>
      </c>
      <c r="C28" s="1" t="s">
        <v>25</v>
      </c>
      <c r="D28" s="31" t="n">
        <v>33734</v>
      </c>
      <c r="E28" s="31" t="n">
        <v>199850</v>
      </c>
      <c r="F28" s="31" t="n">
        <f aca="false">E28*1000</f>
        <v>199850000</v>
      </c>
      <c r="G28" s="32" t="n">
        <f aca="false">F28/D28</f>
        <v>5924.2900337938</v>
      </c>
      <c r="H28" s="33" t="n">
        <f aca="false">IFERROR(INDEX(PTAX!$C$5:$C$5000,MATCH($A28,PTAX!$B$5:$B$5000,1)),"")</f>
        <v>1.7298</v>
      </c>
      <c r="I28" s="9" t="n">
        <f aca="false">IF(H28="","",F28/H28)</f>
        <v>115533587.698</v>
      </c>
      <c r="J28" s="34" t="n">
        <f aca="false">IF(H28="","",I28/D28)</f>
        <v>3424.84104161972</v>
      </c>
    </row>
    <row r="29" customFormat="false" ht="15" hidden="false" customHeight="false" outlineLevel="0" collapsed="false">
      <c r="A29" s="30" t="n">
        <v>40298</v>
      </c>
      <c r="B29" s="1" t="n">
        <v>2010</v>
      </c>
      <c r="C29" s="1" t="s">
        <v>21</v>
      </c>
      <c r="D29" s="31" t="n">
        <v>22787</v>
      </c>
      <c r="E29" s="31" t="n">
        <v>142170</v>
      </c>
      <c r="F29" s="31" t="n">
        <f aca="false">E29*1000</f>
        <v>142170000</v>
      </c>
      <c r="G29" s="32" t="n">
        <f aca="false">F29/D29</f>
        <v>6239.08368806776</v>
      </c>
      <c r="H29" s="33" t="n">
        <f aca="false">IFERROR(INDEX(PTAX!$C$5:$C$5000,MATCH($A29,PTAX!$B$5:$B$5000,1)),"")</f>
        <v>1.7298</v>
      </c>
      <c r="I29" s="9" t="n">
        <f aca="false">IF(H29="","",F29/H29)</f>
        <v>82188692.3343739</v>
      </c>
      <c r="J29" s="34" t="n">
        <f aca="false">IF(H29="","",I29/D29)</f>
        <v>3606.82372995014</v>
      </c>
    </row>
    <row r="30" customFormat="false" ht="15" hidden="false" customHeight="false" outlineLevel="0" collapsed="false">
      <c r="A30" s="30" t="n">
        <v>40298</v>
      </c>
      <c r="B30" s="1" t="n">
        <v>2010</v>
      </c>
      <c r="C30" s="1" t="s">
        <v>33</v>
      </c>
      <c r="D30" s="31" t="n">
        <v>14625</v>
      </c>
      <c r="E30" s="31" t="n">
        <v>24850</v>
      </c>
      <c r="F30" s="31" t="n">
        <f aca="false">E30*1000</f>
        <v>24850000</v>
      </c>
      <c r="G30" s="32" t="n">
        <f aca="false">F30/D30</f>
        <v>1699.1452991453</v>
      </c>
      <c r="H30" s="33" t="n">
        <f aca="false">IFERROR(INDEX(PTAX!$C$5:$C$5000,MATCH($A30,PTAX!$B$5:$B$5000,1)),"")</f>
        <v>1.7298</v>
      </c>
      <c r="I30" s="9" t="n">
        <f aca="false">IF(H30="","",F30/H30)</f>
        <v>14365822.6384553</v>
      </c>
      <c r="J30" s="34" t="n">
        <f aca="false">IF(H30="","",I30/D30)</f>
        <v>982.278471005492</v>
      </c>
    </row>
    <row r="31" customFormat="false" ht="15" hidden="false" customHeight="false" outlineLevel="0" collapsed="false">
      <c r="A31" s="30" t="n">
        <v>40298</v>
      </c>
      <c r="B31" s="1" t="n">
        <v>2010</v>
      </c>
      <c r="C31" s="1" t="s">
        <v>22</v>
      </c>
      <c r="D31" s="31" t="n">
        <v>10374</v>
      </c>
      <c r="E31" s="31" t="n">
        <v>102810</v>
      </c>
      <c r="F31" s="31" t="n">
        <f aca="false">E31*1000</f>
        <v>102810000</v>
      </c>
      <c r="G31" s="32" t="n">
        <f aca="false">F31/D31</f>
        <v>9910.35280508965</v>
      </c>
      <c r="H31" s="33" t="n">
        <f aca="false">IFERROR(INDEX(PTAX!$C$5:$C$5000,MATCH($A31,PTAX!$B$5:$B$5000,1)),"")</f>
        <v>1.7298</v>
      </c>
      <c r="I31" s="9" t="n">
        <f aca="false">IF(H31="","",F31/H31)</f>
        <v>59434616.7186958</v>
      </c>
      <c r="J31" s="34" t="n">
        <f aca="false">IF(H31="","",I31/D31)</f>
        <v>5729.18996710004</v>
      </c>
    </row>
    <row r="32" customFormat="false" ht="15" hidden="false" customHeight="false" outlineLevel="0" collapsed="false">
      <c r="A32" s="30" t="n">
        <v>40298</v>
      </c>
      <c r="B32" s="1" t="n">
        <v>2010</v>
      </c>
      <c r="C32" s="1" t="s">
        <v>23</v>
      </c>
      <c r="D32" s="31" t="n">
        <v>25355</v>
      </c>
      <c r="E32" s="31" t="n">
        <v>81810</v>
      </c>
      <c r="F32" s="31" t="n">
        <f aca="false">E32*1000</f>
        <v>81810000</v>
      </c>
      <c r="G32" s="32" t="n">
        <f aca="false">F32/D32</f>
        <v>3226.58252810097</v>
      </c>
      <c r="H32" s="33" t="n">
        <f aca="false">IFERROR(INDEX(PTAX!$C$5:$C$5000,MATCH($A32,PTAX!$B$5:$B$5000,1)),"")</f>
        <v>1.7298</v>
      </c>
      <c r="I32" s="9" t="n">
        <f aca="false">IF(H32="","",F32/H32)</f>
        <v>47294484.9115505</v>
      </c>
      <c r="J32" s="34" t="n">
        <f aca="false">IF(H32="","",I32/D32)</f>
        <v>1865.29224656085</v>
      </c>
    </row>
    <row r="33" customFormat="false" ht="15" hidden="false" customHeight="false" outlineLevel="0" collapsed="false">
      <c r="A33" s="30" t="n">
        <v>40298</v>
      </c>
      <c r="B33" s="1" t="n">
        <v>2010</v>
      </c>
      <c r="C33" s="1" t="s">
        <v>24</v>
      </c>
      <c r="D33" s="31" t="n">
        <v>11356</v>
      </c>
      <c r="E33" s="31" t="n">
        <v>46320</v>
      </c>
      <c r="F33" s="31" t="n">
        <f aca="false">E33*1000</f>
        <v>46320000</v>
      </c>
      <c r="G33" s="32" t="n">
        <f aca="false">F33/D33</f>
        <v>4078.90102148644</v>
      </c>
      <c r="H33" s="33" t="n">
        <f aca="false">IFERROR(INDEX(PTAX!$C$5:$C$5000,MATCH($A33,PTAX!$B$5:$B$5000,1)),"")</f>
        <v>1.7298</v>
      </c>
      <c r="I33" s="9" t="n">
        <f aca="false">IF(H33="","",F33/H33)</f>
        <v>26777662.1574749</v>
      </c>
      <c r="J33" s="34" t="n">
        <f aca="false">IF(H33="","",I33/D33)</f>
        <v>2358.01885853072</v>
      </c>
    </row>
    <row r="34" customFormat="false" ht="15" hidden="false" customHeight="false" outlineLevel="0" collapsed="false">
      <c r="A34" s="30" t="n">
        <v>40298</v>
      </c>
      <c r="B34" s="1" t="n">
        <v>2010</v>
      </c>
      <c r="C34" s="1" t="s">
        <v>31</v>
      </c>
      <c r="D34" s="31" t="n">
        <v>26611</v>
      </c>
      <c r="E34" s="31" t="n">
        <v>50760</v>
      </c>
      <c r="F34" s="31" t="n">
        <f aca="false">E34*1000</f>
        <v>50760000</v>
      </c>
      <c r="G34" s="32" t="n">
        <f aca="false">F34/D34</f>
        <v>1907.48186840029</v>
      </c>
      <c r="H34" s="33" t="n">
        <f aca="false">IFERROR(INDEX(PTAX!$C$5:$C$5000,MATCH($A34,PTAX!$B$5:$B$5000,1)),"")</f>
        <v>1.7298</v>
      </c>
      <c r="I34" s="9" t="n">
        <f aca="false">IF(H34="","",F34/H34)</f>
        <v>29344432.8824142</v>
      </c>
      <c r="J34" s="34" t="n">
        <f aca="false">IF(H34="","",I34/D34)</f>
        <v>1102.71815724378</v>
      </c>
    </row>
    <row r="35" customFormat="false" ht="15" hidden="false" customHeight="false" outlineLevel="0" collapsed="false">
      <c r="A35" s="30" t="n">
        <v>40669</v>
      </c>
      <c r="B35" s="1" t="n">
        <v>2011</v>
      </c>
      <c r="C35" s="1" t="s">
        <v>19</v>
      </c>
      <c r="D35" s="31" t="n">
        <v>17094</v>
      </c>
      <c r="E35" s="31" t="n">
        <v>179570</v>
      </c>
      <c r="F35" s="31" t="n">
        <f aca="false">E35*1000</f>
        <v>179570000</v>
      </c>
      <c r="G35" s="32" t="n">
        <f aca="false">F35/D35</f>
        <v>10504.8555048555</v>
      </c>
      <c r="H35" s="33" t="n">
        <f aca="false">IFERROR(INDEX(PTAX!$C$5:$C$5000,MATCH($A35,PTAX!$B$5:$B$5000,1)),"")</f>
        <v>1.6103</v>
      </c>
      <c r="I35" s="9" t="n">
        <f aca="false">IF(H35="","",F35/H35)</f>
        <v>111513382.599516</v>
      </c>
      <c r="J35" s="34" t="n">
        <f aca="false">IF(H35="","",I35/D35)</f>
        <v>6523.53940561107</v>
      </c>
    </row>
    <row r="36" customFormat="false" ht="15" hidden="false" customHeight="false" outlineLevel="0" collapsed="false">
      <c r="A36" s="30" t="n">
        <v>40669</v>
      </c>
      <c r="B36" s="1" t="n">
        <v>2011</v>
      </c>
      <c r="C36" s="1" t="s">
        <v>20</v>
      </c>
      <c r="D36" s="31" t="n">
        <v>17437</v>
      </c>
      <c r="E36" s="31" t="n">
        <v>273920</v>
      </c>
      <c r="F36" s="31" t="n">
        <f aca="false">E36*1000</f>
        <v>273920000</v>
      </c>
      <c r="G36" s="32" t="n">
        <f aca="false">F36/D36</f>
        <v>15709.1242759649</v>
      </c>
      <c r="H36" s="33" t="n">
        <f aca="false">IFERROR(INDEX(PTAX!$C$5:$C$5000,MATCH($A36,PTAX!$B$5:$B$5000,1)),"")</f>
        <v>1.6103</v>
      </c>
      <c r="I36" s="9" t="n">
        <f aca="false">IF(H36="","",F36/H36)</f>
        <v>170104949.388313</v>
      </c>
      <c r="J36" s="34" t="n">
        <f aca="false">IF(H36="","",I36/D36)</f>
        <v>9755.4022703626</v>
      </c>
    </row>
    <row r="37" customFormat="false" ht="15" hidden="false" customHeight="false" outlineLevel="0" collapsed="false">
      <c r="A37" s="30" t="n">
        <v>40669</v>
      </c>
      <c r="B37" s="1" t="n">
        <v>2011</v>
      </c>
      <c r="C37" s="1" t="s">
        <v>30</v>
      </c>
      <c r="D37" s="31" t="n">
        <v>23793</v>
      </c>
      <c r="E37" s="31" t="n">
        <v>219290</v>
      </c>
      <c r="F37" s="31" t="n">
        <f aca="false">E37*1000</f>
        <v>219290000</v>
      </c>
      <c r="G37" s="32" t="n">
        <f aca="false">F37/D37</f>
        <v>9216.57630395495</v>
      </c>
      <c r="H37" s="33" t="n">
        <f aca="false">IFERROR(INDEX(PTAX!$C$5:$C$5000,MATCH($A37,PTAX!$B$5:$B$5000,1)),"")</f>
        <v>1.6103</v>
      </c>
      <c r="I37" s="9" t="n">
        <f aca="false">IF(H37="","",F37/H37)</f>
        <v>136179593.864497</v>
      </c>
      <c r="J37" s="34" t="n">
        <f aca="false">IF(H37="","",I37/D37)</f>
        <v>5723.51506176175</v>
      </c>
    </row>
    <row r="38" customFormat="false" ht="15" hidden="false" customHeight="false" outlineLevel="0" collapsed="false">
      <c r="A38" s="30" t="n">
        <v>40669</v>
      </c>
      <c r="B38" s="1" t="n">
        <v>2011</v>
      </c>
      <c r="C38" s="1" t="s">
        <v>26</v>
      </c>
      <c r="D38" s="31" t="n">
        <v>26257</v>
      </c>
      <c r="E38" s="31" t="n">
        <v>279570</v>
      </c>
      <c r="F38" s="31" t="n">
        <f aca="false">E38*1000</f>
        <v>279570000</v>
      </c>
      <c r="G38" s="32" t="n">
        <f aca="false">F38/D38</f>
        <v>10647.446395247</v>
      </c>
      <c r="H38" s="33" t="n">
        <f aca="false">IFERROR(INDEX(PTAX!$C$5:$C$5000,MATCH($A38,PTAX!$B$5:$B$5000,1)),"")</f>
        <v>1.6103</v>
      </c>
      <c r="I38" s="9" t="n">
        <f aca="false">IF(H38="","",F38/H38)</f>
        <v>173613612.370366</v>
      </c>
      <c r="J38" s="34" t="n">
        <f aca="false">IF(H38="","",I38/D38)</f>
        <v>6612.08867617648</v>
      </c>
    </row>
    <row r="39" customFormat="false" ht="15" hidden="false" customHeight="false" outlineLevel="0" collapsed="false">
      <c r="A39" s="30" t="n">
        <v>40669</v>
      </c>
      <c r="B39" s="1" t="n">
        <v>2011</v>
      </c>
      <c r="C39" s="1" t="s">
        <v>25</v>
      </c>
      <c r="D39" s="31" t="n">
        <v>33734</v>
      </c>
      <c r="E39" s="31" t="n">
        <v>222570</v>
      </c>
      <c r="F39" s="31" t="n">
        <f aca="false">E39*1000</f>
        <v>222570000</v>
      </c>
      <c r="G39" s="32" t="n">
        <f aca="false">F39/D39</f>
        <v>6597.79450998992</v>
      </c>
      <c r="H39" s="33" t="n">
        <f aca="false">IFERROR(INDEX(PTAX!$C$5:$C$5000,MATCH($A39,PTAX!$B$5:$B$5000,1)),"")</f>
        <v>1.6103</v>
      </c>
      <c r="I39" s="9" t="n">
        <f aca="false">IF(H39="","",F39/H39)</f>
        <v>138216481.400981</v>
      </c>
      <c r="J39" s="34" t="n">
        <f aca="false">IF(H39="","",I39/D39)</f>
        <v>4097.24555051228</v>
      </c>
    </row>
    <row r="40" customFormat="false" ht="15" hidden="false" customHeight="false" outlineLevel="0" collapsed="false">
      <c r="A40" s="30" t="n">
        <v>40669</v>
      </c>
      <c r="B40" s="1" t="n">
        <v>2011</v>
      </c>
      <c r="C40" s="1" t="s">
        <v>21</v>
      </c>
      <c r="D40" s="31" t="n">
        <v>22787</v>
      </c>
      <c r="E40" s="31" t="n">
        <v>172970</v>
      </c>
      <c r="F40" s="31" t="n">
        <f aca="false">E40*1000</f>
        <v>172970000</v>
      </c>
      <c r="G40" s="32" t="n">
        <f aca="false">F40/D40</f>
        <v>7590.73155746698</v>
      </c>
      <c r="H40" s="33" t="n">
        <f aca="false">IFERROR(INDEX(PTAX!$C$5:$C$5000,MATCH($A40,PTAX!$B$5:$B$5000,1)),"")</f>
        <v>1.6103</v>
      </c>
      <c r="I40" s="9" t="n">
        <f aca="false">IF(H40="","",F40/H40)</f>
        <v>107414767.43464</v>
      </c>
      <c r="J40" s="34" t="n">
        <f aca="false">IF(H40="","",I40/D40)</f>
        <v>4713.86173847542</v>
      </c>
    </row>
    <row r="41" customFormat="false" ht="15" hidden="false" customHeight="false" outlineLevel="0" collapsed="false">
      <c r="A41" s="30" t="n">
        <v>40669</v>
      </c>
      <c r="B41" s="1" t="n">
        <v>2011</v>
      </c>
      <c r="C41" s="1" t="s">
        <v>22</v>
      </c>
      <c r="D41" s="31" t="n">
        <v>12982</v>
      </c>
      <c r="E41" s="31" t="n">
        <v>146710</v>
      </c>
      <c r="F41" s="31" t="n">
        <f aca="false">E41*1000</f>
        <v>146710000</v>
      </c>
      <c r="G41" s="32" t="n">
        <f aca="false">F41/D41</f>
        <v>11301.0321984286</v>
      </c>
      <c r="H41" s="33" t="n">
        <f aca="false">IFERROR(INDEX(PTAX!$C$5:$C$5000,MATCH($A41,PTAX!$B$5:$B$5000,1)),"")</f>
        <v>1.6103</v>
      </c>
      <c r="I41" s="9" t="n">
        <f aca="false">IF(H41="","",F41/H41)</f>
        <v>91107247.0968143</v>
      </c>
      <c r="J41" s="34" t="n">
        <f aca="false">IF(H41="","",I41/D41)</f>
        <v>7017.96696170192</v>
      </c>
    </row>
    <row r="42" customFormat="false" ht="15" hidden="false" customHeight="false" outlineLevel="0" collapsed="false">
      <c r="A42" s="30" t="n">
        <v>40669</v>
      </c>
      <c r="B42" s="1" t="n">
        <v>2011</v>
      </c>
      <c r="C42" s="1" t="s">
        <v>23</v>
      </c>
      <c r="D42" s="31" t="n">
        <v>25355</v>
      </c>
      <c r="E42" s="31" t="n">
        <v>117020</v>
      </c>
      <c r="F42" s="31" t="n">
        <f aca="false">E42*1000</f>
        <v>117020000</v>
      </c>
      <c r="G42" s="32" t="n">
        <f aca="false">F42/D42</f>
        <v>4615.26326168409</v>
      </c>
      <c r="H42" s="33" t="n">
        <f aca="false">IFERROR(INDEX(PTAX!$C$5:$C$5000,MATCH($A42,PTAX!$B$5:$B$5000,1)),"")</f>
        <v>1.6103</v>
      </c>
      <c r="I42" s="9" t="n">
        <f aca="false">IF(H42="","",F42/H42)</f>
        <v>72669688.8778489</v>
      </c>
      <c r="J42" s="34" t="n">
        <f aca="false">IF(H42="","",I42/D42)</f>
        <v>2866.08909003545</v>
      </c>
    </row>
    <row r="43" customFormat="false" ht="15" hidden="false" customHeight="false" outlineLevel="0" collapsed="false">
      <c r="A43" s="30" t="n">
        <v>40669</v>
      </c>
      <c r="B43" s="1" t="n">
        <v>2011</v>
      </c>
      <c r="C43" s="1" t="s">
        <v>24</v>
      </c>
      <c r="D43" s="31" t="n">
        <v>16948</v>
      </c>
      <c r="E43" s="31" t="n">
        <v>83990</v>
      </c>
      <c r="F43" s="31" t="n">
        <f aca="false">E43*1000</f>
        <v>83990000</v>
      </c>
      <c r="G43" s="32" t="n">
        <f aca="false">F43/D43</f>
        <v>4955.74699079537</v>
      </c>
      <c r="H43" s="33" t="n">
        <f aca="false">IFERROR(INDEX(PTAX!$C$5:$C$5000,MATCH($A43,PTAX!$B$5:$B$5000,1)),"")</f>
        <v>1.6103</v>
      </c>
      <c r="I43" s="9" t="n">
        <f aca="false">IF(H43="","",F43/H43)</f>
        <v>52157982.984537</v>
      </c>
      <c r="J43" s="34" t="n">
        <f aca="false">IF(H43="","",I43/D43)</f>
        <v>3077.53026814592</v>
      </c>
    </row>
    <row r="44" customFormat="false" ht="15" hidden="false" customHeight="false" outlineLevel="0" collapsed="false">
      <c r="A44" s="30" t="n">
        <v>40669</v>
      </c>
      <c r="B44" s="1" t="n">
        <v>2011</v>
      </c>
      <c r="C44" s="1" t="s">
        <v>31</v>
      </c>
      <c r="D44" s="31" t="n">
        <v>26611</v>
      </c>
      <c r="E44" s="31" t="n">
        <v>60540</v>
      </c>
      <c r="F44" s="31" t="n">
        <f aca="false">E44*1000</f>
        <v>60540000</v>
      </c>
      <c r="G44" s="32" t="n">
        <f aca="false">F44/D44</f>
        <v>2274.99906053888</v>
      </c>
      <c r="H44" s="33" t="n">
        <f aca="false">IFERROR(INDEX(PTAX!$C$5:$C$5000,MATCH($A44,PTAX!$B$5:$B$5000,1)),"")</f>
        <v>1.6103</v>
      </c>
      <c r="I44" s="9" t="n">
        <f aca="false">IF(H44="","",F44/H44)</f>
        <v>37595479.1032727</v>
      </c>
      <c r="J44" s="34" t="n">
        <f aca="false">IF(H44="","",I44/D44)</f>
        <v>1412.77964387932</v>
      </c>
    </row>
    <row r="45" customFormat="false" ht="15" hidden="false" customHeight="false" outlineLevel="0" collapsed="false">
      <c r="A45" s="30" t="n">
        <v>41120</v>
      </c>
      <c r="B45" s="1" t="n">
        <v>2012</v>
      </c>
      <c r="C45" s="1" t="s">
        <v>19</v>
      </c>
      <c r="D45" s="31" t="n">
        <v>17385</v>
      </c>
      <c r="E45" s="31" t="n">
        <v>215630</v>
      </c>
      <c r="F45" s="31" t="n">
        <f aca="false">E45*1000</f>
        <v>215630000</v>
      </c>
      <c r="G45" s="32" t="n">
        <f aca="false">F45/D45</f>
        <v>12403.2211676733</v>
      </c>
      <c r="H45" s="33" t="n">
        <f aca="false">IFERROR(INDEX(PTAX!$C$5:$C$5000,MATCH($A45,PTAX!$B$5:$B$5000,1)),"")</f>
        <v>2.0308</v>
      </c>
      <c r="I45" s="9" t="n">
        <f aca="false">IF(H45="","",F45/H45)</f>
        <v>106179830.608627</v>
      </c>
      <c r="J45" s="34" t="n">
        <f aca="false">IF(H45="","",I45/D45)</f>
        <v>6107.55424841111</v>
      </c>
    </row>
    <row r="46" customFormat="false" ht="15" hidden="false" customHeight="false" outlineLevel="0" collapsed="false">
      <c r="A46" s="30" t="n">
        <v>41120</v>
      </c>
      <c r="B46" s="1" t="n">
        <v>2012</v>
      </c>
      <c r="C46" s="1" t="s">
        <v>20</v>
      </c>
      <c r="D46" s="31" t="n">
        <v>17437</v>
      </c>
      <c r="E46" s="31" t="n">
        <v>322340</v>
      </c>
      <c r="F46" s="31" t="n">
        <f aca="false">E46*1000</f>
        <v>322340000</v>
      </c>
      <c r="G46" s="32" t="n">
        <f aca="false">F46/D46</f>
        <v>18485.9780925618</v>
      </c>
      <c r="H46" s="33" t="n">
        <f aca="false">IFERROR(INDEX(PTAX!$C$5:$C$5000,MATCH($A46,PTAX!$B$5:$B$5000,1)),"")</f>
        <v>2.0308</v>
      </c>
      <c r="I46" s="9" t="n">
        <f aca="false">IF(H46="","",F46/H46)</f>
        <v>158725625.369313</v>
      </c>
      <c r="J46" s="34" t="n">
        <f aca="false">IF(H46="","",I46/D46)</f>
        <v>9102.80583640033</v>
      </c>
    </row>
    <row r="47" customFormat="false" ht="15" hidden="false" customHeight="false" outlineLevel="0" collapsed="false">
      <c r="A47" s="30" t="n">
        <v>41120</v>
      </c>
      <c r="B47" s="1" t="n">
        <v>2012</v>
      </c>
      <c r="C47" s="1" t="s">
        <v>25</v>
      </c>
      <c r="D47" s="31" t="n">
        <v>33734</v>
      </c>
      <c r="E47" s="31" t="n">
        <v>262140</v>
      </c>
      <c r="F47" s="31" t="n">
        <f aca="false">E47*1000</f>
        <v>262140000</v>
      </c>
      <c r="G47" s="32" t="n">
        <f aca="false">F47/D47</f>
        <v>7770.79504357621</v>
      </c>
      <c r="H47" s="33" t="n">
        <f aca="false">IFERROR(INDEX(PTAX!$C$5:$C$5000,MATCH($A47,PTAX!$B$5:$B$5000,1)),"")</f>
        <v>2.0308</v>
      </c>
      <c r="I47" s="9" t="n">
        <f aca="false">IF(H47="","",F47/H47)</f>
        <v>129082135.119165</v>
      </c>
      <c r="J47" s="34" t="n">
        <f aca="false">IF(H47="","",I47/D47)</f>
        <v>3826.46988555063</v>
      </c>
    </row>
    <row r="48" customFormat="false" ht="15" hidden="false" customHeight="false" outlineLevel="0" collapsed="false">
      <c r="A48" s="30" t="n">
        <v>41120</v>
      </c>
      <c r="B48" s="1" t="n">
        <v>2012</v>
      </c>
      <c r="C48" s="1" t="s">
        <v>30</v>
      </c>
      <c r="D48" s="31" t="n">
        <v>23793</v>
      </c>
      <c r="E48" s="31" t="n">
        <v>255020</v>
      </c>
      <c r="F48" s="31" t="n">
        <f aca="false">E48*1000</f>
        <v>255020000</v>
      </c>
      <c r="G48" s="32" t="n">
        <f aca="false">F48/D48</f>
        <v>10718.2784852688</v>
      </c>
      <c r="H48" s="33" t="n">
        <f aca="false">IFERROR(INDEX(PTAX!$C$5:$C$5000,MATCH($A48,PTAX!$B$5:$B$5000,1)),"")</f>
        <v>2.0308</v>
      </c>
      <c r="I48" s="9" t="n">
        <f aca="false">IF(H48="","",F48/H48)</f>
        <v>125576127.63443</v>
      </c>
      <c r="J48" s="34" t="n">
        <f aca="false">IF(H48="","",I48/D48)</f>
        <v>5277.86019562181</v>
      </c>
    </row>
    <row r="49" customFormat="false" ht="15" hidden="false" customHeight="false" outlineLevel="0" collapsed="false">
      <c r="A49" s="30" t="n">
        <v>41120</v>
      </c>
      <c r="B49" s="1" t="n">
        <v>2012</v>
      </c>
      <c r="C49" s="1" t="s">
        <v>26</v>
      </c>
      <c r="D49" s="31" t="n">
        <v>22878</v>
      </c>
      <c r="E49" s="31" t="n">
        <v>290580</v>
      </c>
      <c r="F49" s="31" t="n">
        <f aca="false">E49*1000</f>
        <v>290580000</v>
      </c>
      <c r="G49" s="32" t="n">
        <f aca="false">F49/D49</f>
        <v>12701.2850773669</v>
      </c>
      <c r="H49" s="33" t="n">
        <f aca="false">IFERROR(INDEX(PTAX!$C$5:$C$5000,MATCH($A49,PTAX!$B$5:$B$5000,1)),"")</f>
        <v>2.0308</v>
      </c>
      <c r="I49" s="9" t="n">
        <f aca="false">IF(H49="","",F49/H49)</f>
        <v>143086468.386843</v>
      </c>
      <c r="J49" s="34" t="n">
        <f aca="false">IF(H49="","",I49/D49)</f>
        <v>6254.3259195228</v>
      </c>
    </row>
    <row r="50" customFormat="false" ht="15" hidden="false" customHeight="false" outlineLevel="0" collapsed="false">
      <c r="A50" s="30" t="n">
        <v>41120</v>
      </c>
      <c r="B50" s="1" t="n">
        <v>2012</v>
      </c>
      <c r="C50" s="1" t="s">
        <v>24</v>
      </c>
      <c r="D50" s="31" t="n">
        <v>16948</v>
      </c>
      <c r="E50" s="31" t="n">
        <v>102260</v>
      </c>
      <c r="F50" s="31" t="n">
        <f aca="false">E50*1000</f>
        <v>102260000</v>
      </c>
      <c r="G50" s="32" t="n">
        <f aca="false">F50/D50</f>
        <v>6033.75029502006</v>
      </c>
      <c r="H50" s="33" t="n">
        <f aca="false">IFERROR(INDEX(PTAX!$C$5:$C$5000,MATCH($A50,PTAX!$B$5:$B$5000,1)),"")</f>
        <v>2.0308</v>
      </c>
      <c r="I50" s="9" t="n">
        <f aca="false">IF(H50="","",F50/H50)</f>
        <v>50354540.082726</v>
      </c>
      <c r="J50" s="34" t="n">
        <f aca="false">IF(H50="","",I50/D50)</f>
        <v>2971.11990103411</v>
      </c>
    </row>
    <row r="51" customFormat="false" ht="15" hidden="false" customHeight="false" outlineLevel="0" collapsed="false">
      <c r="A51" s="30" t="n">
        <v>41120</v>
      </c>
      <c r="B51" s="1" t="n">
        <v>2012</v>
      </c>
      <c r="C51" s="1" t="s">
        <v>31</v>
      </c>
      <c r="D51" s="31" t="n">
        <v>23742</v>
      </c>
      <c r="E51" s="31" t="n">
        <v>63480</v>
      </c>
      <c r="F51" s="31" t="n">
        <f aca="false">E51*1000</f>
        <v>63480000</v>
      </c>
      <c r="G51" s="32" t="n">
        <f aca="false">F51/D51</f>
        <v>2673.74273439474</v>
      </c>
      <c r="H51" s="33" t="n">
        <f aca="false">IFERROR(INDEX(PTAX!$C$5:$C$5000,MATCH($A51,PTAX!$B$5:$B$5000,1)),"")</f>
        <v>2.0308</v>
      </c>
      <c r="I51" s="9" t="n">
        <f aca="false">IF(H51="","",F51/H51)</f>
        <v>31258617.2936774</v>
      </c>
      <c r="J51" s="34" t="n">
        <f aca="false">IF(H51="","",I51/D51)</f>
        <v>1316.59579200056</v>
      </c>
    </row>
    <row r="52" customFormat="false" ht="15" hidden="false" customHeight="false" outlineLevel="0" collapsed="false">
      <c r="A52" s="30" t="n">
        <v>41120</v>
      </c>
      <c r="B52" s="1" t="n">
        <v>2012</v>
      </c>
      <c r="C52" s="1" t="s">
        <v>27</v>
      </c>
      <c r="D52" s="31" t="n">
        <v>3379</v>
      </c>
      <c r="E52" s="31" t="n">
        <v>41600</v>
      </c>
      <c r="F52" s="31" t="n">
        <f aca="false">E52*1000</f>
        <v>41600000</v>
      </c>
      <c r="G52" s="32" t="n">
        <f aca="false">F52/D52</f>
        <v>12311.3347144125</v>
      </c>
      <c r="H52" s="33" t="n">
        <f aca="false">IFERROR(INDEX(PTAX!$C$5:$C$5000,MATCH($A52,PTAX!$B$5:$B$5000,1)),"")</f>
        <v>2.0308</v>
      </c>
      <c r="I52" s="9" t="n">
        <f aca="false">IF(H52="","",F52/H52)</f>
        <v>20484538.1130589</v>
      </c>
      <c r="J52" s="34" t="n">
        <f aca="false">IF(H52="","",I52/D52)</f>
        <v>6062.30781682714</v>
      </c>
    </row>
    <row r="53" customFormat="false" ht="15" hidden="false" customHeight="false" outlineLevel="0" collapsed="false">
      <c r="A53" s="30" t="n">
        <v>41120</v>
      </c>
      <c r="B53" s="1" t="n">
        <v>2012</v>
      </c>
      <c r="C53" s="1" t="s">
        <v>32</v>
      </c>
      <c r="D53" s="31" t="n">
        <v>12872</v>
      </c>
      <c r="E53" s="31" t="n">
        <v>65475</v>
      </c>
      <c r="F53" s="31" t="n">
        <f aca="false">E53*1000</f>
        <v>65475000</v>
      </c>
      <c r="G53" s="32" t="n">
        <f aca="false">F53/D53</f>
        <v>5086.62212554382</v>
      </c>
      <c r="H53" s="33" t="n">
        <f aca="false">IFERROR(INDEX(PTAX!$C$5:$C$5000,MATCH($A53,PTAX!$B$5:$B$5000,1)),"")</f>
        <v>2.0308</v>
      </c>
      <c r="I53" s="9" t="n">
        <f aca="false">IF(H53="","",F53/H53)</f>
        <v>32240988.7728974</v>
      </c>
      <c r="J53" s="34" t="n">
        <f aca="false">IF(H53="","",I53/D53)</f>
        <v>2504.73809609209</v>
      </c>
    </row>
    <row r="54" customFormat="false" ht="15" hidden="false" customHeight="false" outlineLevel="0" collapsed="false">
      <c r="A54" s="30" t="n">
        <v>41120</v>
      </c>
      <c r="B54" s="1" t="n">
        <v>2012</v>
      </c>
      <c r="C54" s="1" t="s">
        <v>28</v>
      </c>
      <c r="D54" s="31" t="n">
        <v>32816</v>
      </c>
      <c r="E54" s="31" t="n">
        <v>114366</v>
      </c>
      <c r="F54" s="31" t="n">
        <f aca="false">E54*1000</f>
        <v>114366000</v>
      </c>
      <c r="G54" s="32" t="n">
        <f aca="false">F54/D54</f>
        <v>3485.06825938567</v>
      </c>
      <c r="H54" s="33" t="n">
        <f aca="false">IFERROR(INDEX(PTAX!$C$5:$C$5000,MATCH($A54,PTAX!$B$5:$B$5000,1)),"")</f>
        <v>2.0308</v>
      </c>
      <c r="I54" s="9" t="n">
        <f aca="false">IF(H54="","",F54/H54)</f>
        <v>56315737.6403388</v>
      </c>
      <c r="J54" s="34" t="n">
        <f aca="false">IF(H54="","",I54/D54)</f>
        <v>1716.10609581725</v>
      </c>
    </row>
    <row r="55" customFormat="false" ht="15" hidden="false" customHeight="false" outlineLevel="0" collapsed="false">
      <c r="A55" s="30" t="n">
        <v>41120</v>
      </c>
      <c r="B55" s="1" t="n">
        <v>2012</v>
      </c>
      <c r="C55" s="1" t="s">
        <v>29</v>
      </c>
      <c r="D55" s="31" t="n">
        <v>28837</v>
      </c>
      <c r="E55" s="31" t="n">
        <v>84185</v>
      </c>
      <c r="F55" s="31" t="n">
        <f aca="false">E55*1000</f>
        <v>84185000</v>
      </c>
      <c r="G55" s="32" t="n">
        <f aca="false">F55/D55</f>
        <v>2919.33973714325</v>
      </c>
      <c r="H55" s="33" t="n">
        <f aca="false">IFERROR(INDEX(PTAX!$C$5:$C$5000,MATCH($A55,PTAX!$B$5:$B$5000,1)),"")</f>
        <v>2.0308</v>
      </c>
      <c r="I55" s="9" t="n">
        <f aca="false">IF(H55="","",F55/H55)</f>
        <v>41454106.7559582</v>
      </c>
      <c r="J55" s="34" t="n">
        <f aca="false">IF(H55="","",I55/D55)</f>
        <v>1437.53187765573</v>
      </c>
    </row>
    <row r="56" customFormat="false" ht="15" hidden="false" customHeight="false" outlineLevel="0" collapsed="false">
      <c r="A56" s="30" t="n">
        <v>41120</v>
      </c>
      <c r="B56" s="1" t="n">
        <v>2012</v>
      </c>
      <c r="C56" s="1" t="s">
        <v>21</v>
      </c>
      <c r="D56" s="31" t="n">
        <v>23325</v>
      </c>
      <c r="E56" s="31" t="n">
        <v>197471</v>
      </c>
      <c r="F56" s="31" t="n">
        <f aca="false">E56*1000</f>
        <v>197471000</v>
      </c>
      <c r="G56" s="32" t="n">
        <f aca="false">F56/D56</f>
        <v>8466.06645230439</v>
      </c>
      <c r="H56" s="33" t="n">
        <f aca="false">IFERROR(INDEX(PTAX!$C$5:$C$5000,MATCH($A56,PTAX!$B$5:$B$5000,1)),"")</f>
        <v>2.0308</v>
      </c>
      <c r="I56" s="9" t="n">
        <f aca="false">IF(H56="","",F56/H56)</f>
        <v>97238034.272208</v>
      </c>
      <c r="J56" s="34" t="n">
        <f aca="false">IF(H56="","",I56/D56)</f>
        <v>4168.83319494997</v>
      </c>
    </row>
    <row r="57" customFormat="false" ht="15" hidden="false" customHeight="false" outlineLevel="0" collapsed="false">
      <c r="A57" s="30" t="n">
        <v>41120</v>
      </c>
      <c r="B57" s="1" t="n">
        <v>2012</v>
      </c>
      <c r="C57" s="1" t="s">
        <v>22</v>
      </c>
      <c r="D57" s="31" t="n">
        <v>12983</v>
      </c>
      <c r="E57" s="31" t="n">
        <v>167470</v>
      </c>
      <c r="F57" s="31" t="n">
        <f aca="false">E57*1000</f>
        <v>167470000</v>
      </c>
      <c r="G57" s="32" t="n">
        <f aca="false">F57/D57</f>
        <v>12899.1758453362</v>
      </c>
      <c r="H57" s="33" t="n">
        <f aca="false">IFERROR(INDEX(PTAX!$C$5:$C$5000,MATCH($A57,PTAX!$B$5:$B$5000,1)),"")</f>
        <v>2.0308</v>
      </c>
      <c r="I57" s="9" t="n">
        <f aca="false">IF(H57="","",F57/H57)</f>
        <v>82465038.408509</v>
      </c>
      <c r="J57" s="34" t="n">
        <f aca="false">IF(H57="","",I57/D57)</f>
        <v>6351.77065458746</v>
      </c>
    </row>
    <row r="58" customFormat="false" ht="15" hidden="false" customHeight="false" outlineLevel="0" collapsed="false">
      <c r="A58" s="30" t="n">
        <v>41120</v>
      </c>
      <c r="B58" s="1" t="n">
        <v>2012</v>
      </c>
      <c r="C58" s="1" t="s">
        <v>23</v>
      </c>
      <c r="D58" s="31" t="n">
        <v>25355</v>
      </c>
      <c r="E58" s="31" t="n">
        <v>133583</v>
      </c>
      <c r="F58" s="31" t="n">
        <f aca="false">E58*1000</f>
        <v>133583000</v>
      </c>
      <c r="G58" s="32" t="n">
        <f aca="false">F58/D58</f>
        <v>5268.50719779136</v>
      </c>
      <c r="H58" s="33" t="n">
        <f aca="false">IFERROR(INDEX(PTAX!$C$5:$C$5000,MATCH($A58,PTAX!$B$5:$B$5000,1)),"")</f>
        <v>2.0308</v>
      </c>
      <c r="I58" s="9" t="n">
        <f aca="false">IF(H58="","",F58/H58)</f>
        <v>65778510.9316525</v>
      </c>
      <c r="J58" s="34" t="n">
        <f aca="false">IF(H58="","",I58/D58)</f>
        <v>2594.30135798275</v>
      </c>
    </row>
    <row r="59" customFormat="false" ht="15" hidden="false" customHeight="false" outlineLevel="0" collapsed="false">
      <c r="A59" s="30" t="n">
        <v>41485</v>
      </c>
      <c r="B59" s="1" t="n">
        <v>2013</v>
      </c>
      <c r="C59" s="1" t="s">
        <v>19</v>
      </c>
      <c r="D59" s="31" t="n">
        <v>17385</v>
      </c>
      <c r="E59" s="31" t="n">
        <v>224342</v>
      </c>
      <c r="F59" s="31" t="n">
        <f aca="false">E59*1000</f>
        <v>224342000</v>
      </c>
      <c r="G59" s="32" t="n">
        <f aca="false">F59/D59</f>
        <v>12904.3428242738</v>
      </c>
      <c r="H59" s="33" t="n">
        <f aca="false">IFERROR(INDEX(PTAX!$C$5:$C$5000,MATCH($A59,PTAX!$B$5:$B$5000,1)),"")</f>
        <v>2.2729</v>
      </c>
      <c r="I59" s="9" t="n">
        <f aca="false">IF(H59="","",F59/H59)</f>
        <v>98702978.5736284</v>
      </c>
      <c r="J59" s="34" t="n">
        <f aca="false">IF(H59="","",I59/D59)</f>
        <v>5677.47935424955</v>
      </c>
    </row>
    <row r="60" customFormat="false" ht="15" hidden="false" customHeight="false" outlineLevel="0" collapsed="false">
      <c r="A60" s="30" t="n">
        <v>41485</v>
      </c>
      <c r="B60" s="1" t="n">
        <v>2013</v>
      </c>
      <c r="C60" s="1" t="s">
        <v>20</v>
      </c>
      <c r="D60" s="31" t="n">
        <v>17437</v>
      </c>
      <c r="E60" s="31" t="n">
        <v>331712</v>
      </c>
      <c r="F60" s="31" t="n">
        <f aca="false">E60*1000</f>
        <v>331712000</v>
      </c>
      <c r="G60" s="32" t="n">
        <f aca="false">F60/D60</f>
        <v>19023.4558697024</v>
      </c>
      <c r="H60" s="33" t="n">
        <f aca="false">IFERROR(INDEX(PTAX!$C$5:$C$5000,MATCH($A60,PTAX!$B$5:$B$5000,1)),"")</f>
        <v>2.2729</v>
      </c>
      <c r="I60" s="9" t="n">
        <f aca="false">IF(H60="","",F60/H60)</f>
        <v>145942188.393682</v>
      </c>
      <c r="J60" s="34" t="n">
        <f aca="false">IF(H60="","",I60/D60)</f>
        <v>8369.68448664805</v>
      </c>
    </row>
    <row r="61" customFormat="false" ht="15" hidden="false" customHeight="false" outlineLevel="0" collapsed="false">
      <c r="A61" s="30" t="n">
        <v>41485</v>
      </c>
      <c r="B61" s="1" t="n">
        <v>2013</v>
      </c>
      <c r="C61" s="1" t="s">
        <v>25</v>
      </c>
      <c r="D61" s="31" t="n">
        <v>32818</v>
      </c>
      <c r="E61" s="31" t="n">
        <v>305364</v>
      </c>
      <c r="F61" s="31" t="n">
        <f aca="false">E61*1000</f>
        <v>305364000</v>
      </c>
      <c r="G61" s="32" t="n">
        <f aca="false">F61/D61</f>
        <v>9304.77177158876</v>
      </c>
      <c r="H61" s="33" t="n">
        <f aca="false">IFERROR(INDEX(PTAX!$C$5:$C$5000,MATCH($A61,PTAX!$B$5:$B$5000,1)),"")</f>
        <v>2.2729</v>
      </c>
      <c r="I61" s="9" t="n">
        <f aca="false">IF(H61="","",F61/H61)</f>
        <v>134349949.403845</v>
      </c>
      <c r="J61" s="34" t="n">
        <f aca="false">IF(H61="","",I61/D61)</f>
        <v>4093.78845157674</v>
      </c>
    </row>
    <row r="62" customFormat="false" ht="15" hidden="false" customHeight="false" outlineLevel="0" collapsed="false">
      <c r="A62" s="30" t="n">
        <v>41485</v>
      </c>
      <c r="B62" s="1" t="n">
        <v>2013</v>
      </c>
      <c r="C62" s="1" t="s">
        <v>30</v>
      </c>
      <c r="D62" s="31" t="n">
        <v>23784</v>
      </c>
      <c r="E62" s="31" t="n">
        <v>256728</v>
      </c>
      <c r="F62" s="31" t="n">
        <f aca="false">E62*1000</f>
        <v>256728000</v>
      </c>
      <c r="G62" s="32" t="n">
        <f aca="false">F62/D62</f>
        <v>10794.1473259334</v>
      </c>
      <c r="H62" s="33" t="n">
        <f aca="false">IFERROR(INDEX(PTAX!$C$5:$C$5000,MATCH($A62,PTAX!$B$5:$B$5000,1)),"")</f>
        <v>2.2729</v>
      </c>
      <c r="I62" s="9" t="n">
        <f aca="false">IF(H62="","",F62/H62)</f>
        <v>112951735.668089</v>
      </c>
      <c r="J62" s="34" t="n">
        <f aca="false">IF(H62="","",I62/D62)</f>
        <v>4749.06389455471</v>
      </c>
    </row>
    <row r="63" customFormat="false" ht="15" hidden="false" customHeight="false" outlineLevel="0" collapsed="false">
      <c r="A63" s="30" t="n">
        <v>41485</v>
      </c>
      <c r="B63" s="1" t="n">
        <v>2013</v>
      </c>
      <c r="C63" s="1" t="s">
        <v>26</v>
      </c>
      <c r="D63" s="31" t="n">
        <v>22878</v>
      </c>
      <c r="E63" s="31" t="n">
        <v>298605</v>
      </c>
      <c r="F63" s="31" t="n">
        <f aca="false">E63*1000</f>
        <v>298605000</v>
      </c>
      <c r="G63" s="32" t="n">
        <f aca="false">F63/D63</f>
        <v>13052.0587463939</v>
      </c>
      <c r="H63" s="33" t="n">
        <f aca="false">IFERROR(INDEX(PTAX!$C$5:$C$5000,MATCH($A63,PTAX!$B$5:$B$5000,1)),"")</f>
        <v>2.2729</v>
      </c>
      <c r="I63" s="9" t="n">
        <f aca="false">IF(H63="","",F63/H63)</f>
        <v>131376215.407629</v>
      </c>
      <c r="J63" s="34" t="n">
        <f aca="false">IF(H63="","",I63/D63)</f>
        <v>5742.46942073735</v>
      </c>
    </row>
    <row r="64" customFormat="false" ht="15" hidden="false" customHeight="false" outlineLevel="0" collapsed="false">
      <c r="A64" s="30" t="n">
        <v>41485</v>
      </c>
      <c r="B64" s="1" t="n">
        <v>2013</v>
      </c>
      <c r="C64" s="1" t="s">
        <v>24</v>
      </c>
      <c r="D64" s="31" t="n">
        <v>16948</v>
      </c>
      <c r="E64" s="31" t="n">
        <v>173185</v>
      </c>
      <c r="F64" s="31" t="n">
        <f aca="false">E64*1000</f>
        <v>173185000</v>
      </c>
      <c r="G64" s="32" t="n">
        <f aca="false">F64/D64</f>
        <v>10218.6098654709</v>
      </c>
      <c r="H64" s="33" t="n">
        <f aca="false">IFERROR(INDEX(PTAX!$C$5:$C$5000,MATCH($A64,PTAX!$B$5:$B$5000,1)),"")</f>
        <v>2.2729</v>
      </c>
      <c r="I64" s="9" t="n">
        <f aca="false">IF(H64="","",F64/H64)</f>
        <v>76195609.1337058</v>
      </c>
      <c r="J64" s="34" t="n">
        <f aca="false">IF(H64="","",I64/D64)</f>
        <v>4495.84665646128</v>
      </c>
    </row>
    <row r="65" customFormat="false" ht="15" hidden="false" customHeight="false" outlineLevel="0" collapsed="false">
      <c r="A65" s="30" t="n">
        <v>41485</v>
      </c>
      <c r="B65" s="1" t="n">
        <v>2013</v>
      </c>
      <c r="C65" s="1" t="s">
        <v>31</v>
      </c>
      <c r="D65" s="31" t="n">
        <v>24603</v>
      </c>
      <c r="E65" s="31" t="n">
        <v>86708</v>
      </c>
      <c r="F65" s="31" t="n">
        <f aca="false">E65*1000</f>
        <v>86708000</v>
      </c>
      <c r="G65" s="32" t="n">
        <f aca="false">F65/D65</f>
        <v>3524.28565622079</v>
      </c>
      <c r="H65" s="33" t="n">
        <f aca="false">IFERROR(INDEX(PTAX!$C$5:$C$5000,MATCH($A65,PTAX!$B$5:$B$5000,1)),"")</f>
        <v>2.2729</v>
      </c>
      <c r="I65" s="9" t="n">
        <f aca="false">IF(H65="","",F65/H65)</f>
        <v>38148620.7048264</v>
      </c>
      <c r="J65" s="34" t="n">
        <f aca="false">IF(H65="","",I65/D65)</f>
        <v>1550.56784558088</v>
      </c>
    </row>
    <row r="66" customFormat="false" ht="15" hidden="false" customHeight="false" outlineLevel="0" collapsed="false">
      <c r="A66" s="30" t="n">
        <v>41485</v>
      </c>
      <c r="B66" s="1" t="n">
        <v>2013</v>
      </c>
      <c r="C66" s="1" t="s">
        <v>27</v>
      </c>
      <c r="D66" s="31" t="n">
        <v>3379</v>
      </c>
      <c r="E66" s="31" t="n">
        <v>42627</v>
      </c>
      <c r="F66" s="31" t="n">
        <f aca="false">E66*1000</f>
        <v>42627000</v>
      </c>
      <c r="G66" s="32" t="n">
        <f aca="false">F66/D66</f>
        <v>12615.2707901746</v>
      </c>
      <c r="H66" s="33" t="n">
        <f aca="false">IFERROR(INDEX(PTAX!$C$5:$C$5000,MATCH($A66,PTAX!$B$5:$B$5000,1)),"")</f>
        <v>2.2729</v>
      </c>
      <c r="I66" s="9" t="n">
        <f aca="false">IF(H66="","",F66/H66)</f>
        <v>18754454.6614457</v>
      </c>
      <c r="J66" s="34" t="n">
        <f aca="false">IF(H66="","",I66/D66)</f>
        <v>5550.29732508012</v>
      </c>
    </row>
    <row r="67" customFormat="false" ht="15" hidden="false" customHeight="false" outlineLevel="0" collapsed="false">
      <c r="A67" s="30" t="n">
        <v>41485</v>
      </c>
      <c r="B67" s="1" t="n">
        <v>2013</v>
      </c>
      <c r="C67" s="1" t="s">
        <v>32</v>
      </c>
      <c r="D67" s="31" t="n">
        <v>12317</v>
      </c>
      <c r="E67" s="31" t="n">
        <v>83471</v>
      </c>
      <c r="F67" s="31" t="n">
        <f aca="false">E67*1000</f>
        <v>83471000</v>
      </c>
      <c r="G67" s="32" t="n">
        <f aca="false">F67/D67</f>
        <v>6776.89372412113</v>
      </c>
      <c r="H67" s="33" t="n">
        <f aca="false">IFERROR(INDEX(PTAX!$C$5:$C$5000,MATCH($A67,PTAX!$B$5:$B$5000,1)),"")</f>
        <v>2.2729</v>
      </c>
      <c r="I67" s="9" t="n">
        <f aca="false">IF(H67="","",F67/H67)</f>
        <v>36724448.9418804</v>
      </c>
      <c r="J67" s="34" t="n">
        <f aca="false">IF(H67="","",I67/D67)</f>
        <v>2981.60663650892</v>
      </c>
    </row>
    <row r="68" customFormat="false" ht="15" hidden="false" customHeight="false" outlineLevel="0" collapsed="false">
      <c r="A68" s="30" t="n">
        <v>41485</v>
      </c>
      <c r="B68" s="1" t="n">
        <v>2013</v>
      </c>
      <c r="C68" s="1" t="s">
        <v>28</v>
      </c>
      <c r="D68" s="31" t="n">
        <v>31512</v>
      </c>
      <c r="E68" s="31" t="n">
        <v>168079</v>
      </c>
      <c r="F68" s="31" t="n">
        <f aca="false">E68*1000</f>
        <v>168079000</v>
      </c>
      <c r="G68" s="32" t="n">
        <f aca="false">F68/D68</f>
        <v>5333.80934247271</v>
      </c>
      <c r="H68" s="33" t="n">
        <f aca="false">IFERROR(INDEX(PTAX!$C$5:$C$5000,MATCH($A68,PTAX!$B$5:$B$5000,1)),"")</f>
        <v>2.2729</v>
      </c>
      <c r="I68" s="9" t="n">
        <f aca="false">IF(H68="","",F68/H68)</f>
        <v>73949139.8653702</v>
      </c>
      <c r="J68" s="34" t="n">
        <f aca="false">IF(H68="","",I68/D68)</f>
        <v>2346.69776165811</v>
      </c>
    </row>
    <row r="69" customFormat="false" ht="15" hidden="false" customHeight="false" outlineLevel="0" collapsed="false">
      <c r="A69" s="30" t="n">
        <v>41485</v>
      </c>
      <c r="B69" s="1" t="n">
        <v>2013</v>
      </c>
      <c r="C69" s="1" t="s">
        <v>29</v>
      </c>
      <c r="D69" s="31" t="n">
        <v>28837</v>
      </c>
      <c r="E69" s="31" t="n">
        <v>165731</v>
      </c>
      <c r="F69" s="31" t="n">
        <f aca="false">E69*1000</f>
        <v>165731000</v>
      </c>
      <c r="G69" s="32" t="n">
        <f aca="false">F69/D69</f>
        <v>5747.16510039186</v>
      </c>
      <c r="H69" s="33" t="n">
        <f aca="false">IFERROR(INDEX(PTAX!$C$5:$C$5000,MATCH($A69,PTAX!$B$5:$B$5000,1)),"")</f>
        <v>2.2729</v>
      </c>
      <c r="I69" s="9" t="n">
        <f aca="false">IF(H69="","",F69/H69)</f>
        <v>72916098.3765234</v>
      </c>
      <c r="J69" s="34" t="n">
        <f aca="false">IF(H69="","",I69/D69)</f>
        <v>2528.56047357643</v>
      </c>
    </row>
    <row r="70" customFormat="false" ht="15" hidden="false" customHeight="false" outlineLevel="0" collapsed="false">
      <c r="A70" s="30" t="n">
        <v>41485</v>
      </c>
      <c r="B70" s="1" t="n">
        <v>2013</v>
      </c>
      <c r="C70" s="1" t="s">
        <v>21</v>
      </c>
      <c r="D70" s="31" t="n">
        <v>23325</v>
      </c>
      <c r="E70" s="31" t="n">
        <v>220203</v>
      </c>
      <c r="F70" s="31" t="n">
        <f aca="false">E70*1000</f>
        <v>220203000</v>
      </c>
      <c r="G70" s="32" t="n">
        <f aca="false">F70/D70</f>
        <v>9440.64308681672</v>
      </c>
      <c r="H70" s="33" t="n">
        <f aca="false">IFERROR(INDEX(PTAX!$C$5:$C$5000,MATCH($A70,PTAX!$B$5:$B$5000,1)),"")</f>
        <v>2.2729</v>
      </c>
      <c r="I70" s="9" t="n">
        <f aca="false">IF(H70="","",F70/H70)</f>
        <v>96881956.9712702</v>
      </c>
      <c r="J70" s="34" t="n">
        <f aca="false">IF(H70="","",I70/D70)</f>
        <v>4153.56728708554</v>
      </c>
    </row>
    <row r="71" customFormat="false" ht="15" hidden="false" customHeight="false" outlineLevel="0" collapsed="false">
      <c r="A71" s="30" t="n">
        <v>41485</v>
      </c>
      <c r="B71" s="1" t="n">
        <v>2013</v>
      </c>
      <c r="C71" s="1" t="s">
        <v>22</v>
      </c>
      <c r="D71" s="31" t="n">
        <v>10374</v>
      </c>
      <c r="E71" s="31" t="n">
        <v>145456</v>
      </c>
      <c r="F71" s="31" t="n">
        <f aca="false">E71*1000</f>
        <v>145456000</v>
      </c>
      <c r="G71" s="32" t="n">
        <f aca="false">F71/D71</f>
        <v>14021.2068633121</v>
      </c>
      <c r="H71" s="33" t="n">
        <f aca="false">IFERROR(INDEX(PTAX!$C$5:$C$5000,MATCH($A71,PTAX!$B$5:$B$5000,1)),"")</f>
        <v>2.2729</v>
      </c>
      <c r="I71" s="9" t="n">
        <f aca="false">IF(H71="","",F71/H71)</f>
        <v>63995776.3209996</v>
      </c>
      <c r="J71" s="34" t="n">
        <f aca="false">IF(H71="","",I71/D71)</f>
        <v>6168.86218633118</v>
      </c>
    </row>
    <row r="72" customFormat="false" ht="15" hidden="false" customHeight="false" outlineLevel="0" collapsed="false">
      <c r="A72" s="30" t="n">
        <v>41485</v>
      </c>
      <c r="B72" s="1" t="n">
        <v>2013</v>
      </c>
      <c r="C72" s="1" t="s">
        <v>23</v>
      </c>
      <c r="D72" s="31" t="n">
        <v>25355</v>
      </c>
      <c r="E72" s="31" t="n">
        <v>176404</v>
      </c>
      <c r="F72" s="31" t="n">
        <f aca="false">E72*1000</f>
        <v>176404000</v>
      </c>
      <c r="G72" s="32" t="n">
        <f aca="false">F72/D72</f>
        <v>6957.36541116151</v>
      </c>
      <c r="H72" s="33" t="n">
        <f aca="false">IFERROR(INDEX(PTAX!$C$5:$C$5000,MATCH($A72,PTAX!$B$5:$B$5000,1)),"")</f>
        <v>2.2729</v>
      </c>
      <c r="I72" s="9" t="n">
        <f aca="false">IF(H72="","",F72/H72)</f>
        <v>77611861.4985261</v>
      </c>
      <c r="J72" s="34" t="n">
        <f aca="false">IF(H72="","",I72/D72)</f>
        <v>3061.0081442921</v>
      </c>
    </row>
    <row r="73" customFormat="false" ht="15" hidden="false" customHeight="false" outlineLevel="0" collapsed="false">
      <c r="A73" s="30" t="n">
        <v>41851</v>
      </c>
      <c r="B73" s="1" t="n">
        <v>2014</v>
      </c>
      <c r="C73" s="1" t="s">
        <v>19</v>
      </c>
      <c r="D73" s="31" t="n">
        <v>17385</v>
      </c>
      <c r="E73" s="31" t="n">
        <v>269921</v>
      </c>
      <c r="F73" s="31" t="n">
        <f aca="false">E73*1000</f>
        <v>269921000</v>
      </c>
      <c r="G73" s="32" t="n">
        <f aca="false">F73/D73</f>
        <v>15526.0857060685</v>
      </c>
      <c r="H73" s="33" t="n">
        <f aca="false">IFERROR(INDEX(PTAX!$C$5:$C$5000,MATCH($A73,PTAX!$B$5:$B$5000,1)),"")</f>
        <v>2.2668</v>
      </c>
      <c r="I73" s="9" t="n">
        <f aca="false">IF(H73="","",F73/H73)</f>
        <v>119075789.659432</v>
      </c>
      <c r="J73" s="34" t="n">
        <f aca="false">IF(H73="","",I73/D73)</f>
        <v>6849.34079145423</v>
      </c>
    </row>
    <row r="74" customFormat="false" ht="15" hidden="false" customHeight="false" outlineLevel="0" collapsed="false">
      <c r="A74" s="30" t="n">
        <v>41851</v>
      </c>
      <c r="B74" s="1" t="n">
        <v>2014</v>
      </c>
      <c r="C74" s="1" t="s">
        <v>20</v>
      </c>
      <c r="D74" s="31" t="n">
        <v>17437</v>
      </c>
      <c r="E74" s="31" t="n">
        <v>453258</v>
      </c>
      <c r="F74" s="31" t="n">
        <f aca="false">E74*1000</f>
        <v>453258000</v>
      </c>
      <c r="G74" s="32" t="n">
        <f aca="false">F74/D74</f>
        <v>25994.0356712737</v>
      </c>
      <c r="H74" s="33" t="n">
        <f aca="false">IFERROR(INDEX(PTAX!$C$5:$C$5000,MATCH($A74,PTAX!$B$5:$B$5000,1)),"")</f>
        <v>2.2668</v>
      </c>
      <c r="I74" s="9" t="n">
        <f aca="false">IF(H74="","",F74/H74)</f>
        <v>199955002.646903</v>
      </c>
      <c r="J74" s="34" t="n">
        <f aca="false">IF(H74="","",I74/D74)</f>
        <v>11467.2823677756</v>
      </c>
    </row>
    <row r="75" customFormat="false" ht="15" hidden="false" customHeight="false" outlineLevel="0" collapsed="false">
      <c r="A75" s="30" t="n">
        <v>41851</v>
      </c>
      <c r="B75" s="1" t="n">
        <v>2014</v>
      </c>
      <c r="C75" s="1" t="s">
        <v>25</v>
      </c>
      <c r="D75" s="31" t="n">
        <v>31580</v>
      </c>
      <c r="E75" s="31" t="n">
        <v>308053</v>
      </c>
      <c r="F75" s="31" t="n">
        <f aca="false">E75*1000</f>
        <v>308053000</v>
      </c>
      <c r="G75" s="32" t="n">
        <f aca="false">F75/D75</f>
        <v>9754.68651044965</v>
      </c>
      <c r="H75" s="33" t="n">
        <f aca="false">IFERROR(INDEX(PTAX!$C$5:$C$5000,MATCH($A75,PTAX!$B$5:$B$5000,1)),"")</f>
        <v>2.2668</v>
      </c>
      <c r="I75" s="9" t="n">
        <f aca="false">IF(H75="","",F75/H75)</f>
        <v>135897741.309335</v>
      </c>
      <c r="J75" s="34" t="n">
        <f aca="false">IF(H75="","",I75/D75)</f>
        <v>4303.2850319612</v>
      </c>
    </row>
    <row r="76" customFormat="false" ht="15" hidden="false" customHeight="false" outlineLevel="0" collapsed="false">
      <c r="A76" s="30" t="n">
        <v>41851</v>
      </c>
      <c r="B76" s="1" t="n">
        <v>2014</v>
      </c>
      <c r="C76" s="1" t="s">
        <v>30</v>
      </c>
      <c r="D76" s="31" t="n">
        <v>23784</v>
      </c>
      <c r="E76" s="31" t="n">
        <v>308243</v>
      </c>
      <c r="F76" s="31" t="n">
        <f aca="false">E76*1000</f>
        <v>308243000</v>
      </c>
      <c r="G76" s="32" t="n">
        <f aca="false">F76/D76</f>
        <v>12960.0992263707</v>
      </c>
      <c r="H76" s="33" t="n">
        <f aca="false">IFERROR(INDEX(PTAX!$C$5:$C$5000,MATCH($A76,PTAX!$B$5:$B$5000,1)),"")</f>
        <v>2.2668</v>
      </c>
      <c r="I76" s="9" t="n">
        <f aca="false">IF(H76="","",F76/H76)</f>
        <v>135981559.908241</v>
      </c>
      <c r="J76" s="34" t="n">
        <f aca="false">IF(H76="","",I76/D76)</f>
        <v>5717.35452019176</v>
      </c>
    </row>
    <row r="77" customFormat="false" ht="15" hidden="false" customHeight="false" outlineLevel="0" collapsed="false">
      <c r="A77" s="30" t="n">
        <v>41851</v>
      </c>
      <c r="B77" s="1" t="n">
        <v>2014</v>
      </c>
      <c r="C77" s="1" t="s">
        <v>26</v>
      </c>
      <c r="D77" s="31" t="n">
        <v>26257</v>
      </c>
      <c r="E77" s="31" t="n">
        <v>420555</v>
      </c>
      <c r="F77" s="31" t="n">
        <f aca="false">E77*1000</f>
        <v>420555000</v>
      </c>
      <c r="G77" s="32" t="n">
        <f aca="false">F77/D77</f>
        <v>16016.8716913585</v>
      </c>
      <c r="H77" s="33" t="n">
        <f aca="false">IFERROR(INDEX(PTAX!$C$5:$C$5000,MATCH($A77,PTAX!$B$5:$B$5000,1)),"")</f>
        <v>2.2668</v>
      </c>
      <c r="I77" s="9" t="n">
        <f aca="false">IF(H77="","",F77/H77)</f>
        <v>185528057.173107</v>
      </c>
      <c r="J77" s="34" t="n">
        <f aca="false">IF(H77="","",I77/D77)</f>
        <v>7065.85128434732</v>
      </c>
    </row>
    <row r="78" customFormat="false" ht="15" hidden="false" customHeight="false" outlineLevel="0" collapsed="false">
      <c r="A78" s="30" t="n">
        <v>41851</v>
      </c>
      <c r="B78" s="1" t="n">
        <v>2014</v>
      </c>
      <c r="C78" s="1" t="s">
        <v>24</v>
      </c>
      <c r="D78" s="31" t="n">
        <v>16168</v>
      </c>
      <c r="E78" s="31" t="n">
        <v>183096</v>
      </c>
      <c r="F78" s="31" t="n">
        <f aca="false">E78*1000</f>
        <v>183096000</v>
      </c>
      <c r="G78" s="32" t="n">
        <f aca="false">F78/D78</f>
        <v>11324.5917862444</v>
      </c>
      <c r="H78" s="33" t="n">
        <f aca="false">IFERROR(INDEX(PTAX!$C$5:$C$5000,MATCH($A78,PTAX!$B$5:$B$5000,1)),"")</f>
        <v>2.2668</v>
      </c>
      <c r="I78" s="9" t="n">
        <f aca="false">IF(H78="","",F78/H78)</f>
        <v>80772895.7120169</v>
      </c>
      <c r="J78" s="34" t="n">
        <f aca="false">IF(H78="","",I78/D78)</f>
        <v>4995.84956160422</v>
      </c>
    </row>
    <row r="79" customFormat="false" ht="15" hidden="false" customHeight="false" outlineLevel="0" collapsed="false">
      <c r="A79" s="30" t="n">
        <v>41851</v>
      </c>
      <c r="B79" s="1" t="n">
        <v>2014</v>
      </c>
      <c r="C79" s="1" t="s">
        <v>31</v>
      </c>
      <c r="D79" s="31" t="n">
        <v>24603</v>
      </c>
      <c r="E79" s="31" t="n">
        <v>137610</v>
      </c>
      <c r="F79" s="31" t="n">
        <f aca="false">E79*1000</f>
        <v>137610000</v>
      </c>
      <c r="G79" s="32" t="n">
        <f aca="false">F79/D79</f>
        <v>5593.22033898305</v>
      </c>
      <c r="H79" s="33" t="n">
        <f aca="false">IFERROR(INDEX(PTAX!$C$5:$C$5000,MATCH($A79,PTAX!$B$5:$B$5000,1)),"")</f>
        <v>2.2668</v>
      </c>
      <c r="I79" s="9" t="n">
        <f aca="false">IF(H79="","",F79/H79)</f>
        <v>60706723.1339333</v>
      </c>
      <c r="J79" s="34" t="n">
        <f aca="false">IF(H79="","",I79/D79)</f>
        <v>2467.45206413581</v>
      </c>
    </row>
    <row r="80" customFormat="false" ht="15" hidden="false" customHeight="false" outlineLevel="0" collapsed="false">
      <c r="A80" s="30" t="n">
        <v>41851</v>
      </c>
      <c r="B80" s="1" t="n">
        <v>2014</v>
      </c>
      <c r="C80" s="1" t="s">
        <v>32</v>
      </c>
      <c r="D80" s="31" t="n">
        <v>12040</v>
      </c>
      <c r="E80" s="31" t="n">
        <v>87257</v>
      </c>
      <c r="F80" s="31" t="n">
        <f aca="false">E80*1000</f>
        <v>87257000</v>
      </c>
      <c r="G80" s="32" t="n">
        <f aca="false">F80/D80</f>
        <v>7247.25913621263</v>
      </c>
      <c r="H80" s="33" t="n">
        <f aca="false">IFERROR(INDEX(PTAX!$C$5:$C$5000,MATCH($A80,PTAX!$B$5:$B$5000,1)),"")</f>
        <v>2.2668</v>
      </c>
      <c r="I80" s="9" t="n">
        <f aca="false">IF(H80="","",F80/H80)</f>
        <v>38493470.9722957</v>
      </c>
      <c r="J80" s="34" t="n">
        <f aca="false">IF(H80="","",I80/D80)</f>
        <v>3197.13214055613</v>
      </c>
    </row>
    <row r="81" customFormat="false" ht="15" hidden="false" customHeight="false" outlineLevel="0" collapsed="false">
      <c r="A81" s="30" t="n">
        <v>41851</v>
      </c>
      <c r="B81" s="1" t="n">
        <v>2014</v>
      </c>
      <c r="C81" s="1" t="s">
        <v>28</v>
      </c>
      <c r="D81" s="31" t="n">
        <v>32983</v>
      </c>
      <c r="E81" s="31" t="n">
        <v>208221</v>
      </c>
      <c r="F81" s="31" t="n">
        <f aca="false">E81*1000</f>
        <v>208221000</v>
      </c>
      <c r="G81" s="32" t="n">
        <f aca="false">F81/D81</f>
        <v>6312.97941363733</v>
      </c>
      <c r="H81" s="33" t="n">
        <f aca="false">IFERROR(INDEX(PTAX!$C$5:$C$5000,MATCH($A81,PTAX!$B$5:$B$5000,1)),"")</f>
        <v>2.2668</v>
      </c>
      <c r="I81" s="9" t="n">
        <f aca="false">IF(H81="","",F81/H81)</f>
        <v>91856802.541027</v>
      </c>
      <c r="J81" s="34" t="n">
        <f aca="false">IF(H81="","",I81/D81)</f>
        <v>2784.97415459561</v>
      </c>
    </row>
    <row r="82" customFormat="false" ht="15" hidden="false" customHeight="false" outlineLevel="0" collapsed="false">
      <c r="A82" s="30" t="n">
        <v>41851</v>
      </c>
      <c r="B82" s="1" t="n">
        <v>2014</v>
      </c>
      <c r="C82" s="1" t="s">
        <v>29</v>
      </c>
      <c r="D82" s="31" t="n">
        <v>28857</v>
      </c>
      <c r="E82" s="31" t="n">
        <v>170931</v>
      </c>
      <c r="F82" s="31" t="n">
        <f aca="false">E82*1000</f>
        <v>170931000</v>
      </c>
      <c r="G82" s="32" t="n">
        <f aca="false">F82/D82</f>
        <v>5923.38080881589</v>
      </c>
      <c r="H82" s="33" t="n">
        <f aca="false">IFERROR(INDEX(PTAX!$C$5:$C$5000,MATCH($A82,PTAX!$B$5:$B$5000,1)),"")</f>
        <v>2.2668</v>
      </c>
      <c r="I82" s="9" t="n">
        <f aca="false">IF(H82="","",F82/H82)</f>
        <v>75406299.6294336</v>
      </c>
      <c r="J82" s="34" t="n">
        <f aca="false">IF(H82="","",I82/D82)</f>
        <v>2613.10252727011</v>
      </c>
    </row>
    <row r="83" customFormat="false" ht="15" hidden="false" customHeight="false" outlineLevel="0" collapsed="false">
      <c r="A83" s="30" t="n">
        <v>41851</v>
      </c>
      <c r="B83" s="1" t="n">
        <v>2014</v>
      </c>
      <c r="C83" s="1" t="s">
        <v>21</v>
      </c>
      <c r="D83" s="31" t="n">
        <v>23325</v>
      </c>
      <c r="E83" s="31" t="n">
        <v>229674</v>
      </c>
      <c r="F83" s="31" t="n">
        <f aca="false">E83*1000</f>
        <v>229674000</v>
      </c>
      <c r="G83" s="32" t="n">
        <f aca="false">F83/D83</f>
        <v>9846.68810289389</v>
      </c>
      <c r="H83" s="33" t="n">
        <f aca="false">IFERROR(INDEX(PTAX!$C$5:$C$5000,MATCH($A83,PTAX!$B$5:$B$5000,1)),"")</f>
        <v>2.2668</v>
      </c>
      <c r="I83" s="9" t="n">
        <f aca="false">IF(H83="","",F83/H83)</f>
        <v>101320804.65855</v>
      </c>
      <c r="J83" s="34" t="n">
        <f aca="false">IF(H83="","",I83/D83)</f>
        <v>4343.87158236011</v>
      </c>
    </row>
    <row r="84" customFormat="false" ht="15" hidden="false" customHeight="false" outlineLevel="0" collapsed="false">
      <c r="A84" s="30" t="n">
        <v>41851</v>
      </c>
      <c r="B84" s="1" t="n">
        <v>2014</v>
      </c>
      <c r="C84" s="1" t="s">
        <v>25</v>
      </c>
      <c r="D84" s="31" t="n">
        <v>10200</v>
      </c>
      <c r="E84" s="31" t="n">
        <v>38937</v>
      </c>
      <c r="F84" s="31" t="n">
        <f aca="false">E84*1000</f>
        <v>38937000</v>
      </c>
      <c r="G84" s="32" t="n">
        <f aca="false">F84/D84</f>
        <v>3817.35294117647</v>
      </c>
      <c r="H84" s="33" t="n">
        <f aca="false">IFERROR(INDEX(PTAX!$C$5:$C$5000,MATCH($A84,PTAX!$B$5:$B$5000,1)),"")</f>
        <v>2.2668</v>
      </c>
      <c r="I84" s="9" t="n">
        <f aca="false">IF(H84="","",F84/H84)</f>
        <v>17177077.8189518</v>
      </c>
      <c r="J84" s="34" t="n">
        <f aca="false">IF(H84="","",I84/D84)</f>
        <v>1684.02723715214</v>
      </c>
    </row>
    <row r="85" customFormat="false" ht="15" hidden="false" customHeight="false" outlineLevel="0" collapsed="false">
      <c r="A85" s="30" t="n">
        <v>41851</v>
      </c>
      <c r="B85" s="1" t="n">
        <v>2014</v>
      </c>
      <c r="C85" s="1" t="s">
        <v>22</v>
      </c>
      <c r="D85" s="31" t="n">
        <v>10374</v>
      </c>
      <c r="E85" s="31" t="n">
        <v>156350</v>
      </c>
      <c r="F85" s="31" t="n">
        <f aca="false">E85*1000</f>
        <v>156350000</v>
      </c>
      <c r="G85" s="32" t="n">
        <f aca="false">F85/D85</f>
        <v>15071.3321765953</v>
      </c>
      <c r="H85" s="33" t="n">
        <f aca="false">IFERROR(INDEX(PTAX!$C$5:$C$5000,MATCH($A85,PTAX!$B$5:$B$5000,1)),"")</f>
        <v>2.2668</v>
      </c>
      <c r="I85" s="9" t="n">
        <f aca="false">IF(H85="","",F85/H85)</f>
        <v>68973883.889183</v>
      </c>
      <c r="J85" s="34" t="n">
        <f aca="false">IF(H85="","",I85/D85)</f>
        <v>6648.72603520175</v>
      </c>
    </row>
    <row r="86" customFormat="false" ht="15" hidden="false" customHeight="false" outlineLevel="0" collapsed="false">
      <c r="A86" s="30" t="n">
        <v>41851</v>
      </c>
      <c r="B86" s="1" t="n">
        <v>2014</v>
      </c>
      <c r="C86" s="1" t="s">
        <v>28</v>
      </c>
      <c r="D86" s="31" t="n">
        <v>3680</v>
      </c>
      <c r="E86" s="31" t="n">
        <v>18444</v>
      </c>
      <c r="F86" s="31" t="n">
        <f aca="false">E86*1000</f>
        <v>18444000</v>
      </c>
      <c r="G86" s="32" t="n">
        <f aca="false">F86/D86</f>
        <v>5011.95652173913</v>
      </c>
      <c r="H86" s="33" t="n">
        <f aca="false">IFERROR(INDEX(PTAX!$C$5:$C$5000,MATCH($A86,PTAX!$B$5:$B$5000,1)),"")</f>
        <v>2.2668</v>
      </c>
      <c r="I86" s="9" t="n">
        <f aca="false">IF(H86="","",F86/H86)</f>
        <v>8136580.20116464</v>
      </c>
      <c r="J86" s="34" t="n">
        <f aca="false">IF(H86="","",I86/D86)</f>
        <v>2211.02722857735</v>
      </c>
    </row>
    <row r="87" customFormat="false" ht="15" hidden="false" customHeight="false" outlineLevel="0" collapsed="false">
      <c r="A87" s="30" t="n">
        <v>41851</v>
      </c>
      <c r="B87" s="1" t="n">
        <v>2014</v>
      </c>
      <c r="C87" s="1" t="s">
        <v>23</v>
      </c>
      <c r="D87" s="31" t="n">
        <v>25355</v>
      </c>
      <c r="E87" s="31" t="n">
        <v>198210</v>
      </c>
      <c r="F87" s="31" t="n">
        <f aca="false">E87*1000</f>
        <v>198210000</v>
      </c>
      <c r="G87" s="32" t="n">
        <f aca="false">F87/D87</f>
        <v>7817.39301912838</v>
      </c>
      <c r="H87" s="33" t="n">
        <f aca="false">IFERROR(INDEX(PTAX!$C$5:$C$5000,MATCH($A87,PTAX!$B$5:$B$5000,1)),"")</f>
        <v>2.2668</v>
      </c>
      <c r="I87" s="9" t="n">
        <f aca="false">IF(H87="","",F87/H87)</f>
        <v>87440444.6797247</v>
      </c>
      <c r="J87" s="34" t="n">
        <f aca="false">IF(H87="","",I87/D87)</f>
        <v>3448.64699979194</v>
      </c>
    </row>
    <row r="88" customFormat="false" ht="15" hidden="false" customHeight="false" outlineLevel="0" collapsed="false">
      <c r="A88" s="30" t="n">
        <v>42216</v>
      </c>
      <c r="B88" s="1" t="n">
        <v>2015</v>
      </c>
      <c r="C88" s="1" t="s">
        <v>19</v>
      </c>
      <c r="D88" s="31" t="n">
        <v>18188</v>
      </c>
      <c r="E88" s="31" t="n">
        <v>290900</v>
      </c>
      <c r="F88" s="31" t="n">
        <f aca="false">E88*1000</f>
        <v>290900000</v>
      </c>
      <c r="G88" s="32" t="n">
        <f aca="false">F88/D88</f>
        <v>15994.0620189136</v>
      </c>
      <c r="H88" s="33" t="n">
        <f aca="false">IFERROR(INDEX(PTAX!$C$5:$C$5000,MATCH($A88,PTAX!$B$5:$B$5000,1)),"")</f>
        <v>3.3934</v>
      </c>
      <c r="I88" s="9" t="n">
        <f aca="false">IF(H88="","",F88/H88)</f>
        <v>85725231.331408</v>
      </c>
      <c r="J88" s="34" t="n">
        <f aca="false">IF(H88="","",I88/D88)</f>
        <v>4713.28520625731</v>
      </c>
    </row>
    <row r="89" customFormat="false" ht="15" hidden="false" customHeight="false" outlineLevel="0" collapsed="false">
      <c r="A89" s="30" t="n">
        <v>42216</v>
      </c>
      <c r="B89" s="1" t="n">
        <v>2015</v>
      </c>
      <c r="C89" s="1" t="s">
        <v>20</v>
      </c>
      <c r="D89" s="31" t="n">
        <v>17437</v>
      </c>
      <c r="E89" s="31" t="n">
        <v>473550</v>
      </c>
      <c r="F89" s="31" t="n">
        <f aca="false">E89*1000</f>
        <v>473550000</v>
      </c>
      <c r="G89" s="32" t="n">
        <f aca="false">F89/D89</f>
        <v>27157.7679646728</v>
      </c>
      <c r="H89" s="33" t="n">
        <f aca="false">IFERROR(INDEX(PTAX!$C$5:$C$5000,MATCH($A89,PTAX!$B$5:$B$5000,1)),"")</f>
        <v>3.3934</v>
      </c>
      <c r="I89" s="9" t="n">
        <f aca="false">IF(H89="","",F89/H89)</f>
        <v>139550303.530383</v>
      </c>
      <c r="J89" s="34" t="n">
        <f aca="false">IF(H89="","",I89/D89)</f>
        <v>8003.11427025191</v>
      </c>
    </row>
    <row r="90" customFormat="false" ht="15" hidden="false" customHeight="false" outlineLevel="0" collapsed="false">
      <c r="A90" s="30" t="n">
        <v>42216</v>
      </c>
      <c r="B90" s="1" t="n">
        <v>2015</v>
      </c>
      <c r="C90" s="1" t="s">
        <v>25</v>
      </c>
      <c r="D90" s="31" t="n">
        <v>37013</v>
      </c>
      <c r="E90" s="31" t="n">
        <v>371040</v>
      </c>
      <c r="F90" s="31" t="n">
        <f aca="false">E90*1000</f>
        <v>371040000</v>
      </c>
      <c r="G90" s="32" t="n">
        <f aca="false">F90/D90</f>
        <v>10024.5859562856</v>
      </c>
      <c r="H90" s="33" t="n">
        <f aca="false">IFERROR(INDEX(PTAX!$C$5:$C$5000,MATCH($A90,PTAX!$B$5:$B$5000,1)),"")</f>
        <v>3.3934</v>
      </c>
      <c r="I90" s="9" t="n">
        <f aca="false">IF(H90="","",F90/H90)</f>
        <v>109341663.22862</v>
      </c>
      <c r="J90" s="34" t="n">
        <f aca="false">IF(H90="","",I90/D90)</f>
        <v>2954.14214542513</v>
      </c>
    </row>
    <row r="91" customFormat="false" ht="15" hidden="false" customHeight="false" outlineLevel="0" collapsed="false">
      <c r="A91" s="30" t="n">
        <v>42216</v>
      </c>
      <c r="B91" s="1" t="n">
        <v>2015</v>
      </c>
      <c r="C91" s="1" t="s">
        <v>30</v>
      </c>
      <c r="D91" s="31" t="n">
        <v>23439</v>
      </c>
      <c r="E91" s="31" t="n">
        <v>315870</v>
      </c>
      <c r="F91" s="31" t="n">
        <f aca="false">E91*1000</f>
        <v>315870000</v>
      </c>
      <c r="G91" s="32" t="n">
        <f aca="false">F91/D91</f>
        <v>13476.2575195188</v>
      </c>
      <c r="H91" s="33" t="n">
        <f aca="false">IFERROR(INDEX(PTAX!$C$5:$C$5000,MATCH($A91,PTAX!$B$5:$B$5000,1)),"")</f>
        <v>3.3934</v>
      </c>
      <c r="I91" s="9" t="n">
        <f aca="false">IF(H91="","",F91/H91)</f>
        <v>93083632.93452</v>
      </c>
      <c r="J91" s="34" t="n">
        <f aca="false">IF(H91="","",I91/D91)</f>
        <v>3971.31417443235</v>
      </c>
    </row>
    <row r="92" customFormat="false" ht="15" hidden="false" customHeight="false" outlineLevel="0" collapsed="false">
      <c r="A92" s="30" t="n">
        <v>42216</v>
      </c>
      <c r="B92" s="1" t="n">
        <v>2015</v>
      </c>
      <c r="C92" s="1" t="s">
        <v>26</v>
      </c>
      <c r="D92" s="31" t="n">
        <v>26257</v>
      </c>
      <c r="E92" s="31" t="n">
        <v>450910</v>
      </c>
      <c r="F92" s="31" t="n">
        <f aca="false">E92*1000</f>
        <v>450910000</v>
      </c>
      <c r="G92" s="32" t="n">
        <f aca="false">F92/D92</f>
        <v>17172.9443576951</v>
      </c>
      <c r="H92" s="33" t="n">
        <f aca="false">IFERROR(INDEX(PTAX!$C$5:$C$5000,MATCH($A92,PTAX!$B$5:$B$5000,1)),"")</f>
        <v>3.3934</v>
      </c>
      <c r="I92" s="9" t="n">
        <f aca="false">IF(H92="","",F92/H92)</f>
        <v>132878528.909059</v>
      </c>
      <c r="J92" s="34" t="n">
        <f aca="false">IF(H92="","",I92/D92)</f>
        <v>5060.68967928776</v>
      </c>
    </row>
    <row r="93" customFormat="false" ht="15" hidden="false" customHeight="false" outlineLevel="0" collapsed="false">
      <c r="A93" s="30" t="n">
        <v>42216</v>
      </c>
      <c r="B93" s="1" t="n">
        <v>2015</v>
      </c>
      <c r="C93" s="1" t="s">
        <v>24</v>
      </c>
      <c r="D93" s="31" t="n">
        <v>16167</v>
      </c>
      <c r="E93" s="31" t="n">
        <v>187600</v>
      </c>
      <c r="F93" s="31" t="n">
        <f aca="false">E93*1000</f>
        <v>187600000</v>
      </c>
      <c r="G93" s="32" t="n">
        <f aca="false">F93/D93</f>
        <v>11603.8844559906</v>
      </c>
      <c r="H93" s="33" t="n">
        <f aca="false">IFERROR(INDEX(PTAX!$C$5:$C$5000,MATCH($A93,PTAX!$B$5:$B$5000,1)),"")</f>
        <v>3.3934</v>
      </c>
      <c r="I93" s="9" t="n">
        <f aca="false">IF(H93="","",F93/H93)</f>
        <v>55283786.1731597</v>
      </c>
      <c r="J93" s="34" t="n">
        <f aca="false">IF(H93="","",I93/D93)</f>
        <v>3419.54513349166</v>
      </c>
    </row>
    <row r="94" customFormat="false" ht="15" hidden="false" customHeight="false" outlineLevel="0" collapsed="false">
      <c r="A94" s="30" t="n">
        <v>42216</v>
      </c>
      <c r="B94" s="1" t="n">
        <v>2015</v>
      </c>
      <c r="C94" s="1" t="s">
        <v>31</v>
      </c>
      <c r="D94" s="31" t="n">
        <v>23420</v>
      </c>
      <c r="E94" s="31" t="n">
        <v>143710</v>
      </c>
      <c r="F94" s="31" t="n">
        <f aca="false">E94*1000</f>
        <v>143710000</v>
      </c>
      <c r="G94" s="32" t="n">
        <f aca="false">F94/D94</f>
        <v>6136.20836891546</v>
      </c>
      <c r="H94" s="33" t="n">
        <f aca="false">IFERROR(INDEX(PTAX!$C$5:$C$5000,MATCH($A94,PTAX!$B$5:$B$5000,1)),"")</f>
        <v>3.3934</v>
      </c>
      <c r="I94" s="9" t="n">
        <f aca="false">IF(H94="","",F94/H94)</f>
        <v>42349855.602051</v>
      </c>
      <c r="J94" s="34" t="n">
        <f aca="false">IF(H94="","",I94/D94)</f>
        <v>1808.27735277758</v>
      </c>
    </row>
    <row r="95" customFormat="false" ht="15" hidden="false" customHeight="false" outlineLevel="0" collapsed="false">
      <c r="A95" s="30" t="n">
        <v>42216</v>
      </c>
      <c r="B95" s="1" t="n">
        <v>2015</v>
      </c>
      <c r="C95" s="1" t="s">
        <v>32</v>
      </c>
      <c r="D95" s="31" t="n">
        <v>12040</v>
      </c>
      <c r="E95" s="31" t="n">
        <v>93350</v>
      </c>
      <c r="F95" s="31" t="n">
        <f aca="false">E95*1000</f>
        <v>93350000</v>
      </c>
      <c r="G95" s="32" t="n">
        <f aca="false">F95/D95</f>
        <v>7753.32225913621</v>
      </c>
      <c r="H95" s="33" t="n">
        <f aca="false">IFERROR(INDEX(PTAX!$C$5:$C$5000,MATCH($A95,PTAX!$B$5:$B$5000,1)),"")</f>
        <v>3.3934</v>
      </c>
      <c r="I95" s="9" t="n">
        <f aca="false">IF(H95="","",F95/H95)</f>
        <v>27509282.7252903</v>
      </c>
      <c r="J95" s="34" t="n">
        <f aca="false">IF(H95="","",I95/D95)</f>
        <v>2284.82414661879</v>
      </c>
    </row>
    <row r="96" customFormat="false" ht="15" hidden="false" customHeight="false" outlineLevel="0" collapsed="false">
      <c r="A96" s="30" t="n">
        <v>42216</v>
      </c>
      <c r="B96" s="1" t="n">
        <v>2015</v>
      </c>
      <c r="C96" s="1" t="s">
        <v>28</v>
      </c>
      <c r="D96" s="31" t="n">
        <v>32984</v>
      </c>
      <c r="E96" s="31" t="n">
        <v>215970</v>
      </c>
      <c r="F96" s="31" t="n">
        <f aca="false">E96*1000</f>
        <v>215970000</v>
      </c>
      <c r="G96" s="32" t="n">
        <f aca="false">F96/D96</f>
        <v>6547.72010671841</v>
      </c>
      <c r="H96" s="33" t="n">
        <f aca="false">IFERROR(INDEX(PTAX!$C$5:$C$5000,MATCH($A96,PTAX!$B$5:$B$5000,1)),"")</f>
        <v>3.3934</v>
      </c>
      <c r="I96" s="9" t="n">
        <f aca="false">IF(H96="","",F96/H96)</f>
        <v>63644132.7282372</v>
      </c>
      <c r="J96" s="34" t="n">
        <f aca="false">IF(H96="","",I96/D96)</f>
        <v>1929.54561994413</v>
      </c>
    </row>
    <row r="97" customFormat="false" ht="15" hidden="false" customHeight="false" outlineLevel="0" collapsed="false">
      <c r="A97" s="30" t="n">
        <v>42216</v>
      </c>
      <c r="B97" s="1" t="n">
        <v>2015</v>
      </c>
      <c r="C97" s="1" t="s">
        <v>29</v>
      </c>
      <c r="D97" s="31" t="n">
        <v>28837</v>
      </c>
      <c r="E97" s="31" t="n">
        <v>175030</v>
      </c>
      <c r="F97" s="31" t="n">
        <f aca="false">E97*1000</f>
        <v>175030000</v>
      </c>
      <c r="G97" s="32" t="n">
        <f aca="false">F97/D97</f>
        <v>6069.63276346361</v>
      </c>
      <c r="H97" s="33" t="n">
        <f aca="false">IFERROR(INDEX(PTAX!$C$5:$C$5000,MATCH($A97,PTAX!$B$5:$B$5000,1)),"")</f>
        <v>3.3934</v>
      </c>
      <c r="I97" s="9" t="n">
        <f aca="false">IF(H97="","",F97/H97)</f>
        <v>51579536.7478046</v>
      </c>
      <c r="J97" s="34" t="n">
        <f aca="false">IF(H97="","",I97/D97)</f>
        <v>1788.6582081286</v>
      </c>
    </row>
    <row r="98" customFormat="false" ht="15" hidden="false" customHeight="false" outlineLevel="0" collapsed="false">
      <c r="A98" s="30" t="n">
        <v>42216</v>
      </c>
      <c r="B98" s="1" t="n">
        <v>2015</v>
      </c>
      <c r="C98" s="1" t="s">
        <v>21</v>
      </c>
      <c r="D98" s="31" t="n">
        <v>23326</v>
      </c>
      <c r="E98" s="31" t="n">
        <v>234550</v>
      </c>
      <c r="F98" s="31" t="n">
        <f aca="false">E98*1000</f>
        <v>234550000</v>
      </c>
      <c r="G98" s="32" t="n">
        <f aca="false">F98/D98</f>
        <v>10055.3030952585</v>
      </c>
      <c r="H98" s="33" t="n">
        <f aca="false">IFERROR(INDEX(PTAX!$C$5:$C$5000,MATCH($A98,PTAX!$B$5:$B$5000,1)),"")</f>
        <v>3.3934</v>
      </c>
      <c r="I98" s="9" t="n">
        <f aca="false">IF(H98="","",F98/H98)</f>
        <v>69119467.2010373</v>
      </c>
      <c r="J98" s="34" t="n">
        <f aca="false">IF(H98="","",I98/D98)</f>
        <v>2963.19416964063</v>
      </c>
    </row>
    <row r="99" customFormat="false" ht="15" hidden="false" customHeight="false" outlineLevel="0" collapsed="false">
      <c r="A99" s="30" t="n">
        <v>42216</v>
      </c>
      <c r="B99" s="1" t="n">
        <v>2015</v>
      </c>
      <c r="C99" s="1" t="s">
        <v>25</v>
      </c>
      <c r="D99" s="31" t="n">
        <v>10200</v>
      </c>
      <c r="E99" s="31" t="n">
        <v>41050</v>
      </c>
      <c r="F99" s="31" t="n">
        <f aca="false">E99*1000</f>
        <v>41050000</v>
      </c>
      <c r="G99" s="32" t="n">
        <f aca="false">F99/D99</f>
        <v>4024.50980392157</v>
      </c>
      <c r="H99" s="33" t="n">
        <f aca="false">IFERROR(INDEX(PTAX!$C$5:$C$5000,MATCH($A99,PTAX!$B$5:$B$5000,1)),"")</f>
        <v>3.3934</v>
      </c>
      <c r="I99" s="9" t="n">
        <f aca="false">IF(H99="","",F99/H99)</f>
        <v>12097011.8465256</v>
      </c>
      <c r="J99" s="34" t="n">
        <f aca="false">IF(H99="","",I99/D99)</f>
        <v>1185.98155358094</v>
      </c>
    </row>
    <row r="100" customFormat="false" ht="15" hidden="false" customHeight="false" outlineLevel="0" collapsed="false">
      <c r="A100" s="30" t="n">
        <v>42216</v>
      </c>
      <c r="B100" s="1" t="n">
        <v>2015</v>
      </c>
      <c r="C100" s="1" t="s">
        <v>22</v>
      </c>
      <c r="D100" s="31" t="n">
        <v>10374</v>
      </c>
      <c r="E100" s="31" t="n">
        <v>166430</v>
      </c>
      <c r="F100" s="31" t="n">
        <f aca="false">E100*1000</f>
        <v>166430000</v>
      </c>
      <c r="G100" s="32" t="n">
        <f aca="false">F100/D100</f>
        <v>16042.9920956237</v>
      </c>
      <c r="H100" s="33" t="n">
        <f aca="false">IFERROR(INDEX(PTAX!$C$5:$C$5000,MATCH($A100,PTAX!$B$5:$B$5000,1)),"")</f>
        <v>3.3934</v>
      </c>
      <c r="I100" s="9" t="n">
        <f aca="false">IF(H100="","",F100/H100)</f>
        <v>49045205.3987152</v>
      </c>
      <c r="J100" s="34" t="n">
        <f aca="false">IF(H100="","",I100/D100)</f>
        <v>4727.70439548054</v>
      </c>
    </row>
    <row r="101" customFormat="false" ht="15" hidden="false" customHeight="false" outlineLevel="0" collapsed="false">
      <c r="A101" s="30" t="n">
        <v>42216</v>
      </c>
      <c r="B101" s="1" t="n">
        <v>2015</v>
      </c>
      <c r="C101" s="1" t="s">
        <v>28</v>
      </c>
      <c r="D101" s="31" t="n">
        <v>3680</v>
      </c>
      <c r="E101" s="31" t="n">
        <v>19020</v>
      </c>
      <c r="F101" s="31" t="n">
        <f aca="false">E101*1000</f>
        <v>19020000</v>
      </c>
      <c r="G101" s="32" t="n">
        <f aca="false">F101/D101</f>
        <v>5168.47826086957</v>
      </c>
      <c r="H101" s="33" t="n">
        <f aca="false">IFERROR(INDEX(PTAX!$C$5:$C$5000,MATCH($A101,PTAX!$B$5:$B$5000,1)),"")</f>
        <v>3.3934</v>
      </c>
      <c r="I101" s="9" t="n">
        <f aca="false">IF(H101="","",F101/H101)</f>
        <v>5604997.93717216</v>
      </c>
      <c r="J101" s="34" t="n">
        <f aca="false">IF(H101="","",I101/D101)</f>
        <v>1523.09726553591</v>
      </c>
    </row>
    <row r="102" customFormat="false" ht="15" hidden="false" customHeight="false" outlineLevel="0" collapsed="false">
      <c r="A102" s="30" t="n">
        <v>42216</v>
      </c>
      <c r="B102" s="1" t="n">
        <v>2015</v>
      </c>
      <c r="C102" s="1" t="s">
        <v>23</v>
      </c>
      <c r="D102" s="31" t="n">
        <v>25356</v>
      </c>
      <c r="E102" s="31" t="n">
        <v>222860</v>
      </c>
      <c r="F102" s="31" t="n">
        <f aca="false">E102*1000</f>
        <v>222860000</v>
      </c>
      <c r="G102" s="32" t="n">
        <f aca="false">F102/D102</f>
        <v>8789.24120523742</v>
      </c>
      <c r="H102" s="33" t="n">
        <f aca="false">IFERROR(INDEX(PTAX!$C$5:$C$5000,MATCH($A102,PTAX!$B$5:$B$5000,1)),"")</f>
        <v>3.3934</v>
      </c>
      <c r="I102" s="9" t="n">
        <f aca="false">IF(H102="","",F102/H102)</f>
        <v>65674544.7044262</v>
      </c>
      <c r="J102" s="34" t="n">
        <f aca="false">IF(H102="","",I102/D102)</f>
        <v>2590.09878152809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0"/>
  <sheetViews>
    <sheetView showFormulas="false" showGridLines="true" showRowColHeaders="true" showZeros="true" rightToLeft="false" tabSelected="false" showOutlineSymbols="true" defaultGridColor="true" view="normal" topLeftCell="A76" colorId="64" zoomScale="100" zoomScaleNormal="100" zoomScalePageLayoutView="100" workbookViewId="0">
      <selection pane="topLeft" activeCell="B86" activeCellId="0" sqref="B86"/>
    </sheetView>
  </sheetViews>
  <sheetFormatPr defaultColWidth="8.53125" defaultRowHeight="15" zeroHeight="false" outlineLevelRow="0" outlineLevelCol="0"/>
  <cols>
    <col collapsed="false" customWidth="true" hidden="false" outlineLevel="0" max="2" min="2" style="1" width="10.42"/>
    <col collapsed="false" customWidth="true" hidden="false" outlineLevel="0" max="4" min="4" style="1" width="18.42"/>
    <col collapsed="false" customWidth="true" hidden="false" outlineLevel="0" max="7" min="5" style="1" width="14"/>
  </cols>
  <sheetData>
    <row r="2" customFormat="false" ht="15" hidden="false" customHeight="false" outlineLevel="0" collapsed="false">
      <c r="B2" s="1" t="s">
        <v>67</v>
      </c>
      <c r="C2" s="1" t="s">
        <v>77</v>
      </c>
      <c r="D2" s="1" t="s">
        <v>12</v>
      </c>
      <c r="E2" s="1" t="s">
        <v>78</v>
      </c>
      <c r="F2" s="1" t="s">
        <v>73</v>
      </c>
      <c r="G2" s="1" t="s">
        <v>79</v>
      </c>
      <c r="I2" s="3" t="s">
        <v>80</v>
      </c>
    </row>
    <row r="3" customFormat="false" ht="15" hidden="false" customHeight="false" outlineLevel="0" collapsed="false">
      <c r="B3" s="30" t="n">
        <v>39447</v>
      </c>
      <c r="C3" s="0" t="n">
        <v>2007</v>
      </c>
      <c r="D3" s="1" t="s">
        <v>20</v>
      </c>
      <c r="E3" s="1" t="n">
        <v>6223629.94</v>
      </c>
      <c r="F3" s="33" t="n">
        <f aca="false">IFERROR(INDEX(PTAX!$C$5:$C$5000,MATCH($B3,PTAX!$B$5:$B$5000,1)),"")</f>
        <v>1.7705</v>
      </c>
      <c r="G3" s="9" t="n">
        <f aca="false">IF(F3="","",E3/F3)</f>
        <v>3515182.11804575</v>
      </c>
    </row>
    <row r="4" customFormat="false" ht="15" hidden="false" customHeight="false" outlineLevel="0" collapsed="false">
      <c r="B4" s="30" t="n">
        <v>39447</v>
      </c>
      <c r="C4" s="0" t="n">
        <v>2007</v>
      </c>
      <c r="D4" s="1" t="s">
        <v>19</v>
      </c>
      <c r="E4" s="1" t="n">
        <v>5489634.75</v>
      </c>
      <c r="F4" s="33" t="n">
        <f aca="false">IFERROR(INDEX(PTAX!$C$5:$C$5000,MATCH($B4,PTAX!$B$5:$B$5000,1)),"")</f>
        <v>1.7705</v>
      </c>
      <c r="G4" s="9" t="n">
        <f aca="false">IF(F4="","",E4/F4)</f>
        <v>3100612.68003389</v>
      </c>
    </row>
    <row r="5" customFormat="false" ht="15" hidden="false" customHeight="false" outlineLevel="0" collapsed="false">
      <c r="B5" s="30" t="n">
        <v>39447</v>
      </c>
      <c r="C5" s="0" t="n">
        <v>2007</v>
      </c>
      <c r="D5" s="1" t="s">
        <v>21</v>
      </c>
      <c r="E5" s="1" t="n">
        <v>3727492.65</v>
      </c>
      <c r="F5" s="33" t="n">
        <f aca="false">IFERROR(INDEX(PTAX!$C$5:$C$5000,MATCH($B5,PTAX!$B$5:$B$5000,1)),"")</f>
        <v>1.7705</v>
      </c>
      <c r="G5" s="9" t="n">
        <f aca="false">IF(F5="","",E5/F5)</f>
        <v>2105333.3239198</v>
      </c>
    </row>
    <row r="6" customFormat="false" ht="15" hidden="false" customHeight="false" outlineLevel="0" collapsed="false">
      <c r="B6" s="30" t="n">
        <v>39447</v>
      </c>
      <c r="C6" s="0" t="n">
        <v>2007</v>
      </c>
      <c r="D6" s="1" t="s">
        <v>33</v>
      </c>
      <c r="E6" s="1" t="n">
        <v>936862.5</v>
      </c>
      <c r="F6" s="33" t="n">
        <f aca="false">IFERROR(INDEX(PTAX!$C$5:$C$5000,MATCH($B6,PTAX!$B$5:$B$5000,1)),"")</f>
        <v>1.7705</v>
      </c>
      <c r="G6" s="9" t="n">
        <f aca="false">IF(F6="","",E6/F6)</f>
        <v>529151.369669585</v>
      </c>
    </row>
    <row r="7" customFormat="false" ht="15" hidden="false" customHeight="false" outlineLevel="0" collapsed="false">
      <c r="B7" s="30" t="n">
        <v>39447</v>
      </c>
      <c r="C7" s="0" t="n">
        <v>2007</v>
      </c>
      <c r="D7" s="1" t="s">
        <v>22</v>
      </c>
      <c r="E7" s="1" t="n">
        <v>2049840</v>
      </c>
      <c r="F7" s="33" t="n">
        <f aca="false">IFERROR(INDEX(PTAX!$C$5:$C$5000,MATCH($B7,PTAX!$B$5:$B$5000,1)),"")</f>
        <v>1.7705</v>
      </c>
      <c r="G7" s="9" t="n">
        <f aca="false">IF(F7="","",E7/F7)</f>
        <v>1157774.63993222</v>
      </c>
    </row>
    <row r="8" customFormat="false" ht="15" hidden="false" customHeight="false" outlineLevel="0" collapsed="false">
      <c r="B8" s="30" t="n">
        <v>39447</v>
      </c>
      <c r="C8" s="0" t="n">
        <v>2007</v>
      </c>
      <c r="D8" s="1" t="s">
        <v>26</v>
      </c>
      <c r="E8" s="1" t="n">
        <v>7507249.555</v>
      </c>
      <c r="F8" s="33" t="n">
        <f aca="false">IFERROR(INDEX(PTAX!$C$5:$C$5000,MATCH($B8,PTAX!$B$5:$B$5000,1)),"")</f>
        <v>1.7705</v>
      </c>
      <c r="G8" s="9" t="n">
        <f aca="false">IF(F8="","",E8/F8)</f>
        <v>4240186.13668455</v>
      </c>
    </row>
    <row r="9" customFormat="false" ht="15" hidden="false" customHeight="false" outlineLevel="0" collapsed="false">
      <c r="B9" s="30" t="n">
        <v>39813</v>
      </c>
      <c r="C9" s="0" t="n">
        <v>2008</v>
      </c>
      <c r="D9" s="1" t="s">
        <v>20</v>
      </c>
      <c r="E9" s="1" t="n">
        <v>6078894.36</v>
      </c>
      <c r="F9" s="33" t="n">
        <f aca="false">IFERROR(INDEX(PTAX!$C$5:$C$5000,MATCH($B9,PTAX!$B$5:$B$5000,1)),"")</f>
        <v>2.3362</v>
      </c>
      <c r="G9" s="9" t="n">
        <f aca="false">IF(F9="","",E9/F9)</f>
        <v>2602043.64352367</v>
      </c>
    </row>
    <row r="10" customFormat="false" ht="15" hidden="false" customHeight="false" outlineLevel="0" collapsed="false">
      <c r="B10" s="30" t="n">
        <v>39813</v>
      </c>
      <c r="C10" s="0" t="n">
        <v>2008</v>
      </c>
      <c r="D10" s="1" t="s">
        <v>19</v>
      </c>
      <c r="E10" s="1" t="n">
        <v>5764116.4875</v>
      </c>
      <c r="F10" s="33" t="n">
        <f aca="false">IFERROR(INDEX(PTAX!$C$5:$C$5000,MATCH($B10,PTAX!$B$5:$B$5000,1)),"")</f>
        <v>2.3362</v>
      </c>
      <c r="G10" s="9" t="n">
        <f aca="false">IF(F10="","",E10/F10)</f>
        <v>2467304.3778358</v>
      </c>
    </row>
    <row r="11" customFormat="false" ht="15" hidden="false" customHeight="false" outlineLevel="0" collapsed="false">
      <c r="B11" s="30" t="n">
        <v>39813</v>
      </c>
      <c r="C11" s="0" t="n">
        <v>2008</v>
      </c>
      <c r="D11" s="1" t="s">
        <v>21</v>
      </c>
      <c r="E11" s="1" t="n">
        <v>3727492.65</v>
      </c>
      <c r="F11" s="33" t="n">
        <f aca="false">IFERROR(INDEX(PTAX!$C$5:$C$5000,MATCH($B11,PTAX!$B$5:$B$5000,1)),"")</f>
        <v>2.3362</v>
      </c>
      <c r="G11" s="9" t="n">
        <f aca="false">IF(F11="","",E11/F11)</f>
        <v>1595536.61929629</v>
      </c>
    </row>
    <row r="12" customFormat="false" ht="15" hidden="false" customHeight="false" outlineLevel="0" collapsed="false">
      <c r="B12" s="30" t="n">
        <v>39813</v>
      </c>
      <c r="C12" s="0" t="n">
        <v>2008</v>
      </c>
      <c r="D12" s="1" t="s">
        <v>33</v>
      </c>
      <c r="E12" s="1" t="n">
        <v>1083600</v>
      </c>
      <c r="F12" s="33" t="n">
        <f aca="false">IFERROR(INDEX(PTAX!$C$5:$C$5000,MATCH($B12,PTAX!$B$5:$B$5000,1)),"")</f>
        <v>2.3362</v>
      </c>
      <c r="G12" s="9" t="n">
        <f aca="false">IF(F12="","",E12/F12)</f>
        <v>463830.151528123</v>
      </c>
    </row>
    <row r="13" customFormat="false" ht="15" hidden="false" customHeight="false" outlineLevel="0" collapsed="false">
      <c r="B13" s="30" t="n">
        <v>39813</v>
      </c>
      <c r="C13" s="0" t="n">
        <v>2008</v>
      </c>
      <c r="D13" s="1" t="s">
        <v>22</v>
      </c>
      <c r="E13" s="1" t="n">
        <v>2181240</v>
      </c>
      <c r="F13" s="33" t="n">
        <f aca="false">IFERROR(INDEX(PTAX!$C$5:$C$5000,MATCH($B13,PTAX!$B$5:$B$5000,1)),"")</f>
        <v>2.3362</v>
      </c>
      <c r="G13" s="9" t="n">
        <f aca="false">IF(F13="","",E13/F13)</f>
        <v>933670.06249465</v>
      </c>
    </row>
    <row r="14" customFormat="false" ht="15" hidden="false" customHeight="false" outlineLevel="0" collapsed="false">
      <c r="B14" s="30" t="n">
        <v>39813</v>
      </c>
      <c r="C14" s="0" t="n">
        <v>2008</v>
      </c>
      <c r="D14" s="1" t="s">
        <v>26</v>
      </c>
      <c r="E14" s="1" t="n">
        <v>7507249.555</v>
      </c>
      <c r="F14" s="33" t="n">
        <f aca="false">IFERROR(INDEX(PTAX!$C$5:$C$5000,MATCH($B14,PTAX!$B$5:$B$5000,1)),"")</f>
        <v>2.3362</v>
      </c>
      <c r="G14" s="9" t="n">
        <f aca="false">IF(F14="","",E14/F14)</f>
        <v>3213444.72005821</v>
      </c>
    </row>
    <row r="15" customFormat="false" ht="15" hidden="false" customHeight="false" outlineLevel="0" collapsed="false">
      <c r="B15" s="30" t="n">
        <v>39813</v>
      </c>
      <c r="C15" s="0" t="n">
        <v>2008</v>
      </c>
      <c r="D15" s="1" t="s">
        <v>23</v>
      </c>
      <c r="E15" s="1" t="n">
        <v>0</v>
      </c>
      <c r="F15" s="33" t="n">
        <f aca="false">IFERROR(INDEX(PTAX!$C$5:$C$5000,MATCH($B15,PTAX!$B$5:$B$5000,1)),"")</f>
        <v>2.3362</v>
      </c>
      <c r="G15" s="9" t="n">
        <f aca="false">IF(F15="","",E15/F15)</f>
        <v>0</v>
      </c>
    </row>
    <row r="16" customFormat="false" ht="15" hidden="false" customHeight="false" outlineLevel="0" collapsed="false">
      <c r="B16" s="30" t="n">
        <v>39813</v>
      </c>
      <c r="C16" s="0" t="n">
        <v>2008</v>
      </c>
      <c r="D16" s="1" t="s">
        <v>24</v>
      </c>
      <c r="E16" s="1" t="n">
        <v>565677</v>
      </c>
      <c r="F16" s="33" t="n">
        <f aca="false">IFERROR(INDEX(PTAX!$C$5:$C$5000,MATCH($B16,PTAX!$B$5:$B$5000,1)),"")</f>
        <v>2.3362</v>
      </c>
      <c r="G16" s="9" t="n">
        <f aca="false">IF(F16="","",E16/F16)</f>
        <v>242135.519219245</v>
      </c>
    </row>
    <row r="17" customFormat="false" ht="15" hidden="false" customHeight="false" outlineLevel="0" collapsed="false">
      <c r="B17" s="30" t="n">
        <v>40178</v>
      </c>
      <c r="C17" s="0" t="n">
        <v>2009</v>
      </c>
      <c r="D17" s="1" t="s">
        <v>20</v>
      </c>
      <c r="E17" s="1" t="n">
        <v>5934158.78</v>
      </c>
      <c r="F17" s="33" t="n">
        <f aca="false">IFERROR(INDEX(PTAX!$C$5:$C$5000,MATCH($B17,PTAX!$B$5:$B$5000,1)),"")</f>
        <v>1.7404</v>
      </c>
      <c r="G17" s="9" t="n">
        <f aca="false">IF(F17="","",E17/F17)</f>
        <v>3409652.25235578</v>
      </c>
    </row>
    <row r="18" customFormat="false" ht="15" hidden="false" customHeight="false" outlineLevel="0" collapsed="false">
      <c r="B18" s="30" t="n">
        <v>40178</v>
      </c>
      <c r="C18" s="0" t="n">
        <v>2009</v>
      </c>
      <c r="D18" s="1" t="s">
        <v>19</v>
      </c>
      <c r="E18" s="1" t="n">
        <v>5432845.425</v>
      </c>
      <c r="F18" s="33" t="n">
        <f aca="false">IFERROR(INDEX(PTAX!$C$5:$C$5000,MATCH($B18,PTAX!$B$5:$B$5000,1)),"")</f>
        <v>1.7404</v>
      </c>
      <c r="G18" s="9" t="n">
        <f aca="false">IF(F18="","",E18/F18)</f>
        <v>3121607.34601241</v>
      </c>
    </row>
    <row r="19" customFormat="false" ht="15" hidden="false" customHeight="false" outlineLevel="0" collapsed="false">
      <c r="B19" s="30" t="n">
        <v>40178</v>
      </c>
      <c r="C19" s="0" t="n">
        <v>2009</v>
      </c>
      <c r="D19" s="1" t="s">
        <v>21</v>
      </c>
      <c r="E19" s="1" t="n">
        <v>3502944.9</v>
      </c>
      <c r="F19" s="33" t="n">
        <f aca="false">IFERROR(INDEX(PTAX!$C$5:$C$5000,MATCH($B19,PTAX!$B$5:$B$5000,1)),"")</f>
        <v>1.7404</v>
      </c>
      <c r="G19" s="9" t="n">
        <f aca="false">IF(F19="","",E19/F19)</f>
        <v>2012724.02895886</v>
      </c>
    </row>
    <row r="20" customFormat="false" ht="15" hidden="false" customHeight="false" outlineLevel="0" collapsed="false">
      <c r="B20" s="30" t="n">
        <v>40178</v>
      </c>
      <c r="C20" s="0" t="n">
        <v>2009</v>
      </c>
      <c r="D20" s="1" t="s">
        <v>33</v>
      </c>
      <c r="E20" s="1" t="n">
        <v>948150</v>
      </c>
      <c r="F20" s="33" t="n">
        <f aca="false">IFERROR(INDEX(PTAX!$C$5:$C$5000,MATCH($B20,PTAX!$B$5:$B$5000,1)),"")</f>
        <v>1.7404</v>
      </c>
      <c r="G20" s="9" t="n">
        <f aca="false">IF(F20="","",E20/F20)</f>
        <v>544788.554355321</v>
      </c>
    </row>
    <row r="21" customFormat="false" ht="15" hidden="false" customHeight="false" outlineLevel="0" collapsed="false">
      <c r="B21" s="30" t="n">
        <v>40178</v>
      </c>
      <c r="C21" s="0" t="n">
        <v>2009</v>
      </c>
      <c r="D21" s="1" t="s">
        <v>22</v>
      </c>
      <c r="E21" s="1" t="n">
        <v>2049840</v>
      </c>
      <c r="F21" s="33" t="n">
        <f aca="false">IFERROR(INDEX(PTAX!$C$5:$C$5000,MATCH($B21,PTAX!$B$5:$B$5000,1)),"")</f>
        <v>1.7404</v>
      </c>
      <c r="G21" s="9" t="n">
        <f aca="false">IF(F21="","",E21/F21)</f>
        <v>1177798.20730866</v>
      </c>
    </row>
    <row r="22" customFormat="false" ht="15" hidden="false" customHeight="false" outlineLevel="0" collapsed="false">
      <c r="B22" s="30" t="n">
        <v>40178</v>
      </c>
      <c r="C22" s="0" t="n">
        <v>2009</v>
      </c>
      <c r="D22" s="1" t="s">
        <v>26</v>
      </c>
      <c r="E22" s="1" t="n">
        <v>7007611.31</v>
      </c>
      <c r="F22" s="33" t="n">
        <f aca="false">IFERROR(INDEX(PTAX!$C$5:$C$5000,MATCH($B22,PTAX!$B$5:$B$5000,1)),"")</f>
        <v>1.7404</v>
      </c>
      <c r="G22" s="9" t="n">
        <f aca="false">IF(F22="","",E22/F22)</f>
        <v>4026437.20409101</v>
      </c>
    </row>
    <row r="23" customFormat="false" ht="15" hidden="false" customHeight="false" outlineLevel="0" collapsed="false">
      <c r="B23" s="30" t="n">
        <v>40178</v>
      </c>
      <c r="C23" s="0" t="n">
        <v>2009</v>
      </c>
      <c r="D23" s="1" t="s">
        <v>23</v>
      </c>
      <c r="E23" s="1" t="n">
        <v>0</v>
      </c>
      <c r="F23" s="33" t="n">
        <f aca="false">IFERROR(INDEX(PTAX!$C$5:$C$5000,MATCH($B23,PTAX!$B$5:$B$5000,1)),"")</f>
        <v>1.7404</v>
      </c>
      <c r="G23" s="9" t="n">
        <f aca="false">IF(F23="","",E23/F23)</f>
        <v>0</v>
      </c>
    </row>
    <row r="24" customFormat="false" ht="15" hidden="false" customHeight="false" outlineLevel="0" collapsed="false">
      <c r="B24" s="30" t="n">
        <v>40178</v>
      </c>
      <c r="C24" s="0" t="n">
        <v>2009</v>
      </c>
      <c r="D24" s="1" t="s">
        <v>24</v>
      </c>
      <c r="E24" s="1" t="n">
        <v>1155042.72</v>
      </c>
      <c r="F24" s="33" t="n">
        <f aca="false">IFERROR(INDEX(PTAX!$C$5:$C$5000,MATCH($B24,PTAX!$B$5:$B$5000,1)),"")</f>
        <v>1.7404</v>
      </c>
      <c r="G24" s="9" t="n">
        <f aca="false">IF(F24="","",E24/F24)</f>
        <v>663665.088485406</v>
      </c>
    </row>
    <row r="25" customFormat="false" ht="15" hidden="false" customHeight="false" outlineLevel="0" collapsed="false">
      <c r="B25" s="30" t="n">
        <v>40543</v>
      </c>
      <c r="C25" s="0" t="n">
        <v>2010</v>
      </c>
      <c r="D25" s="1" t="s">
        <v>20</v>
      </c>
      <c r="E25" s="1" t="n">
        <v>6802572.26</v>
      </c>
      <c r="F25" s="33" t="n">
        <f aca="false">IFERROR(INDEX(PTAX!$C$5:$C$5000,MATCH($B25,PTAX!$B$5:$B$5000,1)),"")</f>
        <v>1.6654</v>
      </c>
      <c r="G25" s="9" t="n">
        <f aca="false">IF(F25="","",E25/F25)</f>
        <v>4084647.68824307</v>
      </c>
    </row>
    <row r="26" customFormat="false" ht="15" hidden="false" customHeight="false" outlineLevel="0" collapsed="false">
      <c r="B26" s="30" t="n">
        <v>40543</v>
      </c>
      <c r="C26" s="0" t="n">
        <v>2010</v>
      </c>
      <c r="D26" s="1" t="s">
        <v>19</v>
      </c>
      <c r="E26" s="1" t="n">
        <v>5962879.125</v>
      </c>
      <c r="F26" s="33" t="n">
        <f aca="false">IFERROR(INDEX(PTAX!$C$5:$C$5000,MATCH($B26,PTAX!$B$5:$B$5000,1)),"")</f>
        <v>1.6654</v>
      </c>
      <c r="G26" s="9" t="n">
        <f aca="false">IF(F26="","",E26/F26)</f>
        <v>3580448.61594812</v>
      </c>
    </row>
    <row r="27" customFormat="false" ht="15" hidden="false" customHeight="false" outlineLevel="0" collapsed="false">
      <c r="B27" s="30" t="n">
        <v>40543</v>
      </c>
      <c r="C27" s="0" t="n">
        <v>2010</v>
      </c>
      <c r="D27" s="1" t="s">
        <v>21</v>
      </c>
      <c r="E27" s="1" t="n">
        <v>3907130.85</v>
      </c>
      <c r="F27" s="33" t="n">
        <f aca="false">IFERROR(INDEX(PTAX!$C$5:$C$5000,MATCH($B27,PTAX!$B$5:$B$5000,1)),"")</f>
        <v>1.6654</v>
      </c>
      <c r="G27" s="9" t="n">
        <f aca="false">IF(F27="","",E27/F27)</f>
        <v>2346061.51675273</v>
      </c>
    </row>
    <row r="28" customFormat="false" ht="15" hidden="false" customHeight="false" outlineLevel="0" collapsed="false">
      <c r="B28" s="30" t="n">
        <v>40543</v>
      </c>
      <c r="C28" s="0" t="n">
        <v>2010</v>
      </c>
      <c r="D28" s="1" t="s">
        <v>22</v>
      </c>
      <c r="E28" s="1" t="n">
        <v>2897280</v>
      </c>
      <c r="F28" s="33" t="n">
        <f aca="false">IFERROR(INDEX(PTAX!$C$5:$C$5000,MATCH($B28,PTAX!$B$5:$B$5000,1)),"")</f>
        <v>1.6654</v>
      </c>
      <c r="G28" s="9" t="n">
        <f aca="false">IF(F28="","",E28/F28)</f>
        <v>1739690.16452504</v>
      </c>
    </row>
    <row r="29" customFormat="false" ht="15" hidden="false" customHeight="false" outlineLevel="0" collapsed="false">
      <c r="B29" s="30" t="n">
        <v>40543</v>
      </c>
      <c r="C29" s="0" t="n">
        <v>2010</v>
      </c>
      <c r="D29" s="1" t="s">
        <v>26</v>
      </c>
      <c r="E29" s="1" t="n">
        <v>8841956.6235</v>
      </c>
      <c r="F29" s="33" t="n">
        <f aca="false">IFERROR(INDEX(PTAX!$C$5:$C$5000,MATCH($B29,PTAX!$B$5:$B$5000,1)),"")</f>
        <v>1.6654</v>
      </c>
      <c r="G29" s="9" t="n">
        <f aca="false">IF(F29="","",E29/F29)</f>
        <v>5309208.97291942</v>
      </c>
    </row>
    <row r="30" customFormat="false" ht="15" hidden="false" customHeight="false" outlineLevel="0" collapsed="false">
      <c r="B30" s="30" t="n">
        <v>40543</v>
      </c>
      <c r="C30" s="0" t="n">
        <v>2010</v>
      </c>
      <c r="D30" s="1" t="s">
        <v>23</v>
      </c>
      <c r="E30" s="1" t="n">
        <v>455000</v>
      </c>
      <c r="F30" s="33" t="n">
        <f aca="false">IFERROR(INDEX(PTAX!$C$5:$C$5000,MATCH($B30,PTAX!$B$5:$B$5000,1)),"")</f>
        <v>1.6654</v>
      </c>
      <c r="G30" s="9" t="n">
        <f aca="false">IF(F30="","",E30/F30)</f>
        <v>273207.637804732</v>
      </c>
    </row>
    <row r="31" customFormat="false" ht="15" hidden="false" customHeight="false" outlineLevel="0" collapsed="false">
      <c r="B31" s="30" t="n">
        <v>40543</v>
      </c>
      <c r="C31" s="0" t="n">
        <v>2010</v>
      </c>
      <c r="D31" s="1" t="s">
        <v>24</v>
      </c>
      <c r="E31" s="1" t="n">
        <v>2568870</v>
      </c>
      <c r="F31" s="33" t="n">
        <f aca="false">IFERROR(INDEX(PTAX!$C$5:$C$5000,MATCH($B31,PTAX!$B$5:$B$5000,1)),"")</f>
        <v>1.6654</v>
      </c>
      <c r="G31" s="9" t="n">
        <f aca="false">IF(F31="","",E31/F31)</f>
        <v>1542494.29566471</v>
      </c>
    </row>
    <row r="32" customFormat="false" ht="15" hidden="false" customHeight="false" outlineLevel="0" collapsed="false">
      <c r="B32" s="30" t="n">
        <v>40908</v>
      </c>
      <c r="C32" s="0" t="n">
        <v>2011</v>
      </c>
      <c r="D32" s="1" t="s">
        <v>20</v>
      </c>
      <c r="E32" s="1" t="n">
        <v>4563675.1968</v>
      </c>
      <c r="F32" s="33" t="n">
        <f aca="false">IFERROR(INDEX(PTAX!$C$5:$C$5000,MATCH($B32,PTAX!$B$5:$B$5000,1)),"")</f>
        <v>1.8751</v>
      </c>
      <c r="G32" s="9" t="n">
        <f aca="false">IF(F32="","",E32/F32)</f>
        <v>2433830.3006773</v>
      </c>
    </row>
    <row r="33" customFormat="false" ht="15" hidden="false" customHeight="false" outlineLevel="0" collapsed="false">
      <c r="B33" s="30" t="n">
        <v>40908</v>
      </c>
      <c r="C33" s="0" t="n">
        <v>2011</v>
      </c>
      <c r="D33" s="1" t="s">
        <v>19</v>
      </c>
      <c r="E33" s="1" t="n">
        <v>4000309.04</v>
      </c>
      <c r="F33" s="33" t="n">
        <f aca="false">IFERROR(INDEX(PTAX!$C$5:$C$5000,MATCH($B33,PTAX!$B$5:$B$5000,1)),"")</f>
        <v>1.8751</v>
      </c>
      <c r="G33" s="9" t="n">
        <f aca="false">IF(F33="","",E33/F33)</f>
        <v>2133384.37416671</v>
      </c>
    </row>
    <row r="34" customFormat="false" ht="15" hidden="false" customHeight="false" outlineLevel="0" collapsed="false">
      <c r="B34" s="30" t="n">
        <v>40908</v>
      </c>
      <c r="C34" s="0" t="n">
        <v>2011</v>
      </c>
      <c r="D34" s="1" t="s">
        <v>21</v>
      </c>
      <c r="E34" s="1" t="n">
        <v>4417449.24</v>
      </c>
      <c r="F34" s="33" t="n">
        <f aca="false">IFERROR(INDEX(PTAX!$C$5:$C$5000,MATCH($B34,PTAX!$B$5:$B$5000,1)),"")</f>
        <v>1.8751</v>
      </c>
      <c r="G34" s="9" t="n">
        <f aca="false">IF(F34="","",E34/F34)</f>
        <v>2355847.28281158</v>
      </c>
    </row>
    <row r="35" customFormat="false" ht="15" hidden="false" customHeight="false" outlineLevel="0" collapsed="false">
      <c r="B35" s="30" t="n">
        <v>40908</v>
      </c>
      <c r="C35" s="0" t="n">
        <v>2011</v>
      </c>
      <c r="D35" s="1" t="s">
        <v>22</v>
      </c>
      <c r="E35" s="1" t="n">
        <v>3924886.8575</v>
      </c>
      <c r="F35" s="33" t="n">
        <f aca="false">IFERROR(INDEX(PTAX!$C$5:$C$5000,MATCH($B35,PTAX!$B$5:$B$5000,1)),"")</f>
        <v>1.8751</v>
      </c>
      <c r="G35" s="9" t="n">
        <f aca="false">IF(F35="","",E35/F35)</f>
        <v>2093161.35539438</v>
      </c>
    </row>
    <row r="36" customFormat="false" ht="15" hidden="false" customHeight="false" outlineLevel="0" collapsed="false">
      <c r="B36" s="30" t="n">
        <v>40908</v>
      </c>
      <c r="C36" s="0" t="n">
        <v>2011</v>
      </c>
      <c r="D36" s="1" t="s">
        <v>23</v>
      </c>
      <c r="E36" s="1" t="n">
        <v>1501325.7</v>
      </c>
      <c r="F36" s="33" t="n">
        <f aca="false">IFERROR(INDEX(PTAX!$C$5:$C$5000,MATCH($B36,PTAX!$B$5:$B$5000,1)),"")</f>
        <v>1.8751</v>
      </c>
      <c r="G36" s="9" t="n">
        <f aca="false">IF(F36="","",E36/F36)</f>
        <v>800664.337901979</v>
      </c>
    </row>
    <row r="37" customFormat="false" ht="15" hidden="false" customHeight="false" outlineLevel="0" collapsed="false">
      <c r="B37" s="30" t="n">
        <v>40908</v>
      </c>
      <c r="C37" s="0" t="n">
        <v>2011</v>
      </c>
      <c r="D37" s="1" t="s">
        <v>24</v>
      </c>
      <c r="E37" s="1" t="n">
        <v>4695292.48</v>
      </c>
      <c r="F37" s="33" t="n">
        <f aca="false">IFERROR(INDEX(PTAX!$C$5:$C$5000,MATCH($B37,PTAX!$B$5:$B$5000,1)),"")</f>
        <v>1.8751</v>
      </c>
      <c r="G37" s="9" t="n">
        <f aca="false">IF(F37="","",E37/F37)</f>
        <v>2504022.44146979</v>
      </c>
    </row>
    <row r="38" customFormat="false" ht="15" hidden="false" customHeight="false" outlineLevel="0" collapsed="false">
      <c r="B38" s="30" t="n">
        <v>40908</v>
      </c>
      <c r="C38" s="0" t="n">
        <v>2011</v>
      </c>
      <c r="D38" s="1" t="s">
        <v>26</v>
      </c>
      <c r="E38" s="1" t="n">
        <v>4976641.8</v>
      </c>
      <c r="F38" s="33" t="n">
        <f aca="false">IFERROR(INDEX(PTAX!$C$5:$C$5000,MATCH($B38,PTAX!$B$5:$B$5000,1)),"")</f>
        <v>1.8751</v>
      </c>
      <c r="G38" s="9" t="n">
        <f aca="false">IF(F38="","",E38/F38)</f>
        <v>2654067.40973815</v>
      </c>
    </row>
    <row r="39" customFormat="false" ht="15" hidden="false" customHeight="false" outlineLevel="0" collapsed="false">
      <c r="B39" s="30" t="n">
        <v>40908</v>
      </c>
      <c r="C39" s="0" t="n">
        <v>2011</v>
      </c>
      <c r="D39" s="1" t="s">
        <v>23</v>
      </c>
      <c r="E39" s="1" t="n">
        <v>692094.78</v>
      </c>
      <c r="F39" s="33" t="n">
        <f aca="false">IFERROR(INDEX(PTAX!$C$5:$C$5000,MATCH($B39,PTAX!$B$5:$B$5000,1)),"")</f>
        <v>1.8751</v>
      </c>
      <c r="G39" s="9" t="n">
        <f aca="false">IF(F39="","",E39/F39)</f>
        <v>369097.530798357</v>
      </c>
    </row>
    <row r="40" customFormat="false" ht="15" hidden="false" customHeight="false" outlineLevel="0" collapsed="false">
      <c r="B40" s="30" t="n">
        <f aca="false">DATE(C40,12,31)</f>
        <v>41274</v>
      </c>
      <c r="C40" s="0" t="n">
        <v>2012</v>
      </c>
      <c r="D40" s="1" t="s">
        <v>20</v>
      </c>
      <c r="E40" s="1" t="n">
        <v>7795000</v>
      </c>
      <c r="F40" s="33" t="n">
        <f aca="false">IFERROR(INDEX(PTAX!$C$5:$C$5000,MATCH($B40,PTAX!$B$5:$B$5000,1)),"")</f>
        <v>2.0429</v>
      </c>
      <c r="G40" s="9" t="n">
        <f aca="false">IF(F40="","",E40/F40)</f>
        <v>3815654.2170444</v>
      </c>
    </row>
    <row r="41" customFormat="false" ht="15" hidden="false" customHeight="false" outlineLevel="0" collapsed="false">
      <c r="B41" s="30" t="n">
        <f aca="false">DATE(C41,12,31)</f>
        <v>41639</v>
      </c>
      <c r="C41" s="0" t="n">
        <v>2013</v>
      </c>
      <c r="D41" s="1" t="s">
        <v>20</v>
      </c>
      <c r="E41" s="1" t="n">
        <v>7483000</v>
      </c>
      <c r="F41" s="33" t="n">
        <f aca="false">IFERROR(INDEX(PTAX!$C$5:$C$5000,MATCH($B41,PTAX!$B$5:$B$5000,1)),"")</f>
        <v>2.342</v>
      </c>
      <c r="G41" s="9" t="n">
        <f aca="false">IF(F41="","",E41/F41)</f>
        <v>3195132.36549957</v>
      </c>
    </row>
    <row r="42" customFormat="false" ht="15" hidden="false" customHeight="false" outlineLevel="0" collapsed="false">
      <c r="B42" s="30" t="n">
        <f aca="false">DATE(C42,12,31)</f>
        <v>42004</v>
      </c>
      <c r="C42" s="0" t="n">
        <v>2014</v>
      </c>
      <c r="D42" s="1" t="s">
        <v>20</v>
      </c>
      <c r="E42" s="1" t="n">
        <v>10660000</v>
      </c>
      <c r="F42" s="33" t="n">
        <f aca="false">IFERROR(INDEX(PTAX!$C$5:$C$5000,MATCH($B42,PTAX!$B$5:$B$5000,1)),"")</f>
        <v>2.6556</v>
      </c>
      <c r="G42" s="9" t="n">
        <f aca="false">IF(F42="","",E42/F42)</f>
        <v>4014158.75884922</v>
      </c>
    </row>
    <row r="43" customFormat="false" ht="15" hidden="false" customHeight="false" outlineLevel="0" collapsed="false">
      <c r="B43" s="30" t="n">
        <f aca="false">DATE(C43,12,31)</f>
        <v>42369</v>
      </c>
      <c r="C43" s="0" t="n">
        <v>2015</v>
      </c>
      <c r="D43" s="1" t="s">
        <v>20</v>
      </c>
      <c r="E43" s="1" t="n">
        <v>13057000</v>
      </c>
      <c r="F43" s="33" t="n">
        <f aca="false">IFERROR(INDEX(PTAX!$C$5:$C$5000,MATCH($B43,PTAX!$B$5:$B$5000,1)),"")</f>
        <v>3.9042</v>
      </c>
      <c r="G43" s="9" t="n">
        <f aca="false">IF(F43="","",E43/F43)</f>
        <v>3344347.11336509</v>
      </c>
    </row>
    <row r="44" customFormat="false" ht="15" hidden="false" customHeight="false" outlineLevel="0" collapsed="false">
      <c r="B44" s="30" t="n">
        <f aca="false">DATE(C44,12,31)</f>
        <v>42735</v>
      </c>
      <c r="C44" s="0" t="n">
        <v>2016</v>
      </c>
      <c r="D44" s="1" t="s">
        <v>20</v>
      </c>
      <c r="E44" s="1" t="n">
        <v>12883000</v>
      </c>
      <c r="F44" s="33" t="n">
        <f aca="false">IFERROR(INDEX(PTAX!$C$5:$C$5000,MATCH($B44,PTAX!$B$5:$B$5000,1)),"")</f>
        <v>3.2585</v>
      </c>
      <c r="G44" s="9" t="n">
        <f aca="false">IF(F44="","",E44/F44)</f>
        <v>3953659.65935246</v>
      </c>
    </row>
    <row r="45" customFormat="false" ht="15" hidden="false" customHeight="false" outlineLevel="0" collapsed="false">
      <c r="B45" s="30" t="n">
        <f aca="false">DATE(C45,12,31)</f>
        <v>43100</v>
      </c>
      <c r="C45" s="0" t="n">
        <v>2017</v>
      </c>
      <c r="D45" s="1" t="s">
        <v>20</v>
      </c>
      <c r="E45" s="1" t="n">
        <v>13426000</v>
      </c>
      <c r="F45" s="33" t="n">
        <f aca="false">IFERROR(INDEX(PTAX!$C$5:$C$5000,MATCH($B45,PTAX!$B$5:$B$5000,1)),"")</f>
        <v>3.3074</v>
      </c>
      <c r="G45" s="9" t="n">
        <f aca="false">IF(F45="","",E45/F45)</f>
        <v>4059381.99189696</v>
      </c>
    </row>
    <row r="46" customFormat="false" ht="15" hidden="false" customHeight="false" outlineLevel="0" collapsed="false">
      <c r="B46" s="30" t="n">
        <f aca="false">DATE(C46,12,31)</f>
        <v>41274</v>
      </c>
      <c r="C46" s="0" t="n">
        <v>2012</v>
      </c>
      <c r="D46" s="1" t="s">
        <v>19</v>
      </c>
      <c r="E46" s="1" t="n">
        <v>6522000</v>
      </c>
      <c r="F46" s="33" t="n">
        <f aca="false">IFERROR(INDEX(PTAX!$C$5:$C$5000,MATCH($B46,PTAX!$B$5:$B$5000,1)),"")</f>
        <v>2.0429</v>
      </c>
      <c r="G46" s="9" t="n">
        <f aca="false">IF(F46="","",E46/F46)</f>
        <v>3192520.4366342</v>
      </c>
    </row>
    <row r="47" customFormat="false" ht="15" hidden="false" customHeight="false" outlineLevel="0" collapsed="false">
      <c r="B47" s="30" t="n">
        <f aca="false">DATE(C47,12,31)</f>
        <v>41639</v>
      </c>
      <c r="C47" s="0" t="n">
        <v>2013</v>
      </c>
      <c r="D47" s="1" t="s">
        <v>19</v>
      </c>
      <c r="E47" s="1" t="n">
        <v>5902000</v>
      </c>
      <c r="F47" s="33" t="n">
        <f aca="false">IFERROR(INDEX(PTAX!$C$5:$C$5000,MATCH($B47,PTAX!$B$5:$B$5000,1)),"")</f>
        <v>2.342</v>
      </c>
      <c r="G47" s="9" t="n">
        <f aca="false">IF(F47="","",E47/F47)</f>
        <v>2520068.3176772</v>
      </c>
    </row>
    <row r="48" customFormat="false" ht="15" hidden="false" customHeight="false" outlineLevel="0" collapsed="false">
      <c r="B48" s="30" t="n">
        <f aca="false">DATE(C48,12,31)</f>
        <v>42004</v>
      </c>
      <c r="C48" s="0" t="n">
        <v>2014</v>
      </c>
      <c r="D48" s="1" t="s">
        <v>19</v>
      </c>
      <c r="E48" s="1" t="n">
        <v>6567000</v>
      </c>
      <c r="F48" s="33" t="n">
        <f aca="false">IFERROR(INDEX(PTAX!$C$5:$C$5000,MATCH($B48,PTAX!$B$5:$B$5000,1)),"")</f>
        <v>2.6556</v>
      </c>
      <c r="G48" s="9" t="n">
        <f aca="false">IF(F48="","",E48/F48)</f>
        <v>2472887.48305468</v>
      </c>
    </row>
    <row r="49" customFormat="false" ht="15" hidden="false" customHeight="false" outlineLevel="0" collapsed="false">
      <c r="B49" s="30" t="n">
        <f aca="false">DATE(C49,12,31)</f>
        <v>42369</v>
      </c>
      <c r="C49" s="0" t="n">
        <v>2015</v>
      </c>
      <c r="D49" s="1" t="s">
        <v>19</v>
      </c>
      <c r="E49" s="1" t="n">
        <v>8312000</v>
      </c>
      <c r="F49" s="33" t="n">
        <f aca="false">IFERROR(INDEX(PTAX!$C$5:$C$5000,MATCH($B49,PTAX!$B$5:$B$5000,1)),"")</f>
        <v>3.9042</v>
      </c>
      <c r="G49" s="9" t="n">
        <f aca="false">IF(F49="","",E49/F49)</f>
        <v>2128989.29358127</v>
      </c>
    </row>
    <row r="50" customFormat="false" ht="15" hidden="false" customHeight="false" outlineLevel="0" collapsed="false">
      <c r="B50" s="30" t="n">
        <f aca="false">DATE(C50,12,31)</f>
        <v>42735</v>
      </c>
      <c r="C50" s="0" t="n">
        <v>2016</v>
      </c>
      <c r="D50" s="1" t="s">
        <v>19</v>
      </c>
      <c r="E50" s="1" t="n">
        <v>7880000</v>
      </c>
      <c r="F50" s="33" t="n">
        <f aca="false">IFERROR(INDEX(PTAX!$C$5:$C$5000,MATCH($B50,PTAX!$B$5:$B$5000,1)),"")</f>
        <v>3.2585</v>
      </c>
      <c r="G50" s="9" t="n">
        <f aca="false">IF(F50="","",E50/F50)</f>
        <v>2418290.62452049</v>
      </c>
    </row>
    <row r="51" customFormat="false" ht="15" hidden="false" customHeight="false" outlineLevel="0" collapsed="false">
      <c r="B51" s="30" t="n">
        <f aca="false">DATE(C51,12,31)</f>
        <v>43100</v>
      </c>
      <c r="C51" s="0" t="n">
        <v>2017</v>
      </c>
      <c r="D51" s="1" t="s">
        <v>19</v>
      </c>
      <c r="E51" s="1" t="n">
        <v>8082000</v>
      </c>
      <c r="F51" s="33" t="n">
        <f aca="false">IFERROR(INDEX(PTAX!$C$5:$C$5000,MATCH($B51,PTAX!$B$5:$B$5000,1)),"")</f>
        <v>3.3074</v>
      </c>
      <c r="G51" s="9" t="n">
        <f aca="false">IF(F51="","",E51/F51)</f>
        <v>2443611.29588196</v>
      </c>
    </row>
    <row r="52" customFormat="false" ht="15" hidden="false" customHeight="false" outlineLevel="0" collapsed="false">
      <c r="B52" s="30" t="n">
        <f aca="false">DATE(C52,12,31)</f>
        <v>41274</v>
      </c>
      <c r="C52" s="0" t="n">
        <v>2012</v>
      </c>
      <c r="D52" s="1" t="s">
        <v>21</v>
      </c>
      <c r="E52" s="1" t="n">
        <v>9821000</v>
      </c>
      <c r="F52" s="33" t="n">
        <f aca="false">IFERROR(INDEX(PTAX!$C$5:$C$5000,MATCH($B52,PTAX!$B$5:$B$5000,1)),"")</f>
        <v>2.0429</v>
      </c>
      <c r="G52" s="9" t="n">
        <f aca="false">IF(F52="","",E52/F52)</f>
        <v>4807381.66332175</v>
      </c>
    </row>
    <row r="53" customFormat="false" ht="15" hidden="false" customHeight="false" outlineLevel="0" collapsed="false">
      <c r="B53" s="30" t="n">
        <f aca="false">DATE(C53,12,31)</f>
        <v>41639</v>
      </c>
      <c r="C53" s="0" t="n">
        <v>2013</v>
      </c>
      <c r="D53" s="1" t="s">
        <v>21</v>
      </c>
      <c r="E53" s="1" t="n">
        <v>7371000</v>
      </c>
      <c r="F53" s="33" t="n">
        <f aca="false">IFERROR(INDEX(PTAX!$C$5:$C$5000,MATCH($B53,PTAX!$B$5:$B$5000,1)),"")</f>
        <v>2.342</v>
      </c>
      <c r="G53" s="9" t="n">
        <f aca="false">IF(F53="","",E53/F53)</f>
        <v>3147309.99146029</v>
      </c>
    </row>
    <row r="54" customFormat="false" ht="15" hidden="false" customHeight="false" outlineLevel="0" collapsed="false">
      <c r="B54" s="30" t="n">
        <f aca="false">DATE(C54,12,31)</f>
        <v>42004</v>
      </c>
      <c r="C54" s="0" t="n">
        <v>2014</v>
      </c>
      <c r="D54" s="1" t="s">
        <v>21</v>
      </c>
      <c r="E54" s="1" t="n">
        <v>8241000</v>
      </c>
      <c r="F54" s="33" t="n">
        <f aca="false">IFERROR(INDEX(PTAX!$C$5:$C$5000,MATCH($B54,PTAX!$B$5:$B$5000,1)),"")</f>
        <v>2.6556</v>
      </c>
      <c r="G54" s="9" t="n">
        <f aca="false">IF(F54="","",E54/F54)</f>
        <v>3103253.50203344</v>
      </c>
    </row>
    <row r="55" customFormat="false" ht="15" hidden="false" customHeight="false" outlineLevel="0" collapsed="false">
      <c r="B55" s="30" t="n">
        <f aca="false">DATE(C55,12,31)</f>
        <v>42369</v>
      </c>
      <c r="C55" s="0" t="n">
        <v>2015</v>
      </c>
      <c r="D55" s="1" t="s">
        <v>21</v>
      </c>
      <c r="E55" s="1" t="n">
        <v>8398000</v>
      </c>
      <c r="F55" s="33" t="n">
        <f aca="false">IFERROR(INDEX(PTAX!$C$5:$C$5000,MATCH($B55,PTAX!$B$5:$B$5000,1)),"")</f>
        <v>3.9042</v>
      </c>
      <c r="G55" s="9" t="n">
        <f aca="false">IF(F55="","",E55/F55)</f>
        <v>2151016.85364479</v>
      </c>
    </row>
    <row r="56" customFormat="false" ht="15" hidden="false" customHeight="false" outlineLevel="0" collapsed="false">
      <c r="B56" s="30" t="n">
        <f aca="false">DATE(C56,12,31)</f>
        <v>42735</v>
      </c>
      <c r="C56" s="0" t="n">
        <v>2016</v>
      </c>
      <c r="D56" s="1" t="s">
        <v>21</v>
      </c>
      <c r="E56" s="1" t="n">
        <v>8831000</v>
      </c>
      <c r="F56" s="33" t="n">
        <f aca="false">IFERROR(INDEX(PTAX!$C$5:$C$5000,MATCH($B56,PTAX!$B$5:$B$5000,1)),"")</f>
        <v>3.2585</v>
      </c>
      <c r="G56" s="9" t="n">
        <f aca="false">IF(F56="","",E56/F56)</f>
        <v>2710142.70369802</v>
      </c>
    </row>
    <row r="57" customFormat="false" ht="15" hidden="false" customHeight="false" outlineLevel="0" collapsed="false">
      <c r="B57" s="30" t="n">
        <f aca="false">DATE(C57,12,31)</f>
        <v>43100</v>
      </c>
      <c r="C57" s="0" t="n">
        <v>2017</v>
      </c>
      <c r="D57" s="1" t="s">
        <v>21</v>
      </c>
      <c r="E57" s="1" t="n">
        <v>9594000</v>
      </c>
      <c r="F57" s="33" t="n">
        <f aca="false">IFERROR(INDEX(PTAX!$C$5:$C$5000,MATCH($B57,PTAX!$B$5:$B$5000,1)),"")</f>
        <v>3.3074</v>
      </c>
      <c r="G57" s="9" t="n">
        <f aca="false">IF(F57="","",E57/F57)</f>
        <v>2900767.97484429</v>
      </c>
    </row>
    <row r="58" customFormat="false" ht="15" hidden="false" customHeight="false" outlineLevel="0" collapsed="false">
      <c r="B58" s="30" t="n">
        <f aca="false">DATE(C58,12,31)</f>
        <v>41274</v>
      </c>
      <c r="C58" s="0" t="n">
        <v>2012</v>
      </c>
      <c r="D58" s="1" t="s">
        <v>22</v>
      </c>
      <c r="E58" s="1" t="n">
        <v>7989000</v>
      </c>
      <c r="F58" s="33" t="n">
        <f aca="false">IFERROR(INDEX(PTAX!$C$5:$C$5000,MATCH($B58,PTAX!$B$5:$B$5000,1)),"")</f>
        <v>2.0429</v>
      </c>
      <c r="G58" s="9" t="n">
        <f aca="false">IF(F58="","",E58/F58)</f>
        <v>3910617.25977777</v>
      </c>
    </row>
    <row r="59" customFormat="false" ht="15" hidden="false" customHeight="false" outlineLevel="0" collapsed="false">
      <c r="B59" s="30" t="n">
        <f aca="false">DATE(C59,12,31)</f>
        <v>41639</v>
      </c>
      <c r="C59" s="0" t="n">
        <v>2013</v>
      </c>
      <c r="D59" s="1" t="s">
        <v>22</v>
      </c>
      <c r="E59" s="1" t="n">
        <v>5372000</v>
      </c>
      <c r="F59" s="33" t="n">
        <f aca="false">IFERROR(INDEX(PTAX!$C$5:$C$5000,MATCH($B59,PTAX!$B$5:$B$5000,1)),"")</f>
        <v>2.342</v>
      </c>
      <c r="G59" s="9" t="n">
        <f aca="false">IF(F59="","",E59/F59)</f>
        <v>2293766.01195559</v>
      </c>
    </row>
    <row r="60" customFormat="false" ht="15" hidden="false" customHeight="false" outlineLevel="0" collapsed="false">
      <c r="B60" s="30" t="n">
        <f aca="false">DATE(C60,12,31)</f>
        <v>42004</v>
      </c>
      <c r="C60" s="0" t="n">
        <v>2014</v>
      </c>
      <c r="D60" s="1" t="s">
        <v>22</v>
      </c>
      <c r="E60" s="1" t="n">
        <v>5792000</v>
      </c>
      <c r="F60" s="33" t="n">
        <f aca="false">IFERROR(INDEX(PTAX!$C$5:$C$5000,MATCH($B60,PTAX!$B$5:$B$5000,1)),"")</f>
        <v>2.6556</v>
      </c>
      <c r="G60" s="9" t="n">
        <f aca="false">IF(F60="","",E60/F60)</f>
        <v>2181051.3631571</v>
      </c>
    </row>
    <row r="61" customFormat="false" ht="15" hidden="false" customHeight="false" outlineLevel="0" collapsed="false">
      <c r="B61" s="30" t="n">
        <f aca="false">DATE(C61,12,31)</f>
        <v>42369</v>
      </c>
      <c r="C61" s="0" t="n">
        <v>2015</v>
      </c>
      <c r="D61" s="1" t="s">
        <v>22</v>
      </c>
      <c r="E61" s="1" t="n">
        <v>6119000</v>
      </c>
      <c r="F61" s="33" t="n">
        <f aca="false">IFERROR(INDEX(PTAX!$C$5:$C$5000,MATCH($B61,PTAX!$B$5:$B$5000,1)),"")</f>
        <v>3.9042</v>
      </c>
      <c r="G61" s="9" t="n">
        <f aca="false">IF(F61="","",E61/F61)</f>
        <v>1567286.51196148</v>
      </c>
    </row>
    <row r="62" customFormat="false" ht="15" hidden="false" customHeight="false" outlineLevel="0" collapsed="false">
      <c r="B62" s="30" t="n">
        <f aca="false">DATE(C62,12,31)</f>
        <v>42735</v>
      </c>
      <c r="C62" s="0" t="n">
        <v>2016</v>
      </c>
      <c r="D62" s="1" t="s">
        <v>22</v>
      </c>
      <c r="E62" s="1" t="n">
        <v>6324000</v>
      </c>
      <c r="F62" s="33" t="n">
        <f aca="false">IFERROR(INDEX(PTAX!$C$5:$C$5000,MATCH($B62,PTAX!$B$5:$B$5000,1)),"")</f>
        <v>3.2585</v>
      </c>
      <c r="G62" s="9" t="n">
        <f aca="false">IF(F62="","",E62/F62)</f>
        <v>1940770.29307964</v>
      </c>
    </row>
    <row r="63" customFormat="false" ht="15" hidden="false" customHeight="false" outlineLevel="0" collapsed="false">
      <c r="B63" s="30" t="n">
        <f aca="false">DATE(C63,12,31)</f>
        <v>43100</v>
      </c>
      <c r="C63" s="0" t="n">
        <v>2017</v>
      </c>
      <c r="D63" s="1" t="s">
        <v>22</v>
      </c>
      <c r="E63" s="1" t="n">
        <v>6864000</v>
      </c>
      <c r="F63" s="33" t="n">
        <f aca="false">IFERROR(INDEX(PTAX!$C$5:$C$5000,MATCH($B63,PTAX!$B$5:$B$5000,1)),"")</f>
        <v>3.3074</v>
      </c>
      <c r="G63" s="9" t="n">
        <f aca="false">IF(F63="","",E63/F63)</f>
        <v>2075346.19338453</v>
      </c>
    </row>
    <row r="64" customFormat="false" ht="15" hidden="false" customHeight="false" outlineLevel="0" collapsed="false">
      <c r="B64" s="30" t="n">
        <f aca="false">DATE(C64,12,31)</f>
        <v>41274</v>
      </c>
      <c r="C64" s="0" t="n">
        <v>2012</v>
      </c>
      <c r="D64" s="1" t="s">
        <v>23</v>
      </c>
      <c r="E64" s="1" t="n">
        <v>3466000</v>
      </c>
      <c r="F64" s="33" t="n">
        <f aca="false">IFERROR(INDEX(PTAX!$C$5:$C$5000,MATCH($B64,PTAX!$B$5:$B$5000,1)),"")</f>
        <v>2.0429</v>
      </c>
      <c r="G64" s="9" t="n">
        <f aca="false">IF(F64="","",E64/F64)</f>
        <v>1696607.76347349</v>
      </c>
    </row>
    <row r="65" customFormat="false" ht="15" hidden="false" customHeight="false" outlineLevel="0" collapsed="false">
      <c r="B65" s="30" t="n">
        <f aca="false">DATE(C65,12,31)</f>
        <v>41639</v>
      </c>
      <c r="C65" s="0" t="n">
        <v>2013</v>
      </c>
      <c r="D65" s="1" t="s">
        <v>23</v>
      </c>
      <c r="E65" s="1" t="n">
        <v>2818000</v>
      </c>
      <c r="F65" s="33" t="n">
        <f aca="false">IFERROR(INDEX(PTAX!$C$5:$C$5000,MATCH($B65,PTAX!$B$5:$B$5000,1)),"")</f>
        <v>2.342</v>
      </c>
      <c r="G65" s="9" t="n">
        <f aca="false">IF(F65="","",E65/F65)</f>
        <v>1203245.08966695</v>
      </c>
    </row>
    <row r="66" customFormat="false" ht="15" hidden="false" customHeight="false" outlineLevel="0" collapsed="false">
      <c r="B66" s="30" t="n">
        <f aca="false">DATE(C66,12,31)</f>
        <v>42004</v>
      </c>
      <c r="C66" s="0" t="n">
        <v>2014</v>
      </c>
      <c r="D66" s="1" t="s">
        <v>23</v>
      </c>
      <c r="E66" s="1" t="n">
        <v>3235000</v>
      </c>
      <c r="F66" s="33" t="n">
        <f aca="false">IFERROR(INDEX(PTAX!$C$5:$C$5000,MATCH($B66,PTAX!$B$5:$B$5000,1)),"")</f>
        <v>2.6556</v>
      </c>
      <c r="G66" s="9" t="n">
        <f aca="false">IF(F66="","",E66/F66)</f>
        <v>1218180.44886278</v>
      </c>
    </row>
    <row r="67" customFormat="false" ht="15" hidden="false" customHeight="false" outlineLevel="0" collapsed="false">
      <c r="B67" s="30" t="n">
        <f aca="false">DATE(C67,12,31)</f>
        <v>42369</v>
      </c>
      <c r="C67" s="0" t="n">
        <v>2015</v>
      </c>
      <c r="D67" s="1" t="s">
        <v>23</v>
      </c>
      <c r="E67" s="1" t="n">
        <v>3602000</v>
      </c>
      <c r="F67" s="33" t="n">
        <f aca="false">IFERROR(INDEX(PTAX!$C$5:$C$5000,MATCH($B67,PTAX!$B$5:$B$5000,1)),"")</f>
        <v>3.9042</v>
      </c>
      <c r="G67" s="9" t="n">
        <f aca="false">IF(F67="","",E67/F67)</f>
        <v>922596.178474463</v>
      </c>
    </row>
    <row r="68" customFormat="false" ht="15" hidden="false" customHeight="false" outlineLevel="0" collapsed="false">
      <c r="B68" s="30" t="n">
        <f aca="false">DATE(C68,12,31)</f>
        <v>42735</v>
      </c>
      <c r="C68" s="0" t="n">
        <v>2016</v>
      </c>
      <c r="D68" s="1" t="s">
        <v>23</v>
      </c>
      <c r="E68" s="1" t="n">
        <v>4044000</v>
      </c>
      <c r="F68" s="33" t="n">
        <f aca="false">IFERROR(INDEX(PTAX!$C$5:$C$5000,MATCH($B68,PTAX!$B$5:$B$5000,1)),"")</f>
        <v>3.2585</v>
      </c>
      <c r="G68" s="9" t="n">
        <f aca="false">IF(F68="","",E68/F68)</f>
        <v>1241061.83826914</v>
      </c>
    </row>
    <row r="69" customFormat="false" ht="15" hidden="false" customHeight="false" outlineLevel="0" collapsed="false">
      <c r="B69" s="30" t="n">
        <f aca="false">DATE(C69,12,31)</f>
        <v>43100</v>
      </c>
      <c r="C69" s="0" t="n">
        <v>2017</v>
      </c>
      <c r="D69" s="1" t="s">
        <v>23</v>
      </c>
      <c r="E69" s="1" t="n">
        <v>4044000</v>
      </c>
      <c r="F69" s="33" t="n">
        <f aca="false">IFERROR(INDEX(PTAX!$C$5:$C$5000,MATCH($B69,PTAX!$B$5:$B$5000,1)),"")</f>
        <v>3.3074</v>
      </c>
      <c r="G69" s="9" t="n">
        <f aca="false">IF(F69="","",E69/F69)</f>
        <v>1222712.70484368</v>
      </c>
    </row>
    <row r="70" customFormat="false" ht="15" hidden="false" customHeight="false" outlineLevel="0" collapsed="false">
      <c r="B70" s="30" t="n">
        <f aca="false">DATE(C70,12,31)</f>
        <v>41274</v>
      </c>
      <c r="C70" s="0" t="n">
        <v>2012</v>
      </c>
      <c r="D70" s="1" t="s">
        <v>24</v>
      </c>
      <c r="E70" s="1" t="n">
        <v>7902000</v>
      </c>
      <c r="F70" s="33" t="n">
        <f aca="false">IFERROR(INDEX(PTAX!$C$5:$C$5000,MATCH($B70,PTAX!$B$5:$B$5000,1)),"")</f>
        <v>2.0429</v>
      </c>
      <c r="G70" s="9" t="n">
        <f aca="false">IF(F70="","",E70/F70)</f>
        <v>3868030.74061383</v>
      </c>
    </row>
    <row r="71" customFormat="false" ht="15" hidden="false" customHeight="false" outlineLevel="0" collapsed="false">
      <c r="B71" s="30" t="n">
        <f aca="false">DATE(C71,12,31)</f>
        <v>41639</v>
      </c>
      <c r="C71" s="0" t="n">
        <v>2013</v>
      </c>
      <c r="D71" s="1" t="s">
        <v>24</v>
      </c>
      <c r="E71" s="1" t="n">
        <v>7315000</v>
      </c>
      <c r="F71" s="33" t="n">
        <f aca="false">IFERROR(INDEX(PTAX!$C$5:$C$5000,MATCH($B71,PTAX!$B$5:$B$5000,1)),"")</f>
        <v>2.342</v>
      </c>
      <c r="G71" s="9" t="n">
        <f aca="false">IF(F71="","",E71/F71)</f>
        <v>3123398.80444065</v>
      </c>
    </row>
    <row r="72" customFormat="false" ht="15" hidden="false" customHeight="false" outlineLevel="0" collapsed="false">
      <c r="B72" s="30" t="n">
        <f aca="false">DATE(C72,12,31)</f>
        <v>42004</v>
      </c>
      <c r="C72" s="0" t="n">
        <v>2014</v>
      </c>
      <c r="D72" s="1" t="s">
        <v>24</v>
      </c>
      <c r="E72" s="1" t="n">
        <v>7608000</v>
      </c>
      <c r="F72" s="33" t="n">
        <f aca="false">IFERROR(INDEX(PTAX!$C$5:$C$5000,MATCH($B72,PTAX!$B$5:$B$5000,1)),"")</f>
        <v>2.6556</v>
      </c>
      <c r="G72" s="9" t="n">
        <f aca="false">IF(F72="","",E72/F72)</f>
        <v>2864889.29055581</v>
      </c>
    </row>
    <row r="73" customFormat="false" ht="15" hidden="false" customHeight="false" outlineLevel="0" collapsed="false">
      <c r="B73" s="30" t="n">
        <f aca="false">DATE(C73,12,31)</f>
        <v>42369</v>
      </c>
      <c r="C73" s="0" t="n">
        <v>2015</v>
      </c>
      <c r="D73" s="1" t="s">
        <v>24</v>
      </c>
      <c r="E73" s="1" t="n">
        <v>10130000</v>
      </c>
      <c r="F73" s="33" t="n">
        <f aca="false">IFERROR(INDEX(PTAX!$C$5:$C$5000,MATCH($B73,PTAX!$B$5:$B$5000,1)),"")</f>
        <v>3.9042</v>
      </c>
      <c r="G73" s="9" t="n">
        <f aca="false">IF(F73="","",E73/F73)</f>
        <v>2594641.66794734</v>
      </c>
    </row>
    <row r="74" customFormat="false" ht="15" hidden="false" customHeight="false" outlineLevel="0" collapsed="false">
      <c r="B74" s="30" t="n">
        <f aca="false">DATE(C74,12,31)</f>
        <v>42735</v>
      </c>
      <c r="C74" s="0" t="n">
        <v>2016</v>
      </c>
      <c r="D74" s="1" t="s">
        <v>24</v>
      </c>
      <c r="E74" s="1" t="n">
        <v>9015000</v>
      </c>
      <c r="F74" s="33" t="n">
        <f aca="false">IFERROR(INDEX(PTAX!$C$5:$C$5000,MATCH($B74,PTAX!$B$5:$B$5000,1)),"")</f>
        <v>3.2585</v>
      </c>
      <c r="G74" s="9" t="n">
        <f aca="false">IF(F74="","",E74/F74)</f>
        <v>2766610.40355992</v>
      </c>
    </row>
    <row r="75" customFormat="false" ht="15" hidden="false" customHeight="false" outlineLevel="0" collapsed="false">
      <c r="B75" s="30" t="n">
        <f aca="false">DATE(C75,12,31)</f>
        <v>43100</v>
      </c>
      <c r="C75" s="0" t="n">
        <v>2017</v>
      </c>
      <c r="D75" s="1" t="s">
        <v>24</v>
      </c>
      <c r="E75" s="1" t="n">
        <v>8421000</v>
      </c>
      <c r="F75" s="33" t="n">
        <f aca="false">IFERROR(INDEX(PTAX!$C$5:$C$5000,MATCH($B75,PTAX!$B$5:$B$5000,1)),"")</f>
        <v>3.3074</v>
      </c>
      <c r="G75" s="9" t="n">
        <f aca="false">IF(F75="","",E75/F75)</f>
        <v>2546108.7258874</v>
      </c>
    </row>
    <row r="76" customFormat="false" ht="15" hidden="false" customHeight="false" outlineLevel="0" collapsed="false">
      <c r="B76" s="30" t="n">
        <f aca="false">DATE(C76,12,31)</f>
        <v>41274</v>
      </c>
      <c r="C76" s="0" t="n">
        <v>2012</v>
      </c>
      <c r="D76" s="1" t="s">
        <v>26</v>
      </c>
      <c r="E76" s="1" t="n">
        <v>9251000</v>
      </c>
      <c r="F76" s="33" t="n">
        <f aca="false">IFERROR(INDEX(PTAX!$C$5:$C$5000,MATCH($B76,PTAX!$B$5:$B$5000,1)),"")</f>
        <v>2.0429</v>
      </c>
      <c r="G76" s="9" t="n">
        <f aca="false">IF(F76="","",E76/F76)</f>
        <v>4528366.53776494</v>
      </c>
    </row>
    <row r="77" customFormat="false" ht="15" hidden="false" customHeight="false" outlineLevel="0" collapsed="false">
      <c r="B77" s="30" t="n">
        <f aca="false">DATE(C77,12,31)</f>
        <v>41639</v>
      </c>
      <c r="C77" s="0" t="n">
        <v>2013</v>
      </c>
      <c r="D77" s="1" t="s">
        <v>26</v>
      </c>
      <c r="E77" s="1" t="n">
        <v>8677000</v>
      </c>
      <c r="F77" s="33" t="n">
        <f aca="false">IFERROR(INDEX(PTAX!$C$5:$C$5000,MATCH($B77,PTAX!$B$5:$B$5000,1)),"")</f>
        <v>2.342</v>
      </c>
      <c r="G77" s="9" t="n">
        <f aca="false">IF(F77="","",E77/F77)</f>
        <v>3704953.03159693</v>
      </c>
    </row>
    <row r="78" customFormat="false" ht="15" hidden="false" customHeight="false" outlineLevel="0" collapsed="false">
      <c r="B78" s="30" t="n">
        <f aca="false">DATE(C78,12,31)</f>
        <v>42004</v>
      </c>
      <c r="C78" s="0" t="n">
        <v>2014</v>
      </c>
      <c r="D78" s="1" t="s">
        <v>26</v>
      </c>
      <c r="E78" s="1" t="n">
        <v>15146000</v>
      </c>
      <c r="F78" s="33" t="n">
        <f aca="false">IFERROR(INDEX(PTAX!$C$5:$C$5000,MATCH($B78,PTAX!$B$5:$B$5000,1)),"")</f>
        <v>2.6556</v>
      </c>
      <c r="G78" s="9" t="n">
        <f aca="false">IF(F78="","",E78/F78)</f>
        <v>5703419.18963699</v>
      </c>
    </row>
    <row r="79" customFormat="false" ht="15" hidden="false" customHeight="false" outlineLevel="0" collapsed="false">
      <c r="B79" s="30" t="n">
        <f aca="false">DATE(C79,12,31)</f>
        <v>42369</v>
      </c>
      <c r="C79" s="0" t="n">
        <v>2015</v>
      </c>
      <c r="D79" s="1" t="s">
        <v>26</v>
      </c>
      <c r="E79" s="1" t="n">
        <v>17733000</v>
      </c>
      <c r="F79" s="33" t="n">
        <f aca="false">IFERROR(INDEX(PTAX!$C$5:$C$5000,MATCH($B79,PTAX!$B$5:$B$5000,1)),"")</f>
        <v>3.9042</v>
      </c>
      <c r="G79" s="9" t="n">
        <f aca="false">IF(F79="","",E79/F79)</f>
        <v>4542031.65821423</v>
      </c>
    </row>
    <row r="80" customFormat="false" ht="15" hidden="false" customHeight="false" outlineLevel="0" collapsed="false">
      <c r="B80" s="30" t="n">
        <f aca="false">DATE(C80,12,31)</f>
        <v>42735</v>
      </c>
      <c r="C80" s="0" t="n">
        <v>2016</v>
      </c>
      <c r="D80" s="1" t="s">
        <v>26</v>
      </c>
      <c r="E80" s="1" t="n">
        <v>17954000</v>
      </c>
      <c r="F80" s="33" t="n">
        <f aca="false">IFERROR(INDEX(PTAX!$C$5:$C$5000,MATCH($B80,PTAX!$B$5:$B$5000,1)),"")</f>
        <v>3.2585</v>
      </c>
      <c r="G80" s="9" t="n">
        <f aca="false">IF(F80="","",E80/F80)</f>
        <v>5509897.19195949</v>
      </c>
    </row>
    <row r="81" customFormat="false" ht="15" hidden="false" customHeight="false" outlineLevel="0" collapsed="false">
      <c r="B81" s="30" t="n">
        <f aca="false">DATE(C81,12,31)</f>
        <v>43100</v>
      </c>
      <c r="C81" s="0" t="n">
        <v>2017</v>
      </c>
      <c r="D81" s="1" t="s">
        <v>26</v>
      </c>
      <c r="E81" s="1" t="n">
        <v>11862000</v>
      </c>
      <c r="F81" s="33" t="n">
        <f aca="false">IFERROR(INDEX(PTAX!$C$5:$C$5000,MATCH($B81,PTAX!$B$5:$B$5000,1)),"")</f>
        <v>3.3074</v>
      </c>
      <c r="G81" s="9" t="n">
        <f aca="false">IF(F81="","",E81/F81)</f>
        <v>3586502.99328778</v>
      </c>
    </row>
    <row r="82" customFormat="false" ht="15" hidden="false" customHeight="false" outlineLevel="0" collapsed="false">
      <c r="B82" s="30" t="n">
        <f aca="false">DATE(C82,12,31)</f>
        <v>41274</v>
      </c>
      <c r="C82" s="0" t="n">
        <v>2012</v>
      </c>
      <c r="D82" s="1" t="s">
        <v>27</v>
      </c>
      <c r="E82" s="1" t="n">
        <v>1287000</v>
      </c>
      <c r="F82" s="33" t="n">
        <f aca="false">IFERROR(INDEX(PTAX!$C$5:$C$5000,MATCH($B82,PTAX!$B$5:$B$5000,1)),"")</f>
        <v>2.0429</v>
      </c>
      <c r="G82" s="9" t="n">
        <f aca="false">IF(F82="","",E82/F82)</f>
        <v>629986.783494053</v>
      </c>
    </row>
    <row r="83" customFormat="false" ht="15" hidden="false" customHeight="false" outlineLevel="0" collapsed="false">
      <c r="B83" s="30" t="n">
        <f aca="false">DATE(C83,12,31)</f>
        <v>41639</v>
      </c>
      <c r="C83" s="0" t="n">
        <v>2013</v>
      </c>
      <c r="D83" s="1" t="s">
        <v>27</v>
      </c>
      <c r="E83" s="1" t="n">
        <v>1207000</v>
      </c>
      <c r="F83" s="33" t="n">
        <f aca="false">IFERROR(INDEX(PTAX!$C$5:$C$5000,MATCH($B83,PTAX!$B$5:$B$5000,1)),"")</f>
        <v>2.342</v>
      </c>
      <c r="G83" s="9" t="n">
        <f aca="false">IF(F83="","",E83/F83)</f>
        <v>515371.477369769</v>
      </c>
    </row>
    <row r="84" customFormat="false" ht="15" hidden="false" customHeight="false" outlineLevel="0" collapsed="false">
      <c r="B84" s="30" t="n">
        <f aca="false">DATE(C84,12,31)</f>
        <v>41274</v>
      </c>
      <c r="C84" s="0" t="n">
        <v>2012</v>
      </c>
      <c r="D84" s="1" t="s">
        <v>32</v>
      </c>
      <c r="E84" s="1" t="n">
        <v>2533000</v>
      </c>
      <c r="F84" s="33" t="n">
        <f aca="false">IFERROR(INDEX(PTAX!$C$5:$C$5000,MATCH($B84,PTAX!$B$5:$B$5000,1)),"")</f>
        <v>2.0429</v>
      </c>
      <c r="G84" s="9" t="n">
        <f aca="false">IF(F84="","",E84/F84)</f>
        <v>1239904.05795683</v>
      </c>
    </row>
    <row r="85" customFormat="false" ht="15" hidden="false" customHeight="false" outlineLevel="0" collapsed="false">
      <c r="B85" s="30" t="n">
        <f aca="false">DATE(C85,12,31)</f>
        <v>41639</v>
      </c>
      <c r="C85" s="0" t="n">
        <v>2013</v>
      </c>
      <c r="D85" s="1" t="s">
        <v>32</v>
      </c>
      <c r="E85" s="1" t="n">
        <v>1965000</v>
      </c>
      <c r="F85" s="33" t="n">
        <f aca="false">IFERROR(INDEX(PTAX!$C$5:$C$5000,MATCH($B85,PTAX!$B$5:$B$5000,1)),"")</f>
        <v>2.342</v>
      </c>
      <c r="G85" s="9" t="n">
        <f aca="false">IF(F85="","",E85/F85)</f>
        <v>839026.473099915</v>
      </c>
    </row>
    <row r="86" customFormat="false" ht="15" hidden="false" customHeight="false" outlineLevel="0" collapsed="false">
      <c r="B86" s="30" t="n">
        <f aca="false">DATE(C86,12,31)</f>
        <v>42004</v>
      </c>
      <c r="C86" s="0" t="n">
        <v>2014</v>
      </c>
      <c r="D86" s="1" t="s">
        <v>32</v>
      </c>
      <c r="E86" s="1" t="n">
        <v>2688000</v>
      </c>
      <c r="F86" s="33" t="n">
        <f aca="false">IFERROR(INDEX(PTAX!$C$5:$C$5000,MATCH($B86,PTAX!$B$5:$B$5000,1)),"")</f>
        <v>2.6556</v>
      </c>
      <c r="G86" s="9" t="n">
        <f aca="false">IF(F86="","",E86/F86)</f>
        <v>1012200.6326254</v>
      </c>
    </row>
    <row r="87" customFormat="false" ht="15" hidden="false" customHeight="false" outlineLevel="0" collapsed="false">
      <c r="B87" s="30" t="n">
        <f aca="false">DATE(C87,12,31)</f>
        <v>41274</v>
      </c>
      <c r="C87" s="0" t="n">
        <v>2012</v>
      </c>
      <c r="D87" s="1" t="s">
        <v>28</v>
      </c>
      <c r="E87" s="1" t="n">
        <v>2962000</v>
      </c>
      <c r="F87" s="33" t="n">
        <f aca="false">IFERROR(INDEX(PTAX!$C$5:$C$5000,MATCH($B87,PTAX!$B$5:$B$5000,1)),"")</f>
        <v>2.0429</v>
      </c>
      <c r="G87" s="9" t="n">
        <f aca="false">IF(F87="","",E87/F87)</f>
        <v>1449899.65245484</v>
      </c>
    </row>
    <row r="88" customFormat="false" ht="15" hidden="false" customHeight="false" outlineLevel="0" collapsed="false">
      <c r="B88" s="30" t="n">
        <f aca="false">DATE(C88,12,31)</f>
        <v>41639</v>
      </c>
      <c r="C88" s="0" t="n">
        <v>2013</v>
      </c>
      <c r="D88" s="1" t="s">
        <v>28</v>
      </c>
      <c r="E88" s="1" t="n">
        <v>2245000</v>
      </c>
      <c r="F88" s="33" t="n">
        <f aca="false">IFERROR(INDEX(PTAX!$C$5:$C$5000,MATCH($B88,PTAX!$B$5:$B$5000,1)),"")</f>
        <v>2.342</v>
      </c>
      <c r="G88" s="9" t="n">
        <f aca="false">IF(F88="","",E88/F88)</f>
        <v>958582.408198121</v>
      </c>
    </row>
    <row r="89" customFormat="false" ht="15" hidden="false" customHeight="false" outlineLevel="0" collapsed="false">
      <c r="B89" s="30" t="n">
        <f aca="false">DATE(C89,12,31)</f>
        <v>42004</v>
      </c>
      <c r="C89" s="0" t="n">
        <v>2014</v>
      </c>
      <c r="D89" s="1" t="s">
        <v>28</v>
      </c>
      <c r="E89" s="1" t="n">
        <v>657000</v>
      </c>
      <c r="F89" s="33" t="n">
        <f aca="false">IFERROR(INDEX(PTAX!$C$5:$C$5000,MATCH($B89,PTAX!$B$5:$B$5000,1)),"")</f>
        <v>2.6556</v>
      </c>
      <c r="G89" s="9" t="n">
        <f aca="false">IF(F89="","",E89/F89)</f>
        <v>247401.717126073</v>
      </c>
    </row>
    <row r="90" customFormat="false" ht="15" hidden="false" customHeight="false" outlineLevel="0" collapsed="false">
      <c r="B90" s="30" t="n">
        <f aca="false">DATE(C90,12,31)</f>
        <v>42369</v>
      </c>
      <c r="C90" s="0" t="n">
        <v>2015</v>
      </c>
      <c r="D90" s="1" t="s">
        <v>28</v>
      </c>
      <c r="E90" s="1" t="n">
        <v>1217000</v>
      </c>
      <c r="F90" s="33" t="n">
        <f aca="false">IFERROR(INDEX(PTAX!$C$5:$C$5000,MATCH($B90,PTAX!$B$5:$B$5000,1)),"")</f>
        <v>3.9042</v>
      </c>
      <c r="G90" s="9" t="n">
        <f aca="false">IF(F90="","",E90/F90)</f>
        <v>311715.588340761</v>
      </c>
    </row>
    <row r="91" customFormat="false" ht="15" hidden="false" customHeight="false" outlineLevel="0" collapsed="false">
      <c r="B91" s="30" t="n">
        <f aca="false">DATE(C91,12,31)</f>
        <v>42735</v>
      </c>
      <c r="C91" s="0" t="n">
        <v>2016</v>
      </c>
      <c r="D91" s="1" t="s">
        <v>28</v>
      </c>
      <c r="E91" s="1" t="n">
        <v>1136000</v>
      </c>
      <c r="F91" s="33" t="n">
        <f aca="false">IFERROR(INDEX(PTAX!$C$5:$C$5000,MATCH($B91,PTAX!$B$5:$B$5000,1)),"")</f>
        <v>3.2585</v>
      </c>
      <c r="G91" s="9" t="n">
        <f aca="false">IF(F91="","",E91/F91)</f>
        <v>348626.668712598</v>
      </c>
    </row>
    <row r="92" customFormat="false" ht="15" hidden="false" customHeight="false" outlineLevel="0" collapsed="false">
      <c r="B92" s="30" t="n">
        <f aca="false">DATE(C92,12,31)</f>
        <v>43100</v>
      </c>
      <c r="C92" s="0" t="n">
        <v>2017</v>
      </c>
      <c r="D92" s="1" t="s">
        <v>28</v>
      </c>
      <c r="E92" s="1" t="n">
        <v>162000</v>
      </c>
      <c r="F92" s="33" t="n">
        <f aca="false">IFERROR(INDEX(PTAX!$C$5:$C$5000,MATCH($B92,PTAX!$B$5:$B$5000,1)),"")</f>
        <v>3.3074</v>
      </c>
      <c r="G92" s="9" t="n">
        <f aca="false">IF(F92="","",E92/F92)</f>
        <v>48981.0727459636</v>
      </c>
    </row>
    <row r="93" customFormat="false" ht="15" hidden="false" customHeight="false" outlineLevel="0" collapsed="false">
      <c r="B93" s="30" t="n">
        <f aca="false">DATE(C93,12,31)</f>
        <v>41274</v>
      </c>
      <c r="C93" s="0" t="n">
        <v>2012</v>
      </c>
      <c r="D93" s="1" t="s">
        <v>29</v>
      </c>
      <c r="E93" s="1" t="n">
        <v>5276000</v>
      </c>
      <c r="F93" s="33" t="n">
        <f aca="false">IFERROR(INDEX(PTAX!$C$5:$C$5000,MATCH($B93,PTAX!$B$5:$B$5000,1)),"")</f>
        <v>2.0429</v>
      </c>
      <c r="G93" s="9" t="n">
        <f aca="false">IF(F93="","",E93/F93)</f>
        <v>2582603.16217142</v>
      </c>
    </row>
    <row r="94" customFormat="false" ht="15" hidden="false" customHeight="false" outlineLevel="0" collapsed="false">
      <c r="B94" s="30" t="n">
        <f aca="false">DATE(C94,12,31)</f>
        <v>41639</v>
      </c>
      <c r="C94" s="0" t="n">
        <v>2013</v>
      </c>
      <c r="D94" s="1" t="s">
        <v>29</v>
      </c>
      <c r="E94" s="1" t="n">
        <v>4830000</v>
      </c>
      <c r="F94" s="33" t="n">
        <f aca="false">IFERROR(INDEX(PTAX!$C$5:$C$5000,MATCH($B94,PTAX!$B$5:$B$5000,1)),"")</f>
        <v>2.342</v>
      </c>
      <c r="G94" s="9" t="n">
        <f aca="false">IF(F94="","",E94/F94)</f>
        <v>2062339.88044406</v>
      </c>
    </row>
    <row r="95" customFormat="false" ht="15" hidden="false" customHeight="false" outlineLevel="0" collapsed="false">
      <c r="B95" s="30" t="n">
        <f aca="false">DATE(C95,12,31)</f>
        <v>42004</v>
      </c>
      <c r="C95" s="0" t="n">
        <v>2014</v>
      </c>
      <c r="D95" s="1" t="s">
        <v>29</v>
      </c>
      <c r="E95" s="1" t="n">
        <v>5172000</v>
      </c>
      <c r="F95" s="33" t="n">
        <f aca="false">IFERROR(INDEX(PTAX!$C$5:$C$5000,MATCH($B95,PTAX!$B$5:$B$5000,1)),"")</f>
        <v>2.6556</v>
      </c>
      <c r="G95" s="9" t="n">
        <f aca="false">IF(F95="","",E95/F95)</f>
        <v>1947582.46723904</v>
      </c>
    </row>
    <row r="96" customFormat="false" ht="15" hidden="false" customHeight="false" outlineLevel="0" collapsed="false">
      <c r="B96" s="30" t="n">
        <f aca="false">DATE(C96,12,31)</f>
        <v>42369</v>
      </c>
      <c r="C96" s="0" t="n">
        <v>2015</v>
      </c>
      <c r="D96" s="1" t="s">
        <v>29</v>
      </c>
      <c r="E96" s="1" t="n">
        <v>5990000</v>
      </c>
      <c r="F96" s="33" t="n">
        <f aca="false">IFERROR(INDEX(PTAX!$C$5:$C$5000,MATCH($B96,PTAX!$B$5:$B$5000,1)),"")</f>
        <v>3.9042</v>
      </c>
      <c r="G96" s="9" t="n">
        <f aca="false">IF(F96="","",E96/F96)</f>
        <v>1534245.1718662</v>
      </c>
    </row>
    <row r="97" customFormat="false" ht="15" hidden="false" customHeight="false" outlineLevel="0" collapsed="false">
      <c r="B97" s="30" t="n">
        <f aca="false">DATE(C97,12,31)</f>
        <v>42735</v>
      </c>
      <c r="C97" s="0" t="n">
        <v>2016</v>
      </c>
      <c r="D97" s="1" t="s">
        <v>29</v>
      </c>
      <c r="E97" s="1" t="n">
        <v>6274000</v>
      </c>
      <c r="F97" s="33" t="n">
        <f aca="false">IFERROR(INDEX(PTAX!$C$5:$C$5000,MATCH($B97,PTAX!$B$5:$B$5000,1)),"")</f>
        <v>3.2585</v>
      </c>
      <c r="G97" s="9" t="n">
        <f aca="false">IF(F97="","",E97/F97)</f>
        <v>1925425.80942151</v>
      </c>
    </row>
    <row r="98" customFormat="false" ht="15" hidden="false" customHeight="false" outlineLevel="0" collapsed="false">
      <c r="B98" s="30" t="n">
        <f aca="false">DATE(C98,12,31)</f>
        <v>43100</v>
      </c>
      <c r="C98" s="0" t="n">
        <v>2017</v>
      </c>
      <c r="D98" s="1" t="s">
        <v>29</v>
      </c>
      <c r="E98" s="1" t="n">
        <v>5326000</v>
      </c>
      <c r="F98" s="33" t="n">
        <f aca="false">IFERROR(INDEX(PTAX!$C$5:$C$5000,MATCH($B98,PTAX!$B$5:$B$5000,1)),"")</f>
        <v>3.3074</v>
      </c>
      <c r="G98" s="9" t="n">
        <f aca="false">IF(F98="","",E98/F98)</f>
        <v>1610328.35459878</v>
      </c>
    </row>
    <row r="99" customFormat="false" ht="15" hidden="false" customHeight="false" outlineLevel="0" collapsed="false">
      <c r="B99" s="30" t="n">
        <f aca="false">DATE(C99,12,31)</f>
        <v>42004</v>
      </c>
      <c r="C99" s="0" t="n">
        <v>2014</v>
      </c>
      <c r="D99" s="1" t="s">
        <v>25</v>
      </c>
      <c r="E99" s="1" t="n">
        <v>151000</v>
      </c>
      <c r="F99" s="33" t="n">
        <f aca="false">IFERROR(INDEX(PTAX!$C$5:$C$5000,MATCH($B99,PTAX!$B$5:$B$5000,1)),"")</f>
        <v>2.6556</v>
      </c>
      <c r="G99" s="9" t="n">
        <f aca="false">IF(F99="","",E99/F99)</f>
        <v>56860.9730381081</v>
      </c>
    </row>
    <row r="100" customFormat="false" ht="15" hidden="false" customHeight="false" outlineLevel="0" collapsed="false">
      <c r="B100" s="30" t="n">
        <f aca="false">DATE(C100,12,31)</f>
        <v>42369</v>
      </c>
      <c r="C100" s="0" t="n">
        <v>2015</v>
      </c>
      <c r="D100" s="1" t="s">
        <v>25</v>
      </c>
      <c r="E100" s="1" t="n">
        <v>159000</v>
      </c>
      <c r="F100" s="33" t="n">
        <f aca="false">IFERROR(INDEX(PTAX!$C$5:$C$5000,MATCH($B100,PTAX!$B$5:$B$5000,1)),"")</f>
        <v>3.9042</v>
      </c>
      <c r="G100" s="9" t="n">
        <f aca="false">IF(F100="","",E100/F100)</f>
        <v>40725.3726755802</v>
      </c>
    </row>
    <row r="101" customFormat="false" ht="15" hidden="false" customHeight="false" outlineLevel="0" collapsed="false">
      <c r="B101" s="30" t="n">
        <f aca="false">DATE(C101,12,31)</f>
        <v>42735</v>
      </c>
      <c r="C101" s="0" t="n">
        <v>2016</v>
      </c>
      <c r="D101" s="1" t="s">
        <v>25</v>
      </c>
      <c r="E101" s="1" t="n">
        <v>14124000</v>
      </c>
      <c r="F101" s="33" t="n">
        <f aca="false">IFERROR(INDEX(PTAX!$C$5:$C$5000,MATCH($B101,PTAX!$B$5:$B$5000,1)),"")</f>
        <v>3.2585</v>
      </c>
      <c r="G101" s="9" t="n">
        <f aca="false">IF(F101="","",E101/F101)</f>
        <v>4334509.74374712</v>
      </c>
    </row>
    <row r="102" customFormat="false" ht="15" hidden="false" customHeight="false" outlineLevel="0" collapsed="false">
      <c r="B102" s="30" t="n">
        <f aca="false">DATE(C102,12,31)</f>
        <v>43100</v>
      </c>
      <c r="C102" s="0" t="n">
        <v>2017</v>
      </c>
      <c r="D102" s="1" t="s">
        <v>25</v>
      </c>
      <c r="E102" s="1" t="n">
        <v>12614000</v>
      </c>
      <c r="F102" s="33" t="n">
        <f aca="false">IFERROR(INDEX(PTAX!$C$5:$C$5000,MATCH($B102,PTAX!$B$5:$B$5000,1)),"")</f>
        <v>3.3074</v>
      </c>
      <c r="G102" s="9" t="n">
        <f aca="false">IF(F102="","",E102/F102)</f>
        <v>3813871.92356534</v>
      </c>
    </row>
    <row r="103" customFormat="false" ht="15" hidden="false" customHeight="false" outlineLevel="0" collapsed="false">
      <c r="B103" s="30" t="n">
        <f aca="false">DATE(C103,12,31)</f>
        <v>41639</v>
      </c>
      <c r="C103" s="0" t="n">
        <v>2013</v>
      </c>
      <c r="D103" s="1" t="s">
        <v>31</v>
      </c>
      <c r="E103" s="1" t="n">
        <v>2100000</v>
      </c>
      <c r="F103" s="33" t="n">
        <f aca="false">IFERROR(INDEX(PTAX!$C$5:$C$5000,MATCH($B103,PTAX!$B$5:$B$5000,1)),"")</f>
        <v>2.342</v>
      </c>
      <c r="G103" s="9" t="n">
        <f aca="false">IF(F103="","",E103/F103)</f>
        <v>896669.51323655</v>
      </c>
    </row>
    <row r="104" customFormat="false" ht="15" hidden="false" customHeight="false" outlineLevel="0" collapsed="false">
      <c r="B104" s="30" t="n">
        <f aca="false">DATE(C104,12,31)</f>
        <v>42004</v>
      </c>
      <c r="C104" s="0" t="n">
        <v>2014</v>
      </c>
      <c r="D104" s="1" t="s">
        <v>31</v>
      </c>
      <c r="E104" s="1" t="n">
        <v>0</v>
      </c>
      <c r="F104" s="33" t="n">
        <f aca="false">IFERROR(INDEX(PTAX!$C$5:$C$5000,MATCH($B104,PTAX!$B$5:$B$5000,1)),"")</f>
        <v>2.6556</v>
      </c>
      <c r="G104" s="9" t="n">
        <f aca="false">IF(F104="","",E104/F104)</f>
        <v>0</v>
      </c>
    </row>
    <row r="105" customFormat="false" ht="15" hidden="false" customHeight="false" outlineLevel="0" collapsed="false">
      <c r="B105" s="30" t="n">
        <f aca="false">DATE(C105,12,31)</f>
        <v>42369</v>
      </c>
      <c r="C105" s="0" t="n">
        <v>2015</v>
      </c>
      <c r="D105" s="1" t="s">
        <v>31</v>
      </c>
      <c r="E105" s="1" t="n">
        <v>586000</v>
      </c>
      <c r="F105" s="33" t="n">
        <f aca="false">IFERROR(INDEX(PTAX!$C$5:$C$5000,MATCH($B105,PTAX!$B$5:$B$5000,1)),"")</f>
        <v>3.9042</v>
      </c>
      <c r="G105" s="9" t="n">
        <f aca="false">IF(F105="","",E105/F105)</f>
        <v>150094.769735157</v>
      </c>
    </row>
    <row r="106" customFormat="false" ht="15" hidden="false" customHeight="false" outlineLevel="0" collapsed="false">
      <c r="B106" s="30" t="n">
        <f aca="false">DATE(C106,12,31)</f>
        <v>42735</v>
      </c>
      <c r="C106" s="0" t="n">
        <v>2016</v>
      </c>
      <c r="D106" s="1" t="s">
        <v>31</v>
      </c>
      <c r="E106" s="1" t="n">
        <v>1064000</v>
      </c>
      <c r="F106" s="33" t="n">
        <f aca="false">IFERROR(INDEX(PTAX!$C$5:$C$5000,MATCH($B106,PTAX!$B$5:$B$5000,1)),"")</f>
        <v>3.2585</v>
      </c>
      <c r="G106" s="9" t="n">
        <f aca="false">IF(F106="","",E106/F106)</f>
        <v>326530.612244898</v>
      </c>
    </row>
    <row r="107" customFormat="false" ht="15" hidden="false" customHeight="false" outlineLevel="0" collapsed="false">
      <c r="B107" s="30" t="n">
        <f aca="false">DATE(C107,12,31)</f>
        <v>43100</v>
      </c>
      <c r="C107" s="0" t="n">
        <v>2017</v>
      </c>
      <c r="D107" s="1" t="s">
        <v>31</v>
      </c>
      <c r="E107" s="1" t="n">
        <v>1420000</v>
      </c>
      <c r="F107" s="33" t="n">
        <f aca="false">IFERROR(INDEX(PTAX!$C$5:$C$5000,MATCH($B107,PTAX!$B$5:$B$5000,1)),"")</f>
        <v>3.3074</v>
      </c>
      <c r="G107" s="9" t="n">
        <f aca="false">IF(F107="","",E107/F107)</f>
        <v>429340.267279434</v>
      </c>
    </row>
    <row r="108" customFormat="false" ht="15" hidden="false" customHeight="false" outlineLevel="0" collapsed="false">
      <c r="B108" s="30" t="n">
        <f aca="false">DATE(C108,12,31)</f>
        <v>42369</v>
      </c>
      <c r="C108" s="0" t="n">
        <v>2015</v>
      </c>
      <c r="D108" s="1" t="s">
        <v>30</v>
      </c>
      <c r="E108" s="1" t="n">
        <v>0</v>
      </c>
      <c r="F108" s="33" t="n">
        <f aca="false">IFERROR(INDEX(PTAX!$C$5:$C$5000,MATCH($B108,PTAX!$B$5:$B$5000,1)),"")</f>
        <v>3.9042</v>
      </c>
      <c r="G108" s="9" t="n">
        <f aca="false">IF(F108="","",E108/F108)</f>
        <v>0</v>
      </c>
    </row>
    <row r="109" customFormat="false" ht="15" hidden="false" customHeight="false" outlineLevel="0" collapsed="false">
      <c r="B109" s="30" t="n">
        <f aca="false">DATE(C109,12,31)</f>
        <v>42735</v>
      </c>
      <c r="C109" s="0" t="n">
        <v>2016</v>
      </c>
      <c r="D109" s="1" t="s">
        <v>30</v>
      </c>
      <c r="E109" s="1" t="n">
        <v>14708000</v>
      </c>
      <c r="F109" s="33" t="n">
        <f aca="false">IFERROR(INDEX(PTAX!$C$5:$C$5000,MATCH($B109,PTAX!$B$5:$B$5000,1)),"")</f>
        <v>3.2585</v>
      </c>
      <c r="G109" s="9" t="n">
        <f aca="false">IF(F109="","",E109/F109)</f>
        <v>4513733.31287402</v>
      </c>
    </row>
    <row r="110" customFormat="false" ht="15" hidden="false" customHeight="false" outlineLevel="0" collapsed="false">
      <c r="B110" s="30" t="n">
        <f aca="false">DATE(C110,12,31)</f>
        <v>43100</v>
      </c>
      <c r="C110" s="0" t="n">
        <v>2017</v>
      </c>
      <c r="D110" s="1" t="s">
        <v>30</v>
      </c>
      <c r="E110" s="1" t="n">
        <v>12637000</v>
      </c>
      <c r="F110" s="33" t="n">
        <f aca="false">IFERROR(INDEX(PTAX!$C$5:$C$5000,MATCH($B110,PTAX!$B$5:$B$5000,1)),"")</f>
        <v>3.3074</v>
      </c>
      <c r="G110" s="9" t="n">
        <f aca="false">IF(F110="","",E110/F110)</f>
        <v>3820826.02648606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312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6" min="4" style="1" width="14"/>
  </cols>
  <sheetData>
    <row r="2" customFormat="false" ht="15" hidden="false" customHeight="false" outlineLevel="0" collapsed="false">
      <c r="B2" s="4" t="s">
        <v>67</v>
      </c>
      <c r="C2" s="4" t="s">
        <v>12</v>
      </c>
      <c r="D2" s="4" t="s">
        <v>81</v>
      </c>
      <c r="E2" s="4" t="s">
        <v>73</v>
      </c>
      <c r="F2" s="4" t="s">
        <v>82</v>
      </c>
      <c r="H2" s="3" t="s">
        <v>83</v>
      </c>
    </row>
    <row r="3" customFormat="false" ht="15" hidden="false" customHeight="false" outlineLevel="0" collapsed="false">
      <c r="B3" s="35" t="n">
        <v>40445</v>
      </c>
      <c r="C3" s="1" t="s">
        <v>33</v>
      </c>
      <c r="D3" s="31" t="n">
        <v>27160000</v>
      </c>
      <c r="E3" s="33" t="n">
        <f aca="false">IFERROR(INDEX(PTAX!$C$5:$C$5000,MATCH($B3,PTAX!$B$5:$B$5000,1)),"")</f>
        <v>1.7112</v>
      </c>
      <c r="F3" s="9" t="n">
        <f aca="false">IF(OR($B3="",E3=""),"",D3/E3)</f>
        <v>15871902.7582983</v>
      </c>
    </row>
    <row r="4" customFormat="false" ht="15" hidden="false" customHeight="false" outlineLevel="0" collapsed="false">
      <c r="B4" s="35"/>
      <c r="D4" s="31"/>
      <c r="E4" s="33" t="str">
        <f aca="false">IFERROR(INDEX(PTAX!$C$5:$C$5000,MATCH($B4,PTAX!$B$5:$B$5000,1)),"")</f>
        <v/>
      </c>
      <c r="F4" s="9" t="str">
        <f aca="false">IF(OR($B4="",E4=""),"",D4/E4)</f>
        <v/>
      </c>
    </row>
    <row r="5" customFormat="false" ht="15" hidden="false" customHeight="false" outlineLevel="0" collapsed="false">
      <c r="B5" s="35"/>
      <c r="D5" s="31"/>
      <c r="E5" s="33" t="str">
        <f aca="false">IFERROR(INDEX(PTAX!$C$5:$C$5000,MATCH($B5,PTAX!$B$5:$B$5000,1)),"")</f>
        <v/>
      </c>
      <c r="F5" s="9" t="str">
        <f aca="false">IF(OR($B5="",E5=""),"",D5/E5)</f>
        <v/>
      </c>
    </row>
    <row r="6" customFormat="false" ht="15" hidden="false" customHeight="false" outlineLevel="0" collapsed="false">
      <c r="B6" s="35"/>
      <c r="D6" s="31"/>
      <c r="E6" s="33" t="str">
        <f aca="false">IFERROR(INDEX(PTAX!$C$5:$C$5000,MATCH($B6,PTAX!$B$5:$B$5000,1)),"")</f>
        <v/>
      </c>
      <c r="F6" s="9" t="str">
        <f aca="false">IF(OR($B6="",E6=""),"",D6/E6)</f>
        <v/>
      </c>
    </row>
    <row r="7" customFormat="false" ht="15" hidden="false" customHeight="false" outlineLevel="0" collapsed="false">
      <c r="B7" s="35"/>
      <c r="D7" s="31"/>
      <c r="E7" s="33" t="str">
        <f aca="false">IFERROR(INDEX(PTAX!$C$5:$C$5000,MATCH($B7,PTAX!$B$5:$B$5000,1)),"")</f>
        <v/>
      </c>
      <c r="F7" s="9" t="str">
        <f aca="false">IF(OR($B7="",E7=""),"",D7/E7)</f>
        <v/>
      </c>
    </row>
    <row r="8" customFormat="false" ht="15" hidden="false" customHeight="false" outlineLevel="0" collapsed="false">
      <c r="B8" s="35"/>
      <c r="D8" s="31"/>
      <c r="E8" s="33" t="str">
        <f aca="false">IFERROR(INDEX(PTAX!$C$5:$C$5000,MATCH($B8,PTAX!$B$5:$B$5000,1)),"")</f>
        <v/>
      </c>
      <c r="F8" s="9" t="str">
        <f aca="false">IF(OR($B8="",E8=""),"",D8/E8)</f>
        <v/>
      </c>
    </row>
    <row r="9" customFormat="false" ht="15" hidden="false" customHeight="false" outlineLevel="0" collapsed="false">
      <c r="B9" s="35"/>
      <c r="D9" s="31"/>
      <c r="E9" s="33" t="str">
        <f aca="false">IFERROR(INDEX(PTAX!$C$5:$C$5000,MATCH($B9,PTAX!$B$5:$B$5000,1)),"")</f>
        <v/>
      </c>
      <c r="F9" s="9" t="str">
        <f aca="false">IF(OR($B9="",E9=""),"",D9/E9)</f>
        <v/>
      </c>
    </row>
    <row r="10" customFormat="false" ht="15" hidden="false" customHeight="false" outlineLevel="0" collapsed="false">
      <c r="B10" s="35"/>
      <c r="D10" s="31"/>
      <c r="E10" s="33" t="str">
        <f aca="false">IFERROR(INDEX(PTAX!$C$5:$C$5000,MATCH($B10,PTAX!$B$5:$B$5000,1)),"")</f>
        <v/>
      </c>
      <c r="F10" s="9" t="str">
        <f aca="false">IF(OR($B10="",E10=""),"",D10/E10)</f>
        <v/>
      </c>
    </row>
    <row r="11" customFormat="false" ht="15" hidden="false" customHeight="false" outlineLevel="0" collapsed="false">
      <c r="B11" s="35"/>
      <c r="D11" s="31"/>
      <c r="E11" s="33" t="str">
        <f aca="false">IFERROR(INDEX(PTAX!$C$5:$C$5000,MATCH($B11,PTAX!$B$5:$B$5000,1)),"")</f>
        <v/>
      </c>
      <c r="F11" s="9" t="str">
        <f aca="false">IF(OR($B11="",E11=""),"",D11/E11)</f>
        <v/>
      </c>
    </row>
    <row r="12" customFormat="false" ht="15" hidden="false" customHeight="false" outlineLevel="0" collapsed="false">
      <c r="B12" s="35"/>
      <c r="D12" s="31"/>
      <c r="E12" s="33" t="str">
        <f aca="false">IFERROR(INDEX(PTAX!$C$5:$C$5000,MATCH($B12,PTAX!$B$5:$B$5000,1)),"")</f>
        <v/>
      </c>
      <c r="F12" s="9" t="str">
        <f aca="false">IF(OR($B12="",E12=""),"",D12/E12)</f>
        <v/>
      </c>
    </row>
    <row r="13" customFormat="false" ht="15" hidden="false" customHeight="false" outlineLevel="0" collapsed="false">
      <c r="B13" s="35"/>
      <c r="D13" s="31"/>
      <c r="E13" s="33" t="str">
        <f aca="false">IFERROR(INDEX(PTAX!$C$5:$C$5000,MATCH($B13,PTAX!$B$5:$B$5000,1)),"")</f>
        <v/>
      </c>
      <c r="F13" s="9" t="str">
        <f aca="false">IF(OR($B13="",E13=""),"",D13/E13)</f>
        <v/>
      </c>
    </row>
    <row r="14" customFormat="false" ht="15" hidden="false" customHeight="false" outlineLevel="0" collapsed="false">
      <c r="B14" s="35"/>
      <c r="D14" s="31"/>
      <c r="E14" s="33" t="str">
        <f aca="false">IFERROR(INDEX(PTAX!$C$5:$C$5000,MATCH($B14,PTAX!$B$5:$B$5000,1)),"")</f>
        <v/>
      </c>
      <c r="F14" s="9" t="str">
        <f aca="false">IF(OR($B14="",E14=""),"",D14/E14)</f>
        <v/>
      </c>
    </row>
    <row r="15" customFormat="false" ht="15" hidden="false" customHeight="false" outlineLevel="0" collapsed="false">
      <c r="B15" s="35"/>
      <c r="D15" s="31"/>
      <c r="E15" s="33" t="str">
        <f aca="false">IFERROR(INDEX(PTAX!$C$5:$C$5000,MATCH($B15,PTAX!$B$5:$B$5000,1)),"")</f>
        <v/>
      </c>
      <c r="F15" s="9" t="str">
        <f aca="false">IF(OR($B15="",E15=""),"",D15/E15)</f>
        <v/>
      </c>
    </row>
    <row r="16" customFormat="false" ht="15" hidden="false" customHeight="false" outlineLevel="0" collapsed="false">
      <c r="B16" s="35"/>
      <c r="D16" s="31"/>
      <c r="E16" s="33" t="str">
        <f aca="false">IFERROR(INDEX(PTAX!$C$5:$C$5000,MATCH($B16,PTAX!$B$5:$B$5000,1)),"")</f>
        <v/>
      </c>
      <c r="F16" s="9" t="str">
        <f aca="false">IF(OR($B16="",E16=""),"",D16/E16)</f>
        <v/>
      </c>
    </row>
    <row r="17" customFormat="false" ht="15" hidden="false" customHeight="false" outlineLevel="0" collapsed="false">
      <c r="B17" s="35"/>
      <c r="D17" s="31"/>
      <c r="E17" s="33" t="str">
        <f aca="false">IFERROR(INDEX(PTAX!$C$5:$C$5000,MATCH($B17,PTAX!$B$5:$B$5000,1)),"")</f>
        <v/>
      </c>
      <c r="F17" s="9" t="str">
        <f aca="false">IF(OR($B17="",E17=""),"",D17/E17)</f>
        <v/>
      </c>
    </row>
    <row r="18" customFormat="false" ht="15" hidden="false" customHeight="false" outlineLevel="0" collapsed="false">
      <c r="B18" s="35"/>
      <c r="D18" s="31"/>
      <c r="E18" s="33" t="str">
        <f aca="false">IFERROR(INDEX(PTAX!$C$5:$C$5000,MATCH($B18,PTAX!$B$5:$B$5000,1)),"")</f>
        <v/>
      </c>
      <c r="F18" s="9" t="str">
        <f aca="false">IF(OR($B18="",E18=""),"",D18/E18)</f>
        <v/>
      </c>
    </row>
    <row r="19" customFormat="false" ht="15" hidden="false" customHeight="false" outlineLevel="0" collapsed="false">
      <c r="B19" s="35"/>
      <c r="D19" s="31"/>
      <c r="E19" s="33" t="str">
        <f aca="false">IFERROR(INDEX(PTAX!$C$5:$C$5000,MATCH($B19,PTAX!$B$5:$B$5000,1)),"")</f>
        <v/>
      </c>
      <c r="F19" s="9" t="str">
        <f aca="false">IF(OR($B19="",E19=""),"",D19/E19)</f>
        <v/>
      </c>
    </row>
    <row r="20" customFormat="false" ht="15" hidden="false" customHeight="false" outlineLevel="0" collapsed="false">
      <c r="B20" s="35"/>
      <c r="D20" s="31"/>
      <c r="E20" s="33" t="str">
        <f aca="false">IFERROR(INDEX(PTAX!$C$5:$C$5000,MATCH($B20,PTAX!$B$5:$B$5000,1)),"")</f>
        <v/>
      </c>
      <c r="F20" s="9" t="str">
        <f aca="false">IF(OR($B20="",E20=""),"",D20/E20)</f>
        <v/>
      </c>
    </row>
    <row r="21" customFormat="false" ht="15" hidden="false" customHeight="false" outlineLevel="0" collapsed="false">
      <c r="B21" s="35"/>
      <c r="D21" s="31"/>
      <c r="E21" s="33" t="str">
        <f aca="false">IFERROR(INDEX(PTAX!$C$5:$C$5000,MATCH($B21,PTAX!$B$5:$B$5000,1)),"")</f>
        <v/>
      </c>
      <c r="F21" s="9" t="str">
        <f aca="false">IF(OR($B21="",E21=""),"",D21/E21)</f>
        <v/>
      </c>
    </row>
    <row r="22" customFormat="false" ht="15" hidden="false" customHeight="false" outlineLevel="0" collapsed="false">
      <c r="B22" s="35"/>
      <c r="D22" s="31"/>
      <c r="E22" s="33" t="str">
        <f aca="false">IFERROR(INDEX(PTAX!$C$5:$C$5000,MATCH($B22,PTAX!$B$5:$B$5000,1)),"")</f>
        <v/>
      </c>
      <c r="F22" s="9" t="str">
        <f aca="false">IF(OR($B22="",E22=""),"",D22/E22)</f>
        <v/>
      </c>
    </row>
    <row r="23" customFormat="false" ht="15" hidden="false" customHeight="false" outlineLevel="0" collapsed="false">
      <c r="B23" s="35"/>
      <c r="D23" s="31"/>
      <c r="E23" s="33" t="str">
        <f aca="false">IFERROR(INDEX(PTAX!$C$5:$C$5000,MATCH($B23,PTAX!$B$5:$B$5000,1)),"")</f>
        <v/>
      </c>
      <c r="F23" s="9" t="str">
        <f aca="false">IF(OR($B23="",E23=""),"",D23/E23)</f>
        <v/>
      </c>
    </row>
    <row r="24" customFormat="false" ht="15" hidden="false" customHeight="false" outlineLevel="0" collapsed="false">
      <c r="B24" s="35"/>
      <c r="D24" s="31"/>
      <c r="E24" s="33" t="str">
        <f aca="false">IFERROR(INDEX(PTAX!$C$5:$C$5000,MATCH($B24,PTAX!$B$5:$B$5000,1)),"")</f>
        <v/>
      </c>
      <c r="F24" s="9" t="str">
        <f aca="false">IF(OR($B24="",E24=""),"",D24/E24)</f>
        <v/>
      </c>
    </row>
    <row r="25" customFormat="false" ht="15" hidden="false" customHeight="false" outlineLevel="0" collapsed="false">
      <c r="B25" s="35"/>
      <c r="D25" s="31"/>
      <c r="E25" s="33" t="str">
        <f aca="false">IFERROR(INDEX(PTAX!$C$5:$C$5000,MATCH($B25,PTAX!$B$5:$B$5000,1)),"")</f>
        <v/>
      </c>
      <c r="F25" s="9" t="str">
        <f aca="false">IF(OR($B25="",E25=""),"",D25/E25)</f>
        <v/>
      </c>
    </row>
    <row r="26" customFormat="false" ht="15" hidden="false" customHeight="false" outlineLevel="0" collapsed="false">
      <c r="B26" s="35"/>
      <c r="D26" s="31"/>
      <c r="E26" s="33" t="str">
        <f aca="false">IFERROR(INDEX(PTAX!$C$5:$C$5000,MATCH($B26,PTAX!$B$5:$B$5000,1)),"")</f>
        <v/>
      </c>
      <c r="F26" s="9" t="str">
        <f aca="false">IF(OR($B26="",E26=""),"",D26/E26)</f>
        <v/>
      </c>
    </row>
    <row r="27" customFormat="false" ht="15" hidden="false" customHeight="false" outlineLevel="0" collapsed="false">
      <c r="B27" s="35"/>
      <c r="D27" s="31"/>
      <c r="E27" s="33" t="str">
        <f aca="false">IFERROR(INDEX(PTAX!$C$5:$C$5000,MATCH($B27,PTAX!$B$5:$B$5000,1)),"")</f>
        <v/>
      </c>
      <c r="F27" s="9" t="str">
        <f aca="false">IF(OR($B27="",E27=""),"",D27/E27)</f>
        <v/>
      </c>
    </row>
    <row r="28" customFormat="false" ht="15" hidden="false" customHeight="false" outlineLevel="0" collapsed="false">
      <c r="B28" s="35"/>
      <c r="D28" s="31"/>
      <c r="E28" s="33" t="str">
        <f aca="false">IFERROR(INDEX(PTAX!$C$5:$C$5000,MATCH($B28,PTAX!$B$5:$B$5000,1)),"")</f>
        <v/>
      </c>
      <c r="F28" s="9" t="str">
        <f aca="false">IF(OR($B28="",E28=""),"",D28/E28)</f>
        <v/>
      </c>
    </row>
    <row r="29" customFormat="false" ht="15" hidden="false" customHeight="false" outlineLevel="0" collapsed="false">
      <c r="B29" s="35"/>
      <c r="D29" s="31"/>
      <c r="E29" s="33" t="str">
        <f aca="false">IFERROR(INDEX(PTAX!$C$5:$C$5000,MATCH($B29,PTAX!$B$5:$B$5000,1)),"")</f>
        <v/>
      </c>
      <c r="F29" s="9" t="str">
        <f aca="false">IF(OR($B29="",E29=""),"",D29/E29)</f>
        <v/>
      </c>
    </row>
    <row r="30" customFormat="false" ht="15" hidden="false" customHeight="false" outlineLevel="0" collapsed="false">
      <c r="B30" s="35"/>
      <c r="D30" s="31"/>
      <c r="E30" s="33" t="str">
        <f aca="false">IFERROR(INDEX(PTAX!$C$5:$C$5000,MATCH($B30,PTAX!$B$5:$B$5000,1)),"")</f>
        <v/>
      </c>
      <c r="F30" s="9" t="str">
        <f aca="false">IF(OR($B30="",E30=""),"",D30/E30)</f>
        <v/>
      </c>
    </row>
    <row r="31" customFormat="false" ht="15" hidden="false" customHeight="false" outlineLevel="0" collapsed="false">
      <c r="B31" s="35"/>
      <c r="D31" s="31"/>
      <c r="E31" s="33" t="str">
        <f aca="false">IFERROR(INDEX(PTAX!$C$5:$C$5000,MATCH($B31,PTAX!$B$5:$B$5000,1)),"")</f>
        <v/>
      </c>
      <c r="F31" s="9" t="str">
        <f aca="false">IF(OR($B31="",E31=""),"",D31/E31)</f>
        <v/>
      </c>
    </row>
    <row r="32" customFormat="false" ht="15" hidden="false" customHeight="false" outlineLevel="0" collapsed="false">
      <c r="B32" s="35"/>
      <c r="D32" s="31"/>
      <c r="E32" s="33" t="str">
        <f aca="false">IFERROR(INDEX(PTAX!$C$5:$C$5000,MATCH($B32,PTAX!$B$5:$B$5000,1)),"")</f>
        <v/>
      </c>
      <c r="F32" s="9" t="str">
        <f aca="false">IF(OR($B32="",E32=""),"",D32/E32)</f>
        <v/>
      </c>
    </row>
    <row r="33" customFormat="false" ht="15" hidden="false" customHeight="false" outlineLevel="0" collapsed="false">
      <c r="B33" s="35"/>
      <c r="D33" s="31"/>
      <c r="E33" s="33" t="str">
        <f aca="false">IFERROR(INDEX(PTAX!$C$5:$C$5000,MATCH($B33,PTAX!$B$5:$B$5000,1)),"")</f>
        <v/>
      </c>
      <c r="F33" s="9" t="str">
        <f aca="false">IF(OR($B33="",E33=""),"",D33/E33)</f>
        <v/>
      </c>
    </row>
    <row r="34" customFormat="false" ht="15" hidden="false" customHeight="false" outlineLevel="0" collapsed="false">
      <c r="B34" s="35"/>
      <c r="D34" s="31"/>
      <c r="E34" s="33" t="str">
        <f aca="false">IFERROR(INDEX(PTAX!$C$5:$C$5000,MATCH($B34,PTAX!$B$5:$B$5000,1)),"")</f>
        <v/>
      </c>
      <c r="F34" s="9" t="str">
        <f aca="false">IF(OR($B34="",E34=""),"",D34/E34)</f>
        <v/>
      </c>
    </row>
    <row r="35" customFormat="false" ht="15" hidden="false" customHeight="false" outlineLevel="0" collapsed="false">
      <c r="B35" s="35"/>
      <c r="D35" s="31"/>
      <c r="E35" s="33" t="str">
        <f aca="false">IFERROR(INDEX(PTAX!$C$5:$C$5000,MATCH($B35,PTAX!$B$5:$B$5000,1)),"")</f>
        <v/>
      </c>
      <c r="F35" s="9" t="str">
        <f aca="false">IF(OR($B35="",E35=""),"",D35/E35)</f>
        <v/>
      </c>
    </row>
    <row r="36" customFormat="false" ht="15" hidden="false" customHeight="false" outlineLevel="0" collapsed="false">
      <c r="B36" s="35"/>
      <c r="D36" s="31"/>
      <c r="E36" s="33" t="str">
        <f aca="false">IFERROR(INDEX(PTAX!$C$5:$C$5000,MATCH($B36,PTAX!$B$5:$B$5000,1)),"")</f>
        <v/>
      </c>
      <c r="F36" s="9" t="str">
        <f aca="false">IF(OR($B36="",E36=""),"",D36/E36)</f>
        <v/>
      </c>
    </row>
    <row r="37" customFormat="false" ht="15" hidden="false" customHeight="false" outlineLevel="0" collapsed="false">
      <c r="B37" s="35"/>
      <c r="D37" s="31"/>
      <c r="E37" s="33" t="str">
        <f aca="false">IFERROR(INDEX(PTAX!$C$5:$C$5000,MATCH($B37,PTAX!$B$5:$B$5000,1)),"")</f>
        <v/>
      </c>
      <c r="F37" s="9" t="str">
        <f aca="false">IF(OR($B37="",E37=""),"",D37/E37)</f>
        <v/>
      </c>
    </row>
    <row r="38" customFormat="false" ht="15" hidden="false" customHeight="false" outlineLevel="0" collapsed="false">
      <c r="B38" s="35"/>
      <c r="D38" s="31"/>
      <c r="E38" s="33" t="str">
        <f aca="false">IFERROR(INDEX(PTAX!$C$5:$C$5000,MATCH($B38,PTAX!$B$5:$B$5000,1)),"")</f>
        <v/>
      </c>
      <c r="F38" s="9" t="str">
        <f aca="false">IF(OR($B38="",E38=""),"",D38/E38)</f>
        <v/>
      </c>
    </row>
    <row r="39" customFormat="false" ht="15" hidden="false" customHeight="false" outlineLevel="0" collapsed="false">
      <c r="B39" s="35"/>
      <c r="D39" s="31"/>
      <c r="E39" s="33" t="str">
        <f aca="false">IFERROR(INDEX(PTAX!$C$5:$C$5000,MATCH($B39,PTAX!$B$5:$B$5000,1)),"")</f>
        <v/>
      </c>
      <c r="F39" s="9" t="str">
        <f aca="false">IF(OR($B39="",E39=""),"",D39/E39)</f>
        <v/>
      </c>
    </row>
    <row r="40" customFormat="false" ht="15" hidden="false" customHeight="false" outlineLevel="0" collapsed="false">
      <c r="B40" s="35"/>
      <c r="D40" s="31"/>
      <c r="E40" s="33" t="str">
        <f aca="false">IFERROR(INDEX(PTAX!$C$5:$C$5000,MATCH($B40,PTAX!$B$5:$B$5000,1)),"")</f>
        <v/>
      </c>
      <c r="F40" s="9" t="str">
        <f aca="false">IF(OR($B40="",E40=""),"",D40/E40)</f>
        <v/>
      </c>
    </row>
    <row r="41" customFormat="false" ht="15" hidden="false" customHeight="false" outlineLevel="0" collapsed="false">
      <c r="B41" s="35"/>
      <c r="D41" s="31"/>
      <c r="E41" s="33" t="str">
        <f aca="false">IFERROR(INDEX(PTAX!$C$5:$C$5000,MATCH($B41,PTAX!$B$5:$B$5000,1)),"")</f>
        <v/>
      </c>
      <c r="F41" s="9" t="str">
        <f aca="false">IF(OR($B41="",E41=""),"",D41/E41)</f>
        <v/>
      </c>
    </row>
    <row r="42" customFormat="false" ht="15" hidden="false" customHeight="false" outlineLevel="0" collapsed="false">
      <c r="B42" s="35"/>
      <c r="D42" s="31"/>
      <c r="E42" s="33" t="str">
        <f aca="false">IFERROR(INDEX(PTAX!$C$5:$C$5000,MATCH($B42,PTAX!$B$5:$B$5000,1)),"")</f>
        <v/>
      </c>
      <c r="F42" s="9" t="str">
        <f aca="false">IF(OR($B42="",E42=""),"",D42/E42)</f>
        <v/>
      </c>
    </row>
    <row r="43" customFormat="false" ht="15" hidden="false" customHeight="false" outlineLevel="0" collapsed="false">
      <c r="B43" s="35"/>
      <c r="D43" s="31"/>
      <c r="E43" s="33" t="str">
        <f aca="false">IFERROR(INDEX(PTAX!$C$5:$C$5000,MATCH($B43,PTAX!$B$5:$B$5000,1)),"")</f>
        <v/>
      </c>
      <c r="F43" s="9" t="str">
        <f aca="false">IF(OR($B43="",E43=""),"",D43/E43)</f>
        <v/>
      </c>
    </row>
    <row r="44" customFormat="false" ht="15" hidden="false" customHeight="false" outlineLevel="0" collapsed="false">
      <c r="B44" s="35"/>
      <c r="D44" s="31"/>
      <c r="E44" s="33" t="str">
        <f aca="false">IFERROR(INDEX(PTAX!$C$5:$C$5000,MATCH($B44,PTAX!$B$5:$B$5000,1)),"")</f>
        <v/>
      </c>
      <c r="F44" s="9" t="str">
        <f aca="false">IF(OR($B44="",E44=""),"",D44/E44)</f>
        <v/>
      </c>
    </row>
    <row r="45" customFormat="false" ht="15" hidden="false" customHeight="false" outlineLevel="0" collapsed="false">
      <c r="B45" s="35"/>
      <c r="D45" s="31"/>
      <c r="E45" s="33" t="str">
        <f aca="false">IFERROR(INDEX(PTAX!$C$5:$C$5000,MATCH($B45,PTAX!$B$5:$B$5000,1)),"")</f>
        <v/>
      </c>
      <c r="F45" s="9" t="str">
        <f aca="false">IF(OR($B45="",E45=""),"",D45/E45)</f>
        <v/>
      </c>
    </row>
    <row r="46" customFormat="false" ht="15" hidden="false" customHeight="false" outlineLevel="0" collapsed="false">
      <c r="B46" s="35"/>
      <c r="D46" s="31"/>
      <c r="E46" s="33" t="str">
        <f aca="false">IFERROR(INDEX(PTAX!$C$5:$C$5000,MATCH($B46,PTAX!$B$5:$B$5000,1)),"")</f>
        <v/>
      </c>
      <c r="F46" s="9" t="str">
        <f aca="false">IF(OR($B46="",E46=""),"",D46/E46)</f>
        <v/>
      </c>
    </row>
    <row r="47" customFormat="false" ht="15" hidden="false" customHeight="false" outlineLevel="0" collapsed="false">
      <c r="B47" s="35"/>
      <c r="D47" s="31"/>
      <c r="E47" s="33" t="str">
        <f aca="false">IFERROR(INDEX(PTAX!$C$5:$C$5000,MATCH($B47,PTAX!$B$5:$B$5000,1)),"")</f>
        <v/>
      </c>
      <c r="F47" s="9" t="str">
        <f aca="false">IF(OR($B47="",E47=""),"",D47/E47)</f>
        <v/>
      </c>
    </row>
    <row r="48" customFormat="false" ht="15" hidden="false" customHeight="false" outlineLevel="0" collapsed="false">
      <c r="B48" s="35"/>
      <c r="D48" s="31"/>
      <c r="E48" s="33" t="str">
        <f aca="false">IFERROR(INDEX(PTAX!$C$5:$C$5000,MATCH($B48,PTAX!$B$5:$B$5000,1)),"")</f>
        <v/>
      </c>
      <c r="F48" s="9" t="str">
        <f aca="false">IF(OR($B48="",E48=""),"",D48/E48)</f>
        <v/>
      </c>
    </row>
    <row r="49" customFormat="false" ht="15" hidden="false" customHeight="false" outlineLevel="0" collapsed="false">
      <c r="B49" s="35"/>
      <c r="D49" s="31"/>
      <c r="E49" s="33" t="str">
        <f aca="false">IFERROR(INDEX(PTAX!$C$5:$C$5000,MATCH($B49,PTAX!$B$5:$B$5000,1)),"")</f>
        <v/>
      </c>
      <c r="F49" s="9" t="str">
        <f aca="false">IF(OR($B49="",E49=""),"",D49/E49)</f>
        <v/>
      </c>
    </row>
    <row r="50" customFormat="false" ht="15" hidden="false" customHeight="false" outlineLevel="0" collapsed="false">
      <c r="B50" s="35"/>
      <c r="D50" s="31"/>
      <c r="E50" s="33" t="str">
        <f aca="false">IFERROR(INDEX(PTAX!$C$5:$C$5000,MATCH($B50,PTAX!$B$5:$B$5000,1)),"")</f>
        <v/>
      </c>
      <c r="F50" s="9" t="str">
        <f aca="false">IF(OR($B50="",E50=""),"",D50/E50)</f>
        <v/>
      </c>
    </row>
    <row r="51" customFormat="false" ht="15" hidden="false" customHeight="false" outlineLevel="0" collapsed="false">
      <c r="B51" s="35"/>
      <c r="D51" s="31"/>
      <c r="E51" s="33" t="str">
        <f aca="false">IFERROR(INDEX(PTAX!$C$5:$C$5000,MATCH($B51,PTAX!$B$5:$B$5000,1)),"")</f>
        <v/>
      </c>
      <c r="F51" s="9" t="str">
        <f aca="false">IF(OR($B51="",E51=""),"",D51/E51)</f>
        <v/>
      </c>
    </row>
    <row r="52" customFormat="false" ht="15" hidden="false" customHeight="false" outlineLevel="0" collapsed="false">
      <c r="B52" s="35"/>
      <c r="D52" s="31"/>
      <c r="E52" s="33" t="str">
        <f aca="false">IFERROR(INDEX(PTAX!$C$5:$C$5000,MATCH($B52,PTAX!$B$5:$B$5000,1)),"")</f>
        <v/>
      </c>
      <c r="F52" s="9" t="str">
        <f aca="false">IF(OR($B52="",E52=""),"",D52/E52)</f>
        <v/>
      </c>
    </row>
    <row r="53" customFormat="false" ht="15" hidden="false" customHeight="false" outlineLevel="0" collapsed="false">
      <c r="B53" s="35"/>
      <c r="D53" s="31"/>
      <c r="E53" s="33" t="str">
        <f aca="false">IFERROR(INDEX(PTAX!$C$5:$C$5000,MATCH($B53,PTAX!$B$5:$B$5000,1)),"")</f>
        <v/>
      </c>
      <c r="F53" s="9" t="str">
        <f aca="false">IF(OR($B53="",E53=""),"",D53/E53)</f>
        <v/>
      </c>
    </row>
    <row r="54" customFormat="false" ht="15" hidden="false" customHeight="false" outlineLevel="0" collapsed="false">
      <c r="B54" s="35"/>
      <c r="D54" s="31"/>
      <c r="E54" s="33" t="str">
        <f aca="false">IFERROR(INDEX(PTAX!$C$5:$C$5000,MATCH($B54,PTAX!$B$5:$B$5000,1)),"")</f>
        <v/>
      </c>
      <c r="F54" s="9" t="str">
        <f aca="false">IF(OR($B54="",E54=""),"",D54/E54)</f>
        <v/>
      </c>
    </row>
    <row r="55" customFormat="false" ht="15" hidden="false" customHeight="false" outlineLevel="0" collapsed="false">
      <c r="B55" s="35"/>
      <c r="D55" s="31"/>
      <c r="E55" s="33" t="str">
        <f aca="false">IFERROR(INDEX(PTAX!$C$5:$C$5000,MATCH($B55,PTAX!$B$5:$B$5000,1)),"")</f>
        <v/>
      </c>
      <c r="F55" s="9" t="str">
        <f aca="false">IF(OR($B55="",E55=""),"",D55/E55)</f>
        <v/>
      </c>
    </row>
    <row r="56" customFormat="false" ht="15" hidden="false" customHeight="false" outlineLevel="0" collapsed="false">
      <c r="B56" s="35"/>
      <c r="D56" s="31"/>
      <c r="E56" s="33" t="str">
        <f aca="false">IFERROR(INDEX(PTAX!$C$5:$C$5000,MATCH($B56,PTAX!$B$5:$B$5000,1)),"")</f>
        <v/>
      </c>
      <c r="F56" s="9" t="str">
        <f aca="false">IF(OR($B56="",E56=""),"",D56/E56)</f>
        <v/>
      </c>
    </row>
    <row r="57" customFormat="false" ht="15" hidden="false" customHeight="false" outlineLevel="0" collapsed="false">
      <c r="B57" s="35"/>
      <c r="D57" s="31"/>
      <c r="E57" s="33" t="str">
        <f aca="false">IFERROR(INDEX(PTAX!$C$5:$C$5000,MATCH($B57,PTAX!$B$5:$B$5000,1)),"")</f>
        <v/>
      </c>
      <c r="F57" s="9" t="str">
        <f aca="false">IF(OR($B57="",E57=""),"",D57/E57)</f>
        <v/>
      </c>
    </row>
    <row r="58" customFormat="false" ht="15" hidden="false" customHeight="false" outlineLevel="0" collapsed="false">
      <c r="B58" s="35"/>
      <c r="D58" s="31"/>
      <c r="E58" s="33" t="str">
        <f aca="false">IFERROR(INDEX(PTAX!$C$5:$C$5000,MATCH($B58,PTAX!$B$5:$B$5000,1)),"")</f>
        <v/>
      </c>
      <c r="F58" s="9" t="str">
        <f aca="false">IF(OR($B58="",E58=""),"",D58/E58)</f>
        <v/>
      </c>
    </row>
    <row r="59" customFormat="false" ht="15" hidden="false" customHeight="false" outlineLevel="0" collapsed="false">
      <c r="B59" s="35"/>
      <c r="D59" s="31"/>
      <c r="E59" s="33" t="str">
        <f aca="false">IFERROR(INDEX(PTAX!$C$5:$C$5000,MATCH($B59,PTAX!$B$5:$B$5000,1)),"")</f>
        <v/>
      </c>
      <c r="F59" s="9" t="str">
        <f aca="false">IF(OR($B59="",E59=""),"",D59/E59)</f>
        <v/>
      </c>
    </row>
    <row r="60" customFormat="false" ht="15" hidden="false" customHeight="false" outlineLevel="0" collapsed="false">
      <c r="B60" s="35"/>
      <c r="D60" s="31"/>
      <c r="E60" s="33" t="str">
        <f aca="false">IFERROR(INDEX(PTAX!$C$5:$C$5000,MATCH($B60,PTAX!$B$5:$B$5000,1)),"")</f>
        <v/>
      </c>
      <c r="F60" s="9" t="str">
        <f aca="false">IF(OR($B60="",E60=""),"",D60/E60)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6" min="4" style="1" width="14"/>
  </cols>
  <sheetData>
    <row r="2" customFormat="false" ht="15" hidden="false" customHeight="false" outlineLevel="0" collapsed="false">
      <c r="B2" s="4" t="s">
        <v>67</v>
      </c>
      <c r="C2" s="4" t="s">
        <v>12</v>
      </c>
      <c r="D2" s="4" t="s">
        <v>81</v>
      </c>
      <c r="E2" s="4" t="s">
        <v>73</v>
      </c>
      <c r="F2" s="4" t="s">
        <v>82</v>
      </c>
      <c r="H2" s="3" t="s">
        <v>84</v>
      </c>
    </row>
    <row r="3" customFormat="false" ht="15" hidden="false" customHeight="false" outlineLevel="0" collapsed="false">
      <c r="B3" s="35"/>
      <c r="D3" s="31"/>
      <c r="E3" s="33" t="str">
        <f aca="false">IFERROR(INDEX(PTAX!$C$5:$C$5000,MATCH($B3,PTAX!$B$5:$B$5000,1)),"")</f>
        <v/>
      </c>
      <c r="F3" s="9" t="str">
        <f aca="false">IF(OR($B3="",E3=""),"",D3/E3)</f>
        <v/>
      </c>
    </row>
    <row r="4" customFormat="false" ht="15" hidden="false" customHeight="false" outlineLevel="0" collapsed="false">
      <c r="B4" s="35"/>
      <c r="D4" s="31"/>
      <c r="E4" s="33" t="str">
        <f aca="false">IFERROR(INDEX(PTAX!$C$5:$C$5000,MATCH($B4,PTAX!$B$5:$B$5000,1)),"")</f>
        <v/>
      </c>
      <c r="F4" s="9" t="str">
        <f aca="false">IF(OR($B4="",E4=""),"",D4/E4)</f>
        <v/>
      </c>
    </row>
    <row r="5" customFormat="false" ht="15" hidden="false" customHeight="false" outlineLevel="0" collapsed="false">
      <c r="B5" s="35"/>
      <c r="D5" s="31"/>
      <c r="E5" s="33" t="str">
        <f aca="false">IFERROR(INDEX(PTAX!$C$5:$C$5000,MATCH($B5,PTAX!$B$5:$B$5000,1)),"")</f>
        <v/>
      </c>
      <c r="F5" s="9" t="str">
        <f aca="false">IF(OR($B5="",E5=""),"",D5/E5)</f>
        <v/>
      </c>
    </row>
    <row r="6" customFormat="false" ht="15" hidden="false" customHeight="false" outlineLevel="0" collapsed="false">
      <c r="B6" s="35"/>
      <c r="D6" s="31"/>
      <c r="E6" s="33" t="str">
        <f aca="false">IFERROR(INDEX(PTAX!$C$5:$C$5000,MATCH($B6,PTAX!$B$5:$B$5000,1)),"")</f>
        <v/>
      </c>
      <c r="F6" s="9" t="str">
        <f aca="false">IF(OR($B6="",E6=""),"",D6/E6)</f>
        <v/>
      </c>
    </row>
    <row r="7" customFormat="false" ht="15" hidden="false" customHeight="false" outlineLevel="0" collapsed="false">
      <c r="B7" s="35"/>
      <c r="D7" s="31"/>
      <c r="E7" s="33" t="str">
        <f aca="false">IFERROR(INDEX(PTAX!$C$5:$C$5000,MATCH($B7,PTAX!$B$5:$B$5000,1)),"")</f>
        <v/>
      </c>
      <c r="F7" s="9" t="str">
        <f aca="false">IF(OR($B7="",E7=""),"",D7/E7)</f>
        <v/>
      </c>
    </row>
    <row r="8" customFormat="false" ht="15" hidden="false" customHeight="false" outlineLevel="0" collapsed="false">
      <c r="B8" s="35"/>
      <c r="D8" s="31"/>
      <c r="E8" s="33" t="str">
        <f aca="false">IFERROR(INDEX(PTAX!$C$5:$C$5000,MATCH($B8,PTAX!$B$5:$B$5000,1)),"")</f>
        <v/>
      </c>
      <c r="F8" s="9" t="str">
        <f aca="false">IF(OR($B8="",E8=""),"",D8/E8)</f>
        <v/>
      </c>
    </row>
    <row r="9" customFormat="false" ht="15" hidden="false" customHeight="false" outlineLevel="0" collapsed="false">
      <c r="B9" s="35"/>
      <c r="D9" s="31"/>
      <c r="E9" s="33" t="str">
        <f aca="false">IFERROR(INDEX(PTAX!$C$5:$C$5000,MATCH($B9,PTAX!$B$5:$B$5000,1)),"")</f>
        <v/>
      </c>
      <c r="F9" s="9" t="str">
        <f aca="false">IF(OR($B9="",E9=""),"",D9/E9)</f>
        <v/>
      </c>
    </row>
    <row r="10" customFormat="false" ht="15" hidden="false" customHeight="false" outlineLevel="0" collapsed="false">
      <c r="B10" s="35"/>
      <c r="D10" s="31"/>
      <c r="E10" s="33" t="str">
        <f aca="false">IFERROR(INDEX(PTAX!$C$5:$C$5000,MATCH($B10,PTAX!$B$5:$B$5000,1)),"")</f>
        <v/>
      </c>
      <c r="F10" s="9" t="str">
        <f aca="false">IF(OR($B10="",E10=""),"",D10/E10)</f>
        <v/>
      </c>
    </row>
    <row r="11" customFormat="false" ht="15" hidden="false" customHeight="false" outlineLevel="0" collapsed="false">
      <c r="B11" s="35"/>
      <c r="D11" s="31"/>
      <c r="E11" s="33" t="str">
        <f aca="false">IFERROR(INDEX(PTAX!$C$5:$C$5000,MATCH($B11,PTAX!$B$5:$B$5000,1)),"")</f>
        <v/>
      </c>
      <c r="F11" s="9" t="str">
        <f aca="false">IF(OR($B11="",E11=""),"",D11/E11)</f>
        <v/>
      </c>
    </row>
    <row r="12" customFormat="false" ht="15" hidden="false" customHeight="false" outlineLevel="0" collapsed="false">
      <c r="B12" s="35"/>
      <c r="D12" s="31"/>
      <c r="E12" s="33" t="str">
        <f aca="false">IFERROR(INDEX(PTAX!$C$5:$C$5000,MATCH($B12,PTAX!$B$5:$B$5000,1)),"")</f>
        <v/>
      </c>
      <c r="F12" s="9" t="str">
        <f aca="false">IF(OR($B12="",E12=""),"",D12/E12)</f>
        <v/>
      </c>
    </row>
    <row r="13" customFormat="false" ht="15" hidden="false" customHeight="false" outlineLevel="0" collapsed="false">
      <c r="B13" s="35"/>
      <c r="D13" s="31"/>
      <c r="E13" s="33" t="str">
        <f aca="false">IFERROR(INDEX(PTAX!$C$5:$C$5000,MATCH($B13,PTAX!$B$5:$B$5000,1)),"")</f>
        <v/>
      </c>
      <c r="F13" s="9" t="str">
        <f aca="false">IF(OR($B13="",E13=""),"",D13/E13)</f>
        <v/>
      </c>
    </row>
    <row r="14" customFormat="false" ht="15" hidden="false" customHeight="false" outlineLevel="0" collapsed="false">
      <c r="B14" s="35"/>
      <c r="D14" s="31"/>
      <c r="E14" s="33" t="str">
        <f aca="false">IFERROR(INDEX(PTAX!$C$5:$C$5000,MATCH($B14,PTAX!$B$5:$B$5000,1)),"")</f>
        <v/>
      </c>
      <c r="F14" s="9" t="str">
        <f aca="false">IF(OR($B14="",E14=""),"",D14/E14)</f>
        <v/>
      </c>
    </row>
    <row r="15" customFormat="false" ht="15" hidden="false" customHeight="false" outlineLevel="0" collapsed="false">
      <c r="B15" s="35"/>
      <c r="D15" s="31"/>
      <c r="E15" s="33" t="str">
        <f aca="false">IFERROR(INDEX(PTAX!$C$5:$C$5000,MATCH($B15,PTAX!$B$5:$B$5000,1)),"")</f>
        <v/>
      </c>
      <c r="F15" s="9" t="str">
        <f aca="false">IF(OR($B15="",E15=""),"",D15/E15)</f>
        <v/>
      </c>
    </row>
    <row r="16" customFormat="false" ht="15" hidden="false" customHeight="false" outlineLevel="0" collapsed="false">
      <c r="B16" s="35"/>
      <c r="D16" s="31"/>
      <c r="E16" s="33" t="str">
        <f aca="false">IFERROR(INDEX(PTAX!$C$5:$C$5000,MATCH($B16,PTAX!$B$5:$B$5000,1)),"")</f>
        <v/>
      </c>
      <c r="F16" s="9" t="str">
        <f aca="false">IF(OR($B16="",E16=""),"",D16/E16)</f>
        <v/>
      </c>
    </row>
    <row r="17" customFormat="false" ht="15" hidden="false" customHeight="false" outlineLevel="0" collapsed="false">
      <c r="B17" s="35"/>
      <c r="D17" s="31"/>
      <c r="E17" s="33" t="str">
        <f aca="false">IFERROR(INDEX(PTAX!$C$5:$C$5000,MATCH($B17,PTAX!$B$5:$B$5000,1)),"")</f>
        <v/>
      </c>
      <c r="F17" s="9" t="str">
        <f aca="false">IF(OR($B17="",E17=""),"",D17/E17)</f>
        <v/>
      </c>
    </row>
    <row r="18" customFormat="false" ht="15" hidden="false" customHeight="false" outlineLevel="0" collapsed="false">
      <c r="B18" s="35"/>
      <c r="D18" s="31"/>
      <c r="E18" s="33" t="str">
        <f aca="false">IFERROR(INDEX(PTAX!$C$5:$C$5000,MATCH($B18,PTAX!$B$5:$B$5000,1)),"")</f>
        <v/>
      </c>
      <c r="F18" s="9" t="str">
        <f aca="false">IF(OR($B18="",E18=""),"",D18/E18)</f>
        <v/>
      </c>
    </row>
    <row r="19" customFormat="false" ht="15" hidden="false" customHeight="false" outlineLevel="0" collapsed="false">
      <c r="B19" s="35"/>
      <c r="D19" s="31"/>
      <c r="E19" s="33" t="str">
        <f aca="false">IFERROR(INDEX(PTAX!$C$5:$C$5000,MATCH($B19,PTAX!$B$5:$B$5000,1)),"")</f>
        <v/>
      </c>
      <c r="F19" s="9" t="str">
        <f aca="false">IF(OR($B19="",E19=""),"",D19/E19)</f>
        <v/>
      </c>
    </row>
    <row r="20" customFormat="false" ht="15" hidden="false" customHeight="false" outlineLevel="0" collapsed="false">
      <c r="B20" s="35"/>
      <c r="D20" s="31"/>
      <c r="E20" s="33" t="str">
        <f aca="false">IFERROR(INDEX(PTAX!$C$5:$C$5000,MATCH($B20,PTAX!$B$5:$B$5000,1)),"")</f>
        <v/>
      </c>
      <c r="F20" s="9" t="str">
        <f aca="false">IF(OR($B20="",E20=""),"",D20/E20)</f>
        <v/>
      </c>
    </row>
    <row r="21" customFormat="false" ht="15" hidden="false" customHeight="false" outlineLevel="0" collapsed="false">
      <c r="B21" s="35"/>
      <c r="D21" s="31"/>
      <c r="E21" s="33" t="str">
        <f aca="false">IFERROR(INDEX(PTAX!$C$5:$C$5000,MATCH($B21,PTAX!$B$5:$B$5000,1)),"")</f>
        <v/>
      </c>
      <c r="F21" s="9" t="str">
        <f aca="false">IF(OR($B21="",E21=""),"",D21/E21)</f>
        <v/>
      </c>
    </row>
    <row r="22" customFormat="false" ht="15" hidden="false" customHeight="false" outlineLevel="0" collapsed="false">
      <c r="B22" s="35"/>
      <c r="D22" s="31"/>
      <c r="E22" s="33" t="str">
        <f aca="false">IFERROR(INDEX(PTAX!$C$5:$C$5000,MATCH($B22,PTAX!$B$5:$B$5000,1)),"")</f>
        <v/>
      </c>
      <c r="F22" s="9" t="str">
        <f aca="false">IF(OR($B22="",E22=""),"",D22/E22)</f>
        <v/>
      </c>
    </row>
    <row r="23" customFormat="false" ht="15" hidden="false" customHeight="false" outlineLevel="0" collapsed="false">
      <c r="B23" s="35"/>
      <c r="D23" s="31"/>
      <c r="E23" s="33" t="str">
        <f aca="false">IFERROR(INDEX(PTAX!$C$5:$C$5000,MATCH($B23,PTAX!$B$5:$B$5000,1)),"")</f>
        <v/>
      </c>
      <c r="F23" s="9" t="str">
        <f aca="false">IF(OR($B23="",E23=""),"",D23/E23)</f>
        <v/>
      </c>
    </row>
    <row r="24" customFormat="false" ht="15" hidden="false" customHeight="false" outlineLevel="0" collapsed="false">
      <c r="B24" s="35"/>
      <c r="D24" s="31"/>
      <c r="E24" s="33" t="str">
        <f aca="false">IFERROR(INDEX(PTAX!$C$5:$C$5000,MATCH($B24,PTAX!$B$5:$B$5000,1)),"")</f>
        <v/>
      </c>
      <c r="F24" s="9" t="str">
        <f aca="false">IF(OR($B24="",E24=""),"",D24/E24)</f>
        <v/>
      </c>
    </row>
    <row r="25" customFormat="false" ht="15" hidden="false" customHeight="false" outlineLevel="0" collapsed="false">
      <c r="B25" s="35"/>
      <c r="D25" s="31"/>
      <c r="E25" s="33" t="str">
        <f aca="false">IFERROR(INDEX(PTAX!$C$5:$C$5000,MATCH($B25,PTAX!$B$5:$B$5000,1)),"")</f>
        <v/>
      </c>
      <c r="F25" s="9" t="str">
        <f aca="false">IF(OR($B25="",E25=""),"",D25/E25)</f>
        <v/>
      </c>
    </row>
    <row r="26" customFormat="false" ht="15" hidden="false" customHeight="false" outlineLevel="0" collapsed="false">
      <c r="B26" s="35"/>
      <c r="D26" s="31"/>
      <c r="E26" s="33" t="str">
        <f aca="false">IFERROR(INDEX(PTAX!$C$5:$C$5000,MATCH($B26,PTAX!$B$5:$B$5000,1)),"")</f>
        <v/>
      </c>
      <c r="F26" s="9" t="str">
        <f aca="false">IF(OR($B26="",E26=""),"",D26/E26)</f>
        <v/>
      </c>
    </row>
    <row r="27" customFormat="false" ht="15" hidden="false" customHeight="false" outlineLevel="0" collapsed="false">
      <c r="B27" s="35"/>
      <c r="D27" s="31"/>
      <c r="E27" s="33" t="str">
        <f aca="false">IFERROR(INDEX(PTAX!$C$5:$C$5000,MATCH($B27,PTAX!$B$5:$B$5000,1)),"")</f>
        <v/>
      </c>
      <c r="F27" s="9" t="str">
        <f aca="false">IF(OR($B27="",E27=""),"",D27/E27)</f>
        <v/>
      </c>
    </row>
    <row r="28" customFormat="false" ht="15" hidden="false" customHeight="false" outlineLevel="0" collapsed="false">
      <c r="B28" s="35"/>
      <c r="D28" s="31"/>
      <c r="E28" s="33" t="str">
        <f aca="false">IFERROR(INDEX(PTAX!$C$5:$C$5000,MATCH($B28,PTAX!$B$5:$B$5000,1)),"")</f>
        <v/>
      </c>
      <c r="F28" s="9" t="str">
        <f aca="false">IF(OR($B28="",E28=""),"",D28/E28)</f>
        <v/>
      </c>
    </row>
    <row r="29" customFormat="false" ht="15" hidden="false" customHeight="false" outlineLevel="0" collapsed="false">
      <c r="B29" s="35"/>
      <c r="D29" s="31"/>
      <c r="E29" s="33" t="str">
        <f aca="false">IFERROR(INDEX(PTAX!$C$5:$C$5000,MATCH($B29,PTAX!$B$5:$B$5000,1)),"")</f>
        <v/>
      </c>
      <c r="F29" s="9" t="str">
        <f aca="false">IF(OR($B29="",E29=""),"",D29/E29)</f>
        <v/>
      </c>
    </row>
    <row r="30" customFormat="false" ht="15" hidden="false" customHeight="false" outlineLevel="0" collapsed="false">
      <c r="B30" s="35"/>
      <c r="D30" s="31"/>
      <c r="E30" s="33" t="str">
        <f aca="false">IFERROR(INDEX(PTAX!$C$5:$C$5000,MATCH($B30,PTAX!$B$5:$B$5000,1)),"")</f>
        <v/>
      </c>
      <c r="F30" s="9" t="str">
        <f aca="false">IF(OR($B30="",E30=""),"",D30/E30)</f>
        <v/>
      </c>
    </row>
    <row r="31" customFormat="false" ht="15" hidden="false" customHeight="false" outlineLevel="0" collapsed="false">
      <c r="B31" s="35"/>
      <c r="D31" s="31"/>
      <c r="E31" s="33" t="str">
        <f aca="false">IFERROR(INDEX(PTAX!$C$5:$C$5000,MATCH($B31,PTAX!$B$5:$B$5000,1)),"")</f>
        <v/>
      </c>
      <c r="F31" s="9" t="str">
        <f aca="false">IF(OR($B31="",E31=""),"",D31/E31)</f>
        <v/>
      </c>
    </row>
    <row r="32" customFormat="false" ht="15" hidden="false" customHeight="false" outlineLevel="0" collapsed="false">
      <c r="B32" s="35"/>
      <c r="D32" s="31"/>
      <c r="E32" s="33" t="str">
        <f aca="false">IFERROR(INDEX(PTAX!$C$5:$C$5000,MATCH($B32,PTAX!$B$5:$B$5000,1)),"")</f>
        <v/>
      </c>
      <c r="F32" s="9" t="str">
        <f aca="false">IF(OR($B32="",E32=""),"",D32/E32)</f>
        <v/>
      </c>
    </row>
    <row r="33" customFormat="false" ht="15" hidden="false" customHeight="false" outlineLevel="0" collapsed="false">
      <c r="B33" s="35"/>
      <c r="D33" s="31"/>
      <c r="E33" s="33" t="str">
        <f aca="false">IFERROR(INDEX(PTAX!$C$5:$C$5000,MATCH($B33,PTAX!$B$5:$B$5000,1)),"")</f>
        <v/>
      </c>
      <c r="F33" s="9" t="str">
        <f aca="false">IF(OR($B33="",E33=""),"",D33/E33)</f>
        <v/>
      </c>
    </row>
    <row r="34" customFormat="false" ht="15" hidden="false" customHeight="false" outlineLevel="0" collapsed="false">
      <c r="B34" s="35"/>
      <c r="D34" s="31"/>
      <c r="E34" s="33" t="str">
        <f aca="false">IFERROR(INDEX(PTAX!$C$5:$C$5000,MATCH($B34,PTAX!$B$5:$B$5000,1)),"")</f>
        <v/>
      </c>
      <c r="F34" s="9" t="str">
        <f aca="false">IF(OR($B34="",E34=""),"",D34/E34)</f>
        <v/>
      </c>
    </row>
    <row r="35" customFormat="false" ht="15" hidden="false" customHeight="false" outlineLevel="0" collapsed="false">
      <c r="B35" s="35"/>
      <c r="D35" s="31"/>
      <c r="E35" s="33" t="str">
        <f aca="false">IFERROR(INDEX(PTAX!$C$5:$C$5000,MATCH($B35,PTAX!$B$5:$B$5000,1)),"")</f>
        <v/>
      </c>
      <c r="F35" s="9" t="str">
        <f aca="false">IF(OR($B35="",E35=""),"",D35/E35)</f>
        <v/>
      </c>
    </row>
    <row r="36" customFormat="false" ht="15" hidden="false" customHeight="false" outlineLevel="0" collapsed="false">
      <c r="B36" s="35"/>
      <c r="D36" s="31"/>
      <c r="E36" s="33" t="str">
        <f aca="false">IFERROR(INDEX(PTAX!$C$5:$C$5000,MATCH($B36,PTAX!$B$5:$B$5000,1)),"")</f>
        <v/>
      </c>
      <c r="F36" s="9" t="str">
        <f aca="false">IF(OR($B36="",E36=""),"",D36/E36)</f>
        <v/>
      </c>
    </row>
    <row r="37" customFormat="false" ht="15" hidden="false" customHeight="false" outlineLevel="0" collapsed="false">
      <c r="B37" s="35"/>
      <c r="D37" s="31"/>
      <c r="E37" s="33" t="str">
        <f aca="false">IFERROR(INDEX(PTAX!$C$5:$C$5000,MATCH($B37,PTAX!$B$5:$B$5000,1)),"")</f>
        <v/>
      </c>
      <c r="F37" s="9" t="str">
        <f aca="false">IF(OR($B37="",E37=""),"",D37/E37)</f>
        <v/>
      </c>
    </row>
    <row r="38" customFormat="false" ht="15" hidden="false" customHeight="false" outlineLevel="0" collapsed="false">
      <c r="B38" s="35"/>
      <c r="D38" s="31"/>
      <c r="E38" s="33" t="str">
        <f aca="false">IFERROR(INDEX(PTAX!$C$5:$C$5000,MATCH($B38,PTAX!$B$5:$B$5000,1)),"")</f>
        <v/>
      </c>
      <c r="F38" s="9" t="str">
        <f aca="false">IF(OR($B38="",E38=""),"",D38/E38)</f>
        <v/>
      </c>
    </row>
    <row r="39" customFormat="false" ht="15" hidden="false" customHeight="false" outlineLevel="0" collapsed="false">
      <c r="B39" s="35"/>
      <c r="D39" s="31"/>
      <c r="E39" s="33" t="str">
        <f aca="false">IFERROR(INDEX(PTAX!$C$5:$C$5000,MATCH($B39,PTAX!$B$5:$B$5000,1)),"")</f>
        <v/>
      </c>
      <c r="F39" s="9" t="str">
        <f aca="false">IF(OR($B39="",E39=""),"",D39/E39)</f>
        <v/>
      </c>
    </row>
    <row r="40" customFormat="false" ht="15" hidden="false" customHeight="false" outlineLevel="0" collapsed="false">
      <c r="B40" s="35"/>
      <c r="D40" s="31"/>
      <c r="E40" s="33" t="str">
        <f aca="false">IFERROR(INDEX(PTAX!$C$5:$C$5000,MATCH($B40,PTAX!$B$5:$B$5000,1)),"")</f>
        <v/>
      </c>
      <c r="F40" s="9" t="str">
        <f aca="false">IF(OR($B40="",E40=""),"",D40/E40)</f>
        <v/>
      </c>
    </row>
    <row r="41" customFormat="false" ht="15" hidden="false" customHeight="false" outlineLevel="0" collapsed="false">
      <c r="B41" s="35"/>
      <c r="D41" s="31"/>
      <c r="E41" s="33" t="str">
        <f aca="false">IFERROR(INDEX(PTAX!$C$5:$C$5000,MATCH($B41,PTAX!$B$5:$B$5000,1)),"")</f>
        <v/>
      </c>
      <c r="F41" s="9" t="str">
        <f aca="false">IF(OR($B41="",E41=""),"",D41/E41)</f>
        <v/>
      </c>
    </row>
    <row r="42" customFormat="false" ht="15" hidden="false" customHeight="false" outlineLevel="0" collapsed="false">
      <c r="B42" s="35"/>
      <c r="D42" s="31"/>
      <c r="E42" s="33" t="str">
        <f aca="false">IFERROR(INDEX(PTAX!$C$5:$C$5000,MATCH($B42,PTAX!$B$5:$B$5000,1)),"")</f>
        <v/>
      </c>
      <c r="F42" s="9" t="str">
        <f aca="false">IF(OR($B42="",E42=""),"",D42/E42)</f>
        <v/>
      </c>
    </row>
    <row r="43" customFormat="false" ht="15" hidden="false" customHeight="false" outlineLevel="0" collapsed="false">
      <c r="B43" s="35"/>
      <c r="D43" s="31"/>
      <c r="E43" s="33" t="str">
        <f aca="false">IFERROR(INDEX(PTAX!$C$5:$C$5000,MATCH($B43,PTAX!$B$5:$B$5000,1)),"")</f>
        <v/>
      </c>
      <c r="F43" s="9" t="str">
        <f aca="false">IF(OR($B43="",E43=""),"",D43/E43)</f>
        <v/>
      </c>
    </row>
    <row r="44" customFormat="false" ht="15" hidden="false" customHeight="false" outlineLevel="0" collapsed="false">
      <c r="B44" s="35"/>
      <c r="D44" s="31"/>
      <c r="E44" s="33" t="str">
        <f aca="false">IFERROR(INDEX(PTAX!$C$5:$C$5000,MATCH($B44,PTAX!$B$5:$B$5000,1)),"")</f>
        <v/>
      </c>
      <c r="F44" s="9" t="str">
        <f aca="false">IF(OR($B44="",E44=""),"",D44/E44)</f>
        <v/>
      </c>
    </row>
    <row r="45" customFormat="false" ht="15" hidden="false" customHeight="false" outlineLevel="0" collapsed="false">
      <c r="B45" s="35"/>
      <c r="D45" s="31"/>
      <c r="E45" s="33" t="str">
        <f aca="false">IFERROR(INDEX(PTAX!$C$5:$C$5000,MATCH($B45,PTAX!$B$5:$B$5000,1)),"")</f>
        <v/>
      </c>
      <c r="F45" s="9" t="str">
        <f aca="false">IF(OR($B45="",E45=""),"",D45/E45)</f>
        <v/>
      </c>
    </row>
    <row r="46" customFormat="false" ht="15" hidden="false" customHeight="false" outlineLevel="0" collapsed="false">
      <c r="B46" s="35"/>
      <c r="D46" s="31"/>
      <c r="E46" s="33" t="str">
        <f aca="false">IFERROR(INDEX(PTAX!$C$5:$C$5000,MATCH($B46,PTAX!$B$5:$B$5000,1)),"")</f>
        <v/>
      </c>
      <c r="F46" s="9" t="str">
        <f aca="false">IF(OR($B46="",E46=""),"",D46/E46)</f>
        <v/>
      </c>
    </row>
    <row r="47" customFormat="false" ht="15" hidden="false" customHeight="false" outlineLevel="0" collapsed="false">
      <c r="B47" s="35"/>
      <c r="D47" s="31"/>
      <c r="E47" s="33" t="str">
        <f aca="false">IFERROR(INDEX(PTAX!$C$5:$C$5000,MATCH($B47,PTAX!$B$5:$B$5000,1)),"")</f>
        <v/>
      </c>
      <c r="F47" s="9" t="str">
        <f aca="false">IF(OR($B47="",E47=""),"",D47/E47)</f>
        <v/>
      </c>
    </row>
    <row r="48" customFormat="false" ht="15" hidden="false" customHeight="false" outlineLevel="0" collapsed="false">
      <c r="B48" s="35"/>
      <c r="D48" s="31"/>
      <c r="E48" s="33" t="str">
        <f aca="false">IFERROR(INDEX(PTAX!$C$5:$C$5000,MATCH($B48,PTAX!$B$5:$B$5000,1)),"")</f>
        <v/>
      </c>
      <c r="F48" s="9" t="str">
        <f aca="false">IF(OR($B48="",E48=""),"",D48/E48)</f>
        <v/>
      </c>
    </row>
    <row r="49" customFormat="false" ht="15" hidden="false" customHeight="false" outlineLevel="0" collapsed="false">
      <c r="B49" s="35"/>
      <c r="D49" s="31"/>
      <c r="E49" s="33" t="str">
        <f aca="false">IFERROR(INDEX(PTAX!$C$5:$C$5000,MATCH($B49,PTAX!$B$5:$B$5000,1)),"")</f>
        <v/>
      </c>
      <c r="F49" s="9" t="str">
        <f aca="false">IF(OR($B49="",E49=""),"",D49/E49)</f>
        <v/>
      </c>
    </row>
    <row r="50" customFormat="false" ht="15" hidden="false" customHeight="false" outlineLevel="0" collapsed="false">
      <c r="B50" s="35"/>
      <c r="D50" s="31"/>
      <c r="E50" s="33" t="str">
        <f aca="false">IFERROR(INDEX(PTAX!$C$5:$C$5000,MATCH($B50,PTAX!$B$5:$B$5000,1)),"")</f>
        <v/>
      </c>
      <c r="F50" s="9" t="str">
        <f aca="false">IF(OR($B50="",E50=""),"",D50/E50)</f>
        <v/>
      </c>
    </row>
    <row r="51" customFormat="false" ht="15" hidden="false" customHeight="false" outlineLevel="0" collapsed="false">
      <c r="B51" s="35"/>
      <c r="D51" s="31"/>
      <c r="E51" s="33" t="str">
        <f aca="false">IFERROR(INDEX(PTAX!$C$5:$C$5000,MATCH($B51,PTAX!$B$5:$B$5000,1)),"")</f>
        <v/>
      </c>
      <c r="F51" s="9" t="str">
        <f aca="false">IF(OR($B51="",E51=""),"",D51/E51)</f>
        <v/>
      </c>
    </row>
    <row r="52" customFormat="false" ht="15" hidden="false" customHeight="false" outlineLevel="0" collapsed="false">
      <c r="B52" s="35"/>
      <c r="D52" s="31"/>
      <c r="E52" s="33" t="str">
        <f aca="false">IFERROR(INDEX(PTAX!$C$5:$C$5000,MATCH($B52,PTAX!$B$5:$B$5000,1)),"")</f>
        <v/>
      </c>
      <c r="F52" s="9" t="str">
        <f aca="false">IF(OR($B52="",E52=""),"",D52/E52)</f>
        <v/>
      </c>
    </row>
    <row r="53" customFormat="false" ht="15" hidden="false" customHeight="false" outlineLevel="0" collapsed="false">
      <c r="B53" s="35"/>
      <c r="D53" s="31"/>
      <c r="E53" s="33" t="str">
        <f aca="false">IFERROR(INDEX(PTAX!$C$5:$C$5000,MATCH($B53,PTAX!$B$5:$B$5000,1)),"")</f>
        <v/>
      </c>
      <c r="F53" s="9" t="str">
        <f aca="false">IF(OR($B53="",E53=""),"",D53/E53)</f>
        <v/>
      </c>
    </row>
    <row r="54" customFormat="false" ht="15" hidden="false" customHeight="false" outlineLevel="0" collapsed="false">
      <c r="B54" s="35"/>
      <c r="D54" s="31"/>
      <c r="E54" s="33" t="str">
        <f aca="false">IFERROR(INDEX(PTAX!$C$5:$C$5000,MATCH($B54,PTAX!$B$5:$B$5000,1)),"")</f>
        <v/>
      </c>
      <c r="F54" s="9" t="str">
        <f aca="false">IF(OR($B54="",E54=""),"",D54/E54)</f>
        <v/>
      </c>
    </row>
    <row r="55" customFormat="false" ht="15" hidden="false" customHeight="false" outlineLevel="0" collapsed="false">
      <c r="B55" s="35"/>
      <c r="D55" s="31"/>
      <c r="E55" s="33" t="str">
        <f aca="false">IFERROR(INDEX(PTAX!$C$5:$C$5000,MATCH($B55,PTAX!$B$5:$B$5000,1)),"")</f>
        <v/>
      </c>
      <c r="F55" s="9" t="str">
        <f aca="false">IF(OR($B55="",E55=""),"",D55/E55)</f>
        <v/>
      </c>
    </row>
    <row r="56" customFormat="false" ht="15" hidden="false" customHeight="false" outlineLevel="0" collapsed="false">
      <c r="B56" s="35"/>
      <c r="D56" s="31"/>
      <c r="E56" s="33" t="str">
        <f aca="false">IFERROR(INDEX(PTAX!$C$5:$C$5000,MATCH($B56,PTAX!$B$5:$B$5000,1)),"")</f>
        <v/>
      </c>
      <c r="F56" s="9" t="str">
        <f aca="false">IF(OR($B56="",E56=""),"",D56/E56)</f>
        <v/>
      </c>
    </row>
    <row r="57" customFormat="false" ht="15" hidden="false" customHeight="false" outlineLevel="0" collapsed="false">
      <c r="B57" s="35"/>
      <c r="D57" s="31"/>
      <c r="E57" s="33" t="str">
        <f aca="false">IFERROR(INDEX(PTAX!$C$5:$C$5000,MATCH($B57,PTAX!$B$5:$B$5000,1)),"")</f>
        <v/>
      </c>
      <c r="F57" s="9" t="str">
        <f aca="false">IF(OR($B57="",E57=""),"",D57/E57)</f>
        <v/>
      </c>
    </row>
    <row r="58" customFormat="false" ht="15" hidden="false" customHeight="false" outlineLevel="0" collapsed="false">
      <c r="B58" s="35"/>
      <c r="D58" s="31"/>
      <c r="E58" s="33" t="str">
        <f aca="false">IFERROR(INDEX(PTAX!$C$5:$C$5000,MATCH($B58,PTAX!$B$5:$B$5000,1)),"")</f>
        <v/>
      </c>
      <c r="F58" s="9" t="str">
        <f aca="false">IF(OR($B58="",E58=""),"",D58/E58)</f>
        <v/>
      </c>
    </row>
    <row r="59" customFormat="false" ht="15" hidden="false" customHeight="false" outlineLevel="0" collapsed="false">
      <c r="B59" s="35"/>
      <c r="D59" s="31"/>
      <c r="E59" s="33" t="str">
        <f aca="false">IFERROR(INDEX(PTAX!$C$5:$C$5000,MATCH($B59,PTAX!$B$5:$B$5000,1)),"")</f>
        <v/>
      </c>
      <c r="F59" s="9" t="str">
        <f aca="false">IF(OR($B59="",E59=""),"",D59/E59)</f>
        <v/>
      </c>
    </row>
    <row r="60" customFormat="false" ht="15" hidden="false" customHeight="false" outlineLevel="0" collapsed="false">
      <c r="B60" s="35"/>
      <c r="D60" s="31"/>
      <c r="E60" s="33" t="str">
        <f aca="false">IFERROR(INDEX(PTAX!$C$5:$C$5000,MATCH($B60,PTAX!$B$5:$B$5000,1)),"")</f>
        <v/>
      </c>
      <c r="F60" s="9" t="str">
        <f aca="false">IF(OR($B60="",E60=""),"",D60/E60)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6" min="4" style="1" width="14"/>
  </cols>
  <sheetData>
    <row r="2" customFormat="false" ht="15" hidden="false" customHeight="false" outlineLevel="0" collapsed="false">
      <c r="B2" s="4" t="s">
        <v>67</v>
      </c>
      <c r="C2" s="4" t="s">
        <v>12</v>
      </c>
      <c r="D2" s="4" t="s">
        <v>81</v>
      </c>
      <c r="E2" s="4" t="s">
        <v>73</v>
      </c>
      <c r="F2" s="4" t="s">
        <v>82</v>
      </c>
      <c r="H2" s="3" t="s">
        <v>85</v>
      </c>
    </row>
    <row r="3" customFormat="false" ht="15" hidden="false" customHeight="false" outlineLevel="0" collapsed="false">
      <c r="B3" s="35"/>
      <c r="D3" s="31"/>
      <c r="E3" s="33" t="str">
        <f aca="false">IFERROR(INDEX(PTAX!$C$5:$C$5000,MATCH($B3,PTAX!$B$5:$B$5000,1)),"")</f>
        <v/>
      </c>
      <c r="F3" s="9" t="str">
        <f aca="false">IF(OR($B3="",E3=""),"",D3/E3)</f>
        <v/>
      </c>
    </row>
    <row r="4" customFormat="false" ht="15" hidden="false" customHeight="false" outlineLevel="0" collapsed="false">
      <c r="B4" s="35"/>
      <c r="D4" s="31"/>
      <c r="E4" s="33" t="str">
        <f aca="false">IFERROR(INDEX(PTAX!$C$5:$C$5000,MATCH($B4,PTAX!$B$5:$B$5000,1)),"")</f>
        <v/>
      </c>
      <c r="F4" s="9" t="str">
        <f aca="false">IF(OR($B4="",E4=""),"",D4/E4)</f>
        <v/>
      </c>
    </row>
    <row r="5" customFormat="false" ht="15" hidden="false" customHeight="false" outlineLevel="0" collapsed="false">
      <c r="B5" s="35"/>
      <c r="D5" s="31"/>
      <c r="E5" s="33" t="str">
        <f aca="false">IFERROR(INDEX(PTAX!$C$5:$C$5000,MATCH($B5,PTAX!$B$5:$B$5000,1)),"")</f>
        <v/>
      </c>
      <c r="F5" s="9" t="str">
        <f aca="false">IF(OR($B5="",E5=""),"",D5/E5)</f>
        <v/>
      </c>
    </row>
    <row r="6" customFormat="false" ht="15" hidden="false" customHeight="false" outlineLevel="0" collapsed="false">
      <c r="B6" s="35"/>
      <c r="D6" s="31"/>
      <c r="E6" s="33" t="str">
        <f aca="false">IFERROR(INDEX(PTAX!$C$5:$C$5000,MATCH($B6,PTAX!$B$5:$B$5000,1)),"")</f>
        <v/>
      </c>
      <c r="F6" s="9" t="str">
        <f aca="false">IF(OR($B6="",E6=""),"",D6/E6)</f>
        <v/>
      </c>
    </row>
    <row r="7" customFormat="false" ht="15" hidden="false" customHeight="false" outlineLevel="0" collapsed="false">
      <c r="B7" s="35"/>
      <c r="D7" s="31"/>
      <c r="E7" s="33" t="str">
        <f aca="false">IFERROR(INDEX(PTAX!$C$5:$C$5000,MATCH($B7,PTAX!$B$5:$B$5000,1)),"")</f>
        <v/>
      </c>
      <c r="F7" s="9" t="str">
        <f aca="false">IF(OR($B7="",E7=""),"",D7/E7)</f>
        <v/>
      </c>
    </row>
    <row r="8" customFormat="false" ht="15" hidden="false" customHeight="false" outlineLevel="0" collapsed="false">
      <c r="B8" s="35"/>
      <c r="D8" s="31"/>
      <c r="E8" s="33" t="str">
        <f aca="false">IFERROR(INDEX(PTAX!$C$5:$C$5000,MATCH($B8,PTAX!$B$5:$B$5000,1)),"")</f>
        <v/>
      </c>
      <c r="F8" s="9" t="str">
        <f aca="false">IF(OR($B8="",E8=""),"",D8/E8)</f>
        <v/>
      </c>
    </row>
    <row r="9" customFormat="false" ht="15" hidden="false" customHeight="false" outlineLevel="0" collapsed="false">
      <c r="B9" s="35"/>
      <c r="D9" s="31"/>
      <c r="E9" s="33" t="str">
        <f aca="false">IFERROR(INDEX(PTAX!$C$5:$C$5000,MATCH($B9,PTAX!$B$5:$B$5000,1)),"")</f>
        <v/>
      </c>
      <c r="F9" s="9" t="str">
        <f aca="false">IF(OR($B9="",E9=""),"",D9/E9)</f>
        <v/>
      </c>
    </row>
    <row r="10" customFormat="false" ht="15" hidden="false" customHeight="false" outlineLevel="0" collapsed="false">
      <c r="B10" s="35"/>
      <c r="D10" s="31"/>
      <c r="E10" s="33" t="str">
        <f aca="false">IFERROR(INDEX(PTAX!$C$5:$C$5000,MATCH($B10,PTAX!$B$5:$B$5000,1)),"")</f>
        <v/>
      </c>
      <c r="F10" s="9" t="str">
        <f aca="false">IF(OR($B10="",E10=""),"",D10/E10)</f>
        <v/>
      </c>
    </row>
    <row r="11" customFormat="false" ht="15" hidden="false" customHeight="false" outlineLevel="0" collapsed="false">
      <c r="B11" s="35"/>
      <c r="D11" s="31"/>
      <c r="E11" s="33" t="str">
        <f aca="false">IFERROR(INDEX(PTAX!$C$5:$C$5000,MATCH($B11,PTAX!$B$5:$B$5000,1)),"")</f>
        <v/>
      </c>
      <c r="F11" s="9" t="str">
        <f aca="false">IF(OR($B11="",E11=""),"",D11/E11)</f>
        <v/>
      </c>
    </row>
    <row r="12" customFormat="false" ht="15" hidden="false" customHeight="false" outlineLevel="0" collapsed="false">
      <c r="B12" s="35"/>
      <c r="D12" s="31"/>
      <c r="E12" s="33" t="str">
        <f aca="false">IFERROR(INDEX(PTAX!$C$5:$C$5000,MATCH($B12,PTAX!$B$5:$B$5000,1)),"")</f>
        <v/>
      </c>
      <c r="F12" s="9" t="str">
        <f aca="false">IF(OR($B12="",E12=""),"",D12/E12)</f>
        <v/>
      </c>
    </row>
    <row r="13" customFormat="false" ht="15" hidden="false" customHeight="false" outlineLevel="0" collapsed="false">
      <c r="B13" s="35"/>
      <c r="D13" s="31"/>
      <c r="E13" s="33" t="str">
        <f aca="false">IFERROR(INDEX(PTAX!$C$5:$C$5000,MATCH($B13,PTAX!$B$5:$B$5000,1)),"")</f>
        <v/>
      </c>
      <c r="F13" s="9" t="str">
        <f aca="false">IF(OR($B13="",E13=""),"",D13/E13)</f>
        <v/>
      </c>
    </row>
    <row r="14" customFormat="false" ht="15" hidden="false" customHeight="false" outlineLevel="0" collapsed="false">
      <c r="B14" s="35"/>
      <c r="D14" s="31"/>
      <c r="E14" s="33" t="str">
        <f aca="false">IFERROR(INDEX(PTAX!$C$5:$C$5000,MATCH($B14,PTAX!$B$5:$B$5000,1)),"")</f>
        <v/>
      </c>
      <c r="F14" s="9" t="str">
        <f aca="false">IF(OR($B14="",E14=""),"",D14/E14)</f>
        <v/>
      </c>
    </row>
    <row r="15" customFormat="false" ht="15" hidden="false" customHeight="false" outlineLevel="0" collapsed="false">
      <c r="B15" s="35"/>
      <c r="D15" s="31"/>
      <c r="E15" s="33" t="str">
        <f aca="false">IFERROR(INDEX(PTAX!$C$5:$C$5000,MATCH($B15,PTAX!$B$5:$B$5000,1)),"")</f>
        <v/>
      </c>
      <c r="F15" s="9" t="str">
        <f aca="false">IF(OR($B15="",E15=""),"",D15/E15)</f>
        <v/>
      </c>
    </row>
    <row r="16" customFormat="false" ht="15" hidden="false" customHeight="false" outlineLevel="0" collapsed="false">
      <c r="B16" s="35"/>
      <c r="D16" s="31"/>
      <c r="E16" s="33" t="str">
        <f aca="false">IFERROR(INDEX(PTAX!$C$5:$C$5000,MATCH($B16,PTAX!$B$5:$B$5000,1)),"")</f>
        <v/>
      </c>
      <c r="F16" s="9" t="str">
        <f aca="false">IF(OR($B16="",E16=""),"",D16/E16)</f>
        <v/>
      </c>
    </row>
    <row r="17" customFormat="false" ht="15" hidden="false" customHeight="false" outlineLevel="0" collapsed="false">
      <c r="B17" s="35"/>
      <c r="D17" s="31"/>
      <c r="E17" s="33" t="str">
        <f aca="false">IFERROR(INDEX(PTAX!$C$5:$C$5000,MATCH($B17,PTAX!$B$5:$B$5000,1)),"")</f>
        <v/>
      </c>
      <c r="F17" s="9" t="str">
        <f aca="false">IF(OR($B17="",E17=""),"",D17/E17)</f>
        <v/>
      </c>
    </row>
    <row r="18" customFormat="false" ht="15" hidden="false" customHeight="false" outlineLevel="0" collapsed="false">
      <c r="B18" s="35"/>
      <c r="D18" s="31"/>
      <c r="E18" s="33" t="str">
        <f aca="false">IFERROR(INDEX(PTAX!$C$5:$C$5000,MATCH($B18,PTAX!$B$5:$B$5000,1)),"")</f>
        <v/>
      </c>
      <c r="F18" s="9" t="str">
        <f aca="false">IF(OR($B18="",E18=""),"",D18/E18)</f>
        <v/>
      </c>
    </row>
    <row r="19" customFormat="false" ht="15" hidden="false" customHeight="false" outlineLevel="0" collapsed="false">
      <c r="B19" s="35"/>
      <c r="D19" s="31"/>
      <c r="E19" s="33" t="str">
        <f aca="false">IFERROR(INDEX(PTAX!$C$5:$C$5000,MATCH($B19,PTAX!$B$5:$B$5000,1)),"")</f>
        <v/>
      </c>
      <c r="F19" s="9" t="str">
        <f aca="false">IF(OR($B19="",E19=""),"",D19/E19)</f>
        <v/>
      </c>
    </row>
    <row r="20" customFormat="false" ht="15" hidden="false" customHeight="false" outlineLevel="0" collapsed="false">
      <c r="B20" s="35"/>
      <c r="D20" s="31"/>
      <c r="E20" s="33" t="str">
        <f aca="false">IFERROR(INDEX(PTAX!$C$5:$C$5000,MATCH($B20,PTAX!$B$5:$B$5000,1)),"")</f>
        <v/>
      </c>
      <c r="F20" s="9" t="str">
        <f aca="false">IF(OR($B20="",E20=""),"",D20/E20)</f>
        <v/>
      </c>
    </row>
    <row r="21" customFormat="false" ht="15" hidden="false" customHeight="false" outlineLevel="0" collapsed="false">
      <c r="B21" s="35"/>
      <c r="D21" s="31"/>
      <c r="E21" s="33" t="str">
        <f aca="false">IFERROR(INDEX(PTAX!$C$5:$C$5000,MATCH($B21,PTAX!$B$5:$B$5000,1)),"")</f>
        <v/>
      </c>
      <c r="F21" s="9" t="str">
        <f aca="false">IF(OR($B21="",E21=""),"",D21/E21)</f>
        <v/>
      </c>
    </row>
    <row r="22" customFormat="false" ht="15" hidden="false" customHeight="false" outlineLevel="0" collapsed="false">
      <c r="B22" s="35"/>
      <c r="D22" s="31"/>
      <c r="E22" s="33" t="str">
        <f aca="false">IFERROR(INDEX(PTAX!$C$5:$C$5000,MATCH($B22,PTAX!$B$5:$B$5000,1)),"")</f>
        <v/>
      </c>
      <c r="F22" s="9" t="str">
        <f aca="false">IF(OR($B22="",E22=""),"",D22/E22)</f>
        <v/>
      </c>
    </row>
    <row r="23" customFormat="false" ht="15" hidden="false" customHeight="false" outlineLevel="0" collapsed="false">
      <c r="B23" s="35"/>
      <c r="D23" s="31"/>
      <c r="E23" s="33" t="str">
        <f aca="false">IFERROR(INDEX(PTAX!$C$5:$C$5000,MATCH($B23,PTAX!$B$5:$B$5000,1)),"")</f>
        <v/>
      </c>
      <c r="F23" s="9" t="str">
        <f aca="false">IF(OR($B23="",E23=""),"",D23/E23)</f>
        <v/>
      </c>
    </row>
    <row r="24" customFormat="false" ht="15" hidden="false" customHeight="false" outlineLevel="0" collapsed="false">
      <c r="B24" s="35"/>
      <c r="D24" s="31"/>
      <c r="E24" s="33" t="str">
        <f aca="false">IFERROR(INDEX(PTAX!$C$5:$C$5000,MATCH($B24,PTAX!$B$5:$B$5000,1)),"")</f>
        <v/>
      </c>
      <c r="F24" s="9" t="str">
        <f aca="false">IF(OR($B24="",E24=""),"",D24/E24)</f>
        <v/>
      </c>
    </row>
    <row r="25" customFormat="false" ht="15" hidden="false" customHeight="false" outlineLevel="0" collapsed="false">
      <c r="B25" s="35"/>
      <c r="D25" s="31"/>
      <c r="E25" s="33" t="str">
        <f aca="false">IFERROR(INDEX(PTAX!$C$5:$C$5000,MATCH($B25,PTAX!$B$5:$B$5000,1)),"")</f>
        <v/>
      </c>
      <c r="F25" s="9" t="str">
        <f aca="false">IF(OR($B25="",E25=""),"",D25/E25)</f>
        <v/>
      </c>
    </row>
    <row r="26" customFormat="false" ht="15" hidden="false" customHeight="false" outlineLevel="0" collapsed="false">
      <c r="B26" s="35"/>
      <c r="D26" s="31"/>
      <c r="E26" s="33" t="str">
        <f aca="false">IFERROR(INDEX(PTAX!$C$5:$C$5000,MATCH($B26,PTAX!$B$5:$B$5000,1)),"")</f>
        <v/>
      </c>
      <c r="F26" s="9" t="str">
        <f aca="false">IF(OR($B26="",E26=""),"",D26/E26)</f>
        <v/>
      </c>
    </row>
    <row r="27" customFormat="false" ht="15" hidden="false" customHeight="false" outlineLevel="0" collapsed="false">
      <c r="B27" s="35"/>
      <c r="D27" s="31"/>
      <c r="E27" s="33" t="str">
        <f aca="false">IFERROR(INDEX(PTAX!$C$5:$C$5000,MATCH($B27,PTAX!$B$5:$B$5000,1)),"")</f>
        <v/>
      </c>
      <c r="F27" s="9" t="str">
        <f aca="false">IF(OR($B27="",E27=""),"",D27/E27)</f>
        <v/>
      </c>
    </row>
    <row r="28" customFormat="false" ht="15" hidden="false" customHeight="false" outlineLevel="0" collapsed="false">
      <c r="B28" s="35"/>
      <c r="D28" s="31"/>
      <c r="E28" s="33" t="str">
        <f aca="false">IFERROR(INDEX(PTAX!$C$5:$C$5000,MATCH($B28,PTAX!$B$5:$B$5000,1)),"")</f>
        <v/>
      </c>
      <c r="F28" s="9" t="str">
        <f aca="false">IF(OR($B28="",E28=""),"",D28/E28)</f>
        <v/>
      </c>
    </row>
    <row r="29" customFormat="false" ht="15" hidden="false" customHeight="false" outlineLevel="0" collapsed="false">
      <c r="B29" s="35"/>
      <c r="D29" s="31"/>
      <c r="E29" s="33" t="str">
        <f aca="false">IFERROR(INDEX(PTAX!$C$5:$C$5000,MATCH($B29,PTAX!$B$5:$B$5000,1)),"")</f>
        <v/>
      </c>
      <c r="F29" s="9" t="str">
        <f aca="false">IF(OR($B29="",E29=""),"",D29/E29)</f>
        <v/>
      </c>
    </row>
    <row r="30" customFormat="false" ht="15" hidden="false" customHeight="false" outlineLevel="0" collapsed="false">
      <c r="B30" s="35"/>
      <c r="D30" s="31"/>
      <c r="E30" s="33" t="str">
        <f aca="false">IFERROR(INDEX(PTAX!$C$5:$C$5000,MATCH($B30,PTAX!$B$5:$B$5000,1)),"")</f>
        <v/>
      </c>
      <c r="F30" s="9" t="str">
        <f aca="false">IF(OR($B30="",E30=""),"",D30/E30)</f>
        <v/>
      </c>
    </row>
    <row r="31" customFormat="false" ht="15" hidden="false" customHeight="false" outlineLevel="0" collapsed="false">
      <c r="B31" s="35"/>
      <c r="D31" s="31"/>
      <c r="E31" s="33" t="str">
        <f aca="false">IFERROR(INDEX(PTAX!$C$5:$C$5000,MATCH($B31,PTAX!$B$5:$B$5000,1)),"")</f>
        <v/>
      </c>
      <c r="F31" s="9" t="str">
        <f aca="false">IF(OR($B31="",E31=""),"",D31/E31)</f>
        <v/>
      </c>
    </row>
    <row r="32" customFormat="false" ht="15" hidden="false" customHeight="false" outlineLevel="0" collapsed="false">
      <c r="B32" s="35"/>
      <c r="D32" s="31"/>
      <c r="E32" s="33" t="str">
        <f aca="false">IFERROR(INDEX(PTAX!$C$5:$C$5000,MATCH($B32,PTAX!$B$5:$B$5000,1)),"")</f>
        <v/>
      </c>
      <c r="F32" s="9" t="str">
        <f aca="false">IF(OR($B32="",E32=""),"",D32/E32)</f>
        <v/>
      </c>
    </row>
    <row r="33" customFormat="false" ht="15" hidden="false" customHeight="false" outlineLevel="0" collapsed="false">
      <c r="B33" s="35"/>
      <c r="D33" s="31"/>
      <c r="E33" s="33" t="str">
        <f aca="false">IFERROR(INDEX(PTAX!$C$5:$C$5000,MATCH($B33,PTAX!$B$5:$B$5000,1)),"")</f>
        <v/>
      </c>
      <c r="F33" s="9" t="str">
        <f aca="false">IF(OR($B33="",E33=""),"",D33/E33)</f>
        <v/>
      </c>
    </row>
    <row r="34" customFormat="false" ht="15" hidden="false" customHeight="false" outlineLevel="0" collapsed="false">
      <c r="B34" s="35"/>
      <c r="D34" s="31"/>
      <c r="E34" s="33" t="str">
        <f aca="false">IFERROR(INDEX(PTAX!$C$5:$C$5000,MATCH($B34,PTAX!$B$5:$B$5000,1)),"")</f>
        <v/>
      </c>
      <c r="F34" s="9" t="str">
        <f aca="false">IF(OR($B34="",E34=""),"",D34/E34)</f>
        <v/>
      </c>
    </row>
    <row r="35" customFormat="false" ht="15" hidden="false" customHeight="false" outlineLevel="0" collapsed="false">
      <c r="B35" s="35"/>
      <c r="D35" s="31"/>
      <c r="E35" s="33" t="str">
        <f aca="false">IFERROR(INDEX(PTAX!$C$5:$C$5000,MATCH($B35,PTAX!$B$5:$B$5000,1)),"")</f>
        <v/>
      </c>
      <c r="F35" s="9" t="str">
        <f aca="false">IF(OR($B35="",E35=""),"",D35/E35)</f>
        <v/>
      </c>
    </row>
    <row r="36" customFormat="false" ht="15" hidden="false" customHeight="false" outlineLevel="0" collapsed="false">
      <c r="B36" s="35"/>
      <c r="D36" s="31"/>
      <c r="E36" s="33" t="str">
        <f aca="false">IFERROR(INDEX(PTAX!$C$5:$C$5000,MATCH($B36,PTAX!$B$5:$B$5000,1)),"")</f>
        <v/>
      </c>
      <c r="F36" s="9" t="str">
        <f aca="false">IF(OR($B36="",E36=""),"",D36/E36)</f>
        <v/>
      </c>
    </row>
    <row r="37" customFormat="false" ht="15" hidden="false" customHeight="false" outlineLevel="0" collapsed="false">
      <c r="B37" s="35"/>
      <c r="D37" s="31"/>
      <c r="E37" s="33" t="str">
        <f aca="false">IFERROR(INDEX(PTAX!$C$5:$C$5000,MATCH($B37,PTAX!$B$5:$B$5000,1)),"")</f>
        <v/>
      </c>
      <c r="F37" s="9" t="str">
        <f aca="false">IF(OR($B37="",E37=""),"",D37/E37)</f>
        <v/>
      </c>
    </row>
    <row r="38" customFormat="false" ht="15" hidden="false" customHeight="false" outlineLevel="0" collapsed="false">
      <c r="B38" s="35"/>
      <c r="D38" s="31"/>
      <c r="E38" s="33" t="str">
        <f aca="false">IFERROR(INDEX(PTAX!$C$5:$C$5000,MATCH($B38,PTAX!$B$5:$B$5000,1)),"")</f>
        <v/>
      </c>
      <c r="F38" s="9" t="str">
        <f aca="false">IF(OR($B38="",E38=""),"",D38/E38)</f>
        <v/>
      </c>
    </row>
    <row r="39" customFormat="false" ht="15" hidden="false" customHeight="false" outlineLevel="0" collapsed="false">
      <c r="B39" s="35"/>
      <c r="D39" s="31"/>
      <c r="E39" s="33" t="str">
        <f aca="false">IFERROR(INDEX(PTAX!$C$5:$C$5000,MATCH($B39,PTAX!$B$5:$B$5000,1)),"")</f>
        <v/>
      </c>
      <c r="F39" s="9" t="str">
        <f aca="false">IF(OR($B39="",E39=""),"",D39/E39)</f>
        <v/>
      </c>
    </row>
    <row r="40" customFormat="false" ht="15" hidden="false" customHeight="false" outlineLevel="0" collapsed="false">
      <c r="B40" s="35"/>
      <c r="D40" s="31"/>
      <c r="E40" s="33" t="str">
        <f aca="false">IFERROR(INDEX(PTAX!$C$5:$C$5000,MATCH($B40,PTAX!$B$5:$B$5000,1)),"")</f>
        <v/>
      </c>
      <c r="F40" s="9" t="str">
        <f aca="false">IF(OR($B40="",E40=""),"",D40/E40)</f>
        <v/>
      </c>
    </row>
    <row r="41" customFormat="false" ht="15" hidden="false" customHeight="false" outlineLevel="0" collapsed="false">
      <c r="B41" s="35"/>
      <c r="D41" s="31"/>
      <c r="E41" s="33" t="str">
        <f aca="false">IFERROR(INDEX(PTAX!$C$5:$C$5000,MATCH($B41,PTAX!$B$5:$B$5000,1)),"")</f>
        <v/>
      </c>
      <c r="F41" s="9" t="str">
        <f aca="false">IF(OR($B41="",E41=""),"",D41/E41)</f>
        <v/>
      </c>
    </row>
    <row r="42" customFormat="false" ht="15" hidden="false" customHeight="false" outlineLevel="0" collapsed="false">
      <c r="B42" s="35"/>
      <c r="D42" s="31"/>
      <c r="E42" s="33" t="str">
        <f aca="false">IFERROR(INDEX(PTAX!$C$5:$C$5000,MATCH($B42,PTAX!$B$5:$B$5000,1)),"")</f>
        <v/>
      </c>
      <c r="F42" s="9" t="str">
        <f aca="false">IF(OR($B42="",E42=""),"",D42/E42)</f>
        <v/>
      </c>
    </row>
    <row r="43" customFormat="false" ht="15" hidden="false" customHeight="false" outlineLevel="0" collapsed="false">
      <c r="B43" s="35"/>
      <c r="D43" s="31"/>
      <c r="E43" s="33" t="str">
        <f aca="false">IFERROR(INDEX(PTAX!$C$5:$C$5000,MATCH($B43,PTAX!$B$5:$B$5000,1)),"")</f>
        <v/>
      </c>
      <c r="F43" s="9" t="str">
        <f aca="false">IF(OR($B43="",E43=""),"",D43/E43)</f>
        <v/>
      </c>
    </row>
    <row r="44" customFormat="false" ht="15" hidden="false" customHeight="false" outlineLevel="0" collapsed="false">
      <c r="B44" s="35"/>
      <c r="D44" s="31"/>
      <c r="E44" s="33" t="str">
        <f aca="false">IFERROR(INDEX(PTAX!$C$5:$C$5000,MATCH($B44,PTAX!$B$5:$B$5000,1)),"")</f>
        <v/>
      </c>
      <c r="F44" s="9" t="str">
        <f aca="false">IF(OR($B44="",E44=""),"",D44/E44)</f>
        <v/>
      </c>
    </row>
    <row r="45" customFormat="false" ht="15" hidden="false" customHeight="false" outlineLevel="0" collapsed="false">
      <c r="B45" s="35"/>
      <c r="D45" s="31"/>
      <c r="E45" s="33" t="str">
        <f aca="false">IFERROR(INDEX(PTAX!$C$5:$C$5000,MATCH($B45,PTAX!$B$5:$B$5000,1)),"")</f>
        <v/>
      </c>
      <c r="F45" s="9" t="str">
        <f aca="false">IF(OR($B45="",E45=""),"",D45/E45)</f>
        <v/>
      </c>
    </row>
    <row r="46" customFormat="false" ht="15" hidden="false" customHeight="false" outlineLevel="0" collapsed="false">
      <c r="B46" s="35"/>
      <c r="D46" s="31"/>
      <c r="E46" s="33" t="str">
        <f aca="false">IFERROR(INDEX(PTAX!$C$5:$C$5000,MATCH($B46,PTAX!$B$5:$B$5000,1)),"")</f>
        <v/>
      </c>
      <c r="F46" s="9" t="str">
        <f aca="false">IF(OR($B46="",E46=""),"",D46/E46)</f>
        <v/>
      </c>
    </row>
    <row r="47" customFormat="false" ht="15" hidden="false" customHeight="false" outlineLevel="0" collapsed="false">
      <c r="B47" s="35"/>
      <c r="D47" s="31"/>
      <c r="E47" s="33" t="str">
        <f aca="false">IFERROR(INDEX(PTAX!$C$5:$C$5000,MATCH($B47,PTAX!$B$5:$B$5000,1)),"")</f>
        <v/>
      </c>
      <c r="F47" s="9" t="str">
        <f aca="false">IF(OR($B47="",E47=""),"",D47/E47)</f>
        <v/>
      </c>
    </row>
    <row r="48" customFormat="false" ht="15" hidden="false" customHeight="false" outlineLevel="0" collapsed="false">
      <c r="B48" s="35"/>
      <c r="D48" s="31"/>
      <c r="E48" s="33" t="str">
        <f aca="false">IFERROR(INDEX(PTAX!$C$5:$C$5000,MATCH($B48,PTAX!$B$5:$B$5000,1)),"")</f>
        <v/>
      </c>
      <c r="F48" s="9" t="str">
        <f aca="false">IF(OR($B48="",E48=""),"",D48/E48)</f>
        <v/>
      </c>
    </row>
    <row r="49" customFormat="false" ht="15" hidden="false" customHeight="false" outlineLevel="0" collapsed="false">
      <c r="B49" s="35"/>
      <c r="D49" s="31"/>
      <c r="E49" s="33" t="str">
        <f aca="false">IFERROR(INDEX(PTAX!$C$5:$C$5000,MATCH($B49,PTAX!$B$5:$B$5000,1)),"")</f>
        <v/>
      </c>
      <c r="F49" s="9" t="str">
        <f aca="false">IF(OR($B49="",E49=""),"",D49/E49)</f>
        <v/>
      </c>
    </row>
    <row r="50" customFormat="false" ht="15" hidden="false" customHeight="false" outlineLevel="0" collapsed="false">
      <c r="B50" s="35"/>
      <c r="D50" s="31"/>
      <c r="E50" s="33" t="str">
        <f aca="false">IFERROR(INDEX(PTAX!$C$5:$C$5000,MATCH($B50,PTAX!$B$5:$B$5000,1)),"")</f>
        <v/>
      </c>
      <c r="F50" s="9" t="str">
        <f aca="false">IF(OR($B50="",E50=""),"",D50/E50)</f>
        <v/>
      </c>
    </row>
    <row r="51" customFormat="false" ht="15" hidden="false" customHeight="false" outlineLevel="0" collapsed="false">
      <c r="B51" s="35"/>
      <c r="D51" s="31"/>
      <c r="E51" s="33" t="str">
        <f aca="false">IFERROR(INDEX(PTAX!$C$5:$C$5000,MATCH($B51,PTAX!$B$5:$B$5000,1)),"")</f>
        <v/>
      </c>
      <c r="F51" s="9" t="str">
        <f aca="false">IF(OR($B51="",E51=""),"",D51/E51)</f>
        <v/>
      </c>
    </row>
    <row r="52" customFormat="false" ht="15" hidden="false" customHeight="false" outlineLevel="0" collapsed="false">
      <c r="B52" s="35"/>
      <c r="D52" s="31"/>
      <c r="E52" s="33" t="str">
        <f aca="false">IFERROR(INDEX(PTAX!$C$5:$C$5000,MATCH($B52,PTAX!$B$5:$B$5000,1)),"")</f>
        <v/>
      </c>
      <c r="F52" s="9" t="str">
        <f aca="false">IF(OR($B52="",E52=""),"",D52/E52)</f>
        <v/>
      </c>
    </row>
    <row r="53" customFormat="false" ht="15" hidden="false" customHeight="false" outlineLevel="0" collapsed="false">
      <c r="B53" s="35"/>
      <c r="D53" s="31"/>
      <c r="E53" s="33" t="str">
        <f aca="false">IFERROR(INDEX(PTAX!$C$5:$C$5000,MATCH($B53,PTAX!$B$5:$B$5000,1)),"")</f>
        <v/>
      </c>
      <c r="F53" s="9" t="str">
        <f aca="false">IF(OR($B53="",E53=""),"",D53/E53)</f>
        <v/>
      </c>
    </row>
    <row r="54" customFormat="false" ht="15" hidden="false" customHeight="false" outlineLevel="0" collapsed="false">
      <c r="B54" s="35"/>
      <c r="D54" s="31"/>
      <c r="E54" s="33" t="str">
        <f aca="false">IFERROR(INDEX(PTAX!$C$5:$C$5000,MATCH($B54,PTAX!$B$5:$B$5000,1)),"")</f>
        <v/>
      </c>
      <c r="F54" s="9" t="str">
        <f aca="false">IF(OR($B54="",E54=""),"",D54/E54)</f>
        <v/>
      </c>
    </row>
    <row r="55" customFormat="false" ht="15" hidden="false" customHeight="false" outlineLevel="0" collapsed="false">
      <c r="B55" s="35"/>
      <c r="D55" s="31"/>
      <c r="E55" s="33" t="str">
        <f aca="false">IFERROR(INDEX(PTAX!$C$5:$C$5000,MATCH($B55,PTAX!$B$5:$B$5000,1)),"")</f>
        <v/>
      </c>
      <c r="F55" s="9" t="str">
        <f aca="false">IF(OR($B55="",E55=""),"",D55/E55)</f>
        <v/>
      </c>
    </row>
    <row r="56" customFormat="false" ht="15" hidden="false" customHeight="false" outlineLevel="0" collapsed="false">
      <c r="B56" s="35"/>
      <c r="D56" s="31"/>
      <c r="E56" s="33" t="str">
        <f aca="false">IFERROR(INDEX(PTAX!$C$5:$C$5000,MATCH($B56,PTAX!$B$5:$B$5000,1)),"")</f>
        <v/>
      </c>
      <c r="F56" s="9" t="str">
        <f aca="false">IF(OR($B56="",E56=""),"",D56/E56)</f>
        <v/>
      </c>
    </row>
    <row r="57" customFormat="false" ht="15" hidden="false" customHeight="false" outlineLevel="0" collapsed="false">
      <c r="B57" s="35"/>
      <c r="D57" s="31"/>
      <c r="E57" s="33" t="str">
        <f aca="false">IFERROR(INDEX(PTAX!$C$5:$C$5000,MATCH($B57,PTAX!$B$5:$B$5000,1)),"")</f>
        <v/>
      </c>
      <c r="F57" s="9" t="str">
        <f aca="false">IF(OR($B57="",E57=""),"",D57/E57)</f>
        <v/>
      </c>
    </row>
    <row r="58" customFormat="false" ht="15" hidden="false" customHeight="false" outlineLevel="0" collapsed="false">
      <c r="B58" s="35"/>
      <c r="D58" s="31"/>
      <c r="E58" s="33" t="str">
        <f aca="false">IFERROR(INDEX(PTAX!$C$5:$C$5000,MATCH($B58,PTAX!$B$5:$B$5000,1)),"")</f>
        <v/>
      </c>
      <c r="F58" s="9" t="str">
        <f aca="false">IF(OR($B58="",E58=""),"",D58/E58)</f>
        <v/>
      </c>
    </row>
    <row r="59" customFormat="false" ht="15" hidden="false" customHeight="false" outlineLevel="0" collapsed="false">
      <c r="B59" s="35"/>
      <c r="D59" s="31"/>
      <c r="E59" s="33" t="str">
        <f aca="false">IFERROR(INDEX(PTAX!$C$5:$C$5000,MATCH($B59,PTAX!$B$5:$B$5000,1)),"")</f>
        <v/>
      </c>
      <c r="F59" s="9" t="str">
        <f aca="false">IF(OR($B59="",E59=""),"",D59/E59)</f>
        <v/>
      </c>
    </row>
    <row r="60" customFormat="false" ht="15" hidden="false" customHeight="false" outlineLevel="0" collapsed="false">
      <c r="B60" s="35"/>
      <c r="D60" s="31"/>
      <c r="E60" s="33" t="str">
        <f aca="false">IFERROR(INDEX(PTAX!$C$5:$C$5000,MATCH($B60,PTAX!$B$5:$B$5000,1)),"")</f>
        <v/>
      </c>
      <c r="F60" s="9" t="str">
        <f aca="false">IF(OR($B60="",E60=""),"",D60/E60)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6" min="4" style="1" width="14"/>
  </cols>
  <sheetData>
    <row r="2" customFormat="false" ht="15" hidden="false" customHeight="false" outlineLevel="0" collapsed="false">
      <c r="B2" s="4" t="s">
        <v>67</v>
      </c>
      <c r="C2" s="4" t="s">
        <v>12</v>
      </c>
      <c r="D2" s="4" t="s">
        <v>81</v>
      </c>
      <c r="E2" s="4" t="s">
        <v>73</v>
      </c>
      <c r="F2" s="4" t="s">
        <v>82</v>
      </c>
      <c r="H2" s="3" t="s">
        <v>86</v>
      </c>
    </row>
    <row r="3" customFormat="false" ht="15" hidden="false" customHeight="false" outlineLevel="0" collapsed="false">
      <c r="B3" s="35"/>
      <c r="D3" s="31"/>
      <c r="E3" s="33" t="str">
        <f aca="false">IFERROR(INDEX(PTAX!$C$5:$C$5000,MATCH($B3,PTAX!$B$5:$B$5000,1)),"")</f>
        <v/>
      </c>
      <c r="F3" s="9" t="str">
        <f aca="false">IF(OR($B3="",E3=""),"",D3/E3)</f>
        <v/>
      </c>
    </row>
    <row r="4" customFormat="false" ht="15" hidden="false" customHeight="false" outlineLevel="0" collapsed="false">
      <c r="B4" s="35"/>
      <c r="D4" s="31"/>
      <c r="E4" s="33" t="str">
        <f aca="false">IFERROR(INDEX(PTAX!$C$5:$C$5000,MATCH($B4,PTAX!$B$5:$B$5000,1)),"")</f>
        <v/>
      </c>
      <c r="F4" s="9" t="str">
        <f aca="false">IF(OR($B4="",E4=""),"",D4/E4)</f>
        <v/>
      </c>
    </row>
    <row r="5" customFormat="false" ht="15" hidden="false" customHeight="false" outlineLevel="0" collapsed="false">
      <c r="B5" s="35"/>
      <c r="D5" s="31"/>
      <c r="E5" s="33" t="str">
        <f aca="false">IFERROR(INDEX(PTAX!$C$5:$C$5000,MATCH($B5,PTAX!$B$5:$B$5000,1)),"")</f>
        <v/>
      </c>
      <c r="F5" s="9" t="str">
        <f aca="false">IF(OR($B5="",E5=""),"",D5/E5)</f>
        <v/>
      </c>
    </row>
    <row r="6" customFormat="false" ht="15" hidden="false" customHeight="false" outlineLevel="0" collapsed="false">
      <c r="B6" s="35"/>
      <c r="D6" s="31"/>
      <c r="E6" s="33" t="str">
        <f aca="false">IFERROR(INDEX(PTAX!$C$5:$C$5000,MATCH($B6,PTAX!$B$5:$B$5000,1)),"")</f>
        <v/>
      </c>
      <c r="F6" s="9" t="str">
        <f aca="false">IF(OR($B6="",E6=""),"",D6/E6)</f>
        <v/>
      </c>
    </row>
    <row r="7" customFormat="false" ht="15" hidden="false" customHeight="false" outlineLevel="0" collapsed="false">
      <c r="B7" s="35"/>
      <c r="D7" s="31"/>
      <c r="E7" s="33" t="str">
        <f aca="false">IFERROR(INDEX(PTAX!$C$5:$C$5000,MATCH($B7,PTAX!$B$5:$B$5000,1)),"")</f>
        <v/>
      </c>
      <c r="F7" s="9" t="str">
        <f aca="false">IF(OR($B7="",E7=""),"",D7/E7)</f>
        <v/>
      </c>
    </row>
    <row r="8" customFormat="false" ht="15" hidden="false" customHeight="false" outlineLevel="0" collapsed="false">
      <c r="B8" s="35"/>
      <c r="D8" s="31"/>
      <c r="E8" s="33" t="str">
        <f aca="false">IFERROR(INDEX(PTAX!$C$5:$C$5000,MATCH($B8,PTAX!$B$5:$B$5000,1)),"")</f>
        <v/>
      </c>
      <c r="F8" s="9" t="str">
        <f aca="false">IF(OR($B8="",E8=""),"",D8/E8)</f>
        <v/>
      </c>
    </row>
    <row r="9" customFormat="false" ht="15" hidden="false" customHeight="false" outlineLevel="0" collapsed="false">
      <c r="B9" s="35"/>
      <c r="D9" s="31"/>
      <c r="E9" s="33" t="str">
        <f aca="false">IFERROR(INDEX(PTAX!$C$5:$C$5000,MATCH($B9,PTAX!$B$5:$B$5000,1)),"")</f>
        <v/>
      </c>
      <c r="F9" s="9" t="str">
        <f aca="false">IF(OR($B9="",E9=""),"",D9/E9)</f>
        <v/>
      </c>
    </row>
    <row r="10" customFormat="false" ht="15" hidden="false" customHeight="false" outlineLevel="0" collapsed="false">
      <c r="B10" s="35"/>
      <c r="D10" s="31"/>
      <c r="E10" s="33" t="str">
        <f aca="false">IFERROR(INDEX(PTAX!$C$5:$C$5000,MATCH($B10,PTAX!$B$5:$B$5000,1)),"")</f>
        <v/>
      </c>
      <c r="F10" s="9" t="str">
        <f aca="false">IF(OR($B10="",E10=""),"",D10/E10)</f>
        <v/>
      </c>
    </row>
    <row r="11" customFormat="false" ht="15" hidden="false" customHeight="false" outlineLevel="0" collapsed="false">
      <c r="B11" s="35"/>
      <c r="D11" s="31"/>
      <c r="E11" s="33" t="str">
        <f aca="false">IFERROR(INDEX(PTAX!$C$5:$C$5000,MATCH($B11,PTAX!$B$5:$B$5000,1)),"")</f>
        <v/>
      </c>
      <c r="F11" s="9" t="str">
        <f aca="false">IF(OR($B11="",E11=""),"",D11/E11)</f>
        <v/>
      </c>
    </row>
    <row r="12" customFormat="false" ht="15" hidden="false" customHeight="false" outlineLevel="0" collapsed="false">
      <c r="B12" s="35"/>
      <c r="D12" s="31"/>
      <c r="E12" s="33" t="str">
        <f aca="false">IFERROR(INDEX(PTAX!$C$5:$C$5000,MATCH($B12,PTAX!$B$5:$B$5000,1)),"")</f>
        <v/>
      </c>
      <c r="F12" s="9" t="str">
        <f aca="false">IF(OR($B12="",E12=""),"",D12/E12)</f>
        <v/>
      </c>
    </row>
    <row r="13" customFormat="false" ht="15" hidden="false" customHeight="false" outlineLevel="0" collapsed="false">
      <c r="B13" s="35"/>
      <c r="D13" s="31"/>
      <c r="E13" s="33" t="str">
        <f aca="false">IFERROR(INDEX(PTAX!$C$5:$C$5000,MATCH($B13,PTAX!$B$5:$B$5000,1)),"")</f>
        <v/>
      </c>
      <c r="F13" s="9" t="str">
        <f aca="false">IF(OR($B13="",E13=""),"",D13/E13)</f>
        <v/>
      </c>
    </row>
    <row r="14" customFormat="false" ht="15" hidden="false" customHeight="false" outlineLevel="0" collapsed="false">
      <c r="B14" s="35"/>
      <c r="D14" s="31"/>
      <c r="E14" s="33" t="str">
        <f aca="false">IFERROR(INDEX(PTAX!$C$5:$C$5000,MATCH($B14,PTAX!$B$5:$B$5000,1)),"")</f>
        <v/>
      </c>
      <c r="F14" s="9" t="str">
        <f aca="false">IF(OR($B14="",E14=""),"",D14/E14)</f>
        <v/>
      </c>
    </row>
    <row r="15" customFormat="false" ht="15" hidden="false" customHeight="false" outlineLevel="0" collapsed="false">
      <c r="B15" s="35"/>
      <c r="D15" s="31"/>
      <c r="E15" s="33" t="str">
        <f aca="false">IFERROR(INDEX(PTAX!$C$5:$C$5000,MATCH($B15,PTAX!$B$5:$B$5000,1)),"")</f>
        <v/>
      </c>
      <c r="F15" s="9" t="str">
        <f aca="false">IF(OR($B15="",E15=""),"",D15/E15)</f>
        <v/>
      </c>
    </row>
    <row r="16" customFormat="false" ht="15" hidden="false" customHeight="false" outlineLevel="0" collapsed="false">
      <c r="B16" s="35"/>
      <c r="D16" s="31"/>
      <c r="E16" s="33" t="str">
        <f aca="false">IFERROR(INDEX(PTAX!$C$5:$C$5000,MATCH($B16,PTAX!$B$5:$B$5000,1)),"")</f>
        <v/>
      </c>
      <c r="F16" s="9" t="str">
        <f aca="false">IF(OR($B16="",E16=""),"",D16/E16)</f>
        <v/>
      </c>
    </row>
    <row r="17" customFormat="false" ht="15" hidden="false" customHeight="false" outlineLevel="0" collapsed="false">
      <c r="B17" s="35"/>
      <c r="D17" s="31"/>
      <c r="E17" s="33" t="str">
        <f aca="false">IFERROR(INDEX(PTAX!$C$5:$C$5000,MATCH($B17,PTAX!$B$5:$B$5000,1)),"")</f>
        <v/>
      </c>
      <c r="F17" s="9" t="str">
        <f aca="false">IF(OR($B17="",E17=""),"",D17/E17)</f>
        <v/>
      </c>
    </row>
    <row r="18" customFormat="false" ht="15" hidden="false" customHeight="false" outlineLevel="0" collapsed="false">
      <c r="B18" s="35"/>
      <c r="D18" s="31"/>
      <c r="E18" s="33" t="str">
        <f aca="false">IFERROR(INDEX(PTAX!$C$5:$C$5000,MATCH($B18,PTAX!$B$5:$B$5000,1)),"")</f>
        <v/>
      </c>
      <c r="F18" s="9" t="str">
        <f aca="false">IF(OR($B18="",E18=""),"",D18/E18)</f>
        <v/>
      </c>
    </row>
    <row r="19" customFormat="false" ht="15" hidden="false" customHeight="false" outlineLevel="0" collapsed="false">
      <c r="B19" s="35"/>
      <c r="D19" s="31"/>
      <c r="E19" s="33" t="str">
        <f aca="false">IFERROR(INDEX(PTAX!$C$5:$C$5000,MATCH($B19,PTAX!$B$5:$B$5000,1)),"")</f>
        <v/>
      </c>
      <c r="F19" s="9" t="str">
        <f aca="false">IF(OR($B19="",E19=""),"",D19/E19)</f>
        <v/>
      </c>
    </row>
    <row r="20" customFormat="false" ht="15" hidden="false" customHeight="false" outlineLevel="0" collapsed="false">
      <c r="B20" s="35"/>
      <c r="D20" s="31"/>
      <c r="E20" s="33" t="str">
        <f aca="false">IFERROR(INDEX(PTAX!$C$5:$C$5000,MATCH($B20,PTAX!$B$5:$B$5000,1)),"")</f>
        <v/>
      </c>
      <c r="F20" s="9" t="str">
        <f aca="false">IF(OR($B20="",E20=""),"",D20/E20)</f>
        <v/>
      </c>
    </row>
    <row r="21" customFormat="false" ht="15" hidden="false" customHeight="false" outlineLevel="0" collapsed="false">
      <c r="B21" s="35"/>
      <c r="D21" s="31"/>
      <c r="E21" s="33" t="str">
        <f aca="false">IFERROR(INDEX(PTAX!$C$5:$C$5000,MATCH($B21,PTAX!$B$5:$B$5000,1)),"")</f>
        <v/>
      </c>
      <c r="F21" s="9" t="str">
        <f aca="false">IF(OR($B21="",E21=""),"",D21/E21)</f>
        <v/>
      </c>
    </row>
    <row r="22" customFormat="false" ht="15" hidden="false" customHeight="false" outlineLevel="0" collapsed="false">
      <c r="B22" s="35"/>
      <c r="D22" s="31"/>
      <c r="E22" s="33" t="str">
        <f aca="false">IFERROR(INDEX(PTAX!$C$5:$C$5000,MATCH($B22,PTAX!$B$5:$B$5000,1)),"")</f>
        <v/>
      </c>
      <c r="F22" s="9" t="str">
        <f aca="false">IF(OR($B22="",E22=""),"",D22/E22)</f>
        <v/>
      </c>
    </row>
    <row r="23" customFormat="false" ht="15" hidden="false" customHeight="false" outlineLevel="0" collapsed="false">
      <c r="B23" s="35"/>
      <c r="D23" s="31"/>
      <c r="E23" s="33" t="str">
        <f aca="false">IFERROR(INDEX(PTAX!$C$5:$C$5000,MATCH($B23,PTAX!$B$5:$B$5000,1)),"")</f>
        <v/>
      </c>
      <c r="F23" s="9" t="str">
        <f aca="false">IF(OR($B23="",E23=""),"",D23/E23)</f>
        <v/>
      </c>
    </row>
    <row r="24" customFormat="false" ht="15" hidden="false" customHeight="false" outlineLevel="0" collapsed="false">
      <c r="B24" s="35"/>
      <c r="D24" s="31"/>
      <c r="E24" s="33" t="str">
        <f aca="false">IFERROR(INDEX(PTAX!$C$5:$C$5000,MATCH($B24,PTAX!$B$5:$B$5000,1)),"")</f>
        <v/>
      </c>
      <c r="F24" s="9" t="str">
        <f aca="false">IF(OR($B24="",E24=""),"",D24/E24)</f>
        <v/>
      </c>
    </row>
    <row r="25" customFormat="false" ht="15" hidden="false" customHeight="false" outlineLevel="0" collapsed="false">
      <c r="B25" s="35"/>
      <c r="D25" s="31"/>
      <c r="E25" s="33" t="str">
        <f aca="false">IFERROR(INDEX(PTAX!$C$5:$C$5000,MATCH($B25,PTAX!$B$5:$B$5000,1)),"")</f>
        <v/>
      </c>
      <c r="F25" s="9" t="str">
        <f aca="false">IF(OR($B25="",E25=""),"",D25/E25)</f>
        <v/>
      </c>
    </row>
    <row r="26" customFormat="false" ht="15" hidden="false" customHeight="false" outlineLevel="0" collapsed="false">
      <c r="B26" s="35"/>
      <c r="D26" s="31"/>
      <c r="E26" s="33" t="str">
        <f aca="false">IFERROR(INDEX(PTAX!$C$5:$C$5000,MATCH($B26,PTAX!$B$5:$B$5000,1)),"")</f>
        <v/>
      </c>
      <c r="F26" s="9" t="str">
        <f aca="false">IF(OR($B26="",E26=""),"",D26/E26)</f>
        <v/>
      </c>
    </row>
    <row r="27" customFormat="false" ht="15" hidden="false" customHeight="false" outlineLevel="0" collapsed="false">
      <c r="B27" s="35"/>
      <c r="D27" s="31"/>
      <c r="E27" s="33" t="str">
        <f aca="false">IFERROR(INDEX(PTAX!$C$5:$C$5000,MATCH($B27,PTAX!$B$5:$B$5000,1)),"")</f>
        <v/>
      </c>
      <c r="F27" s="9" t="str">
        <f aca="false">IF(OR($B27="",E27=""),"",D27/E27)</f>
        <v/>
      </c>
    </row>
    <row r="28" customFormat="false" ht="15" hidden="false" customHeight="false" outlineLevel="0" collapsed="false">
      <c r="B28" s="35"/>
      <c r="D28" s="31"/>
      <c r="E28" s="33" t="str">
        <f aca="false">IFERROR(INDEX(PTAX!$C$5:$C$5000,MATCH($B28,PTAX!$B$5:$B$5000,1)),"")</f>
        <v/>
      </c>
      <c r="F28" s="9" t="str">
        <f aca="false">IF(OR($B28="",E28=""),"",D28/E28)</f>
        <v/>
      </c>
    </row>
    <row r="29" customFormat="false" ht="15" hidden="false" customHeight="false" outlineLevel="0" collapsed="false">
      <c r="B29" s="35"/>
      <c r="D29" s="31"/>
      <c r="E29" s="33" t="str">
        <f aca="false">IFERROR(INDEX(PTAX!$C$5:$C$5000,MATCH($B29,PTAX!$B$5:$B$5000,1)),"")</f>
        <v/>
      </c>
      <c r="F29" s="9" t="str">
        <f aca="false">IF(OR($B29="",E29=""),"",D29/E29)</f>
        <v/>
      </c>
    </row>
    <row r="30" customFormat="false" ht="15" hidden="false" customHeight="false" outlineLevel="0" collapsed="false">
      <c r="B30" s="35"/>
      <c r="D30" s="31"/>
      <c r="E30" s="33" t="str">
        <f aca="false">IFERROR(INDEX(PTAX!$C$5:$C$5000,MATCH($B30,PTAX!$B$5:$B$5000,1)),"")</f>
        <v/>
      </c>
      <c r="F30" s="9" t="str">
        <f aca="false">IF(OR($B30="",E30=""),"",D30/E30)</f>
        <v/>
      </c>
    </row>
    <row r="31" customFormat="false" ht="15" hidden="false" customHeight="false" outlineLevel="0" collapsed="false">
      <c r="B31" s="35"/>
      <c r="D31" s="31"/>
      <c r="E31" s="33" t="str">
        <f aca="false">IFERROR(INDEX(PTAX!$C$5:$C$5000,MATCH($B31,PTAX!$B$5:$B$5000,1)),"")</f>
        <v/>
      </c>
      <c r="F31" s="9" t="str">
        <f aca="false">IF(OR($B31="",E31=""),"",D31/E31)</f>
        <v/>
      </c>
    </row>
    <row r="32" customFormat="false" ht="15" hidden="false" customHeight="false" outlineLevel="0" collapsed="false">
      <c r="B32" s="35"/>
      <c r="D32" s="31"/>
      <c r="E32" s="33" t="str">
        <f aca="false">IFERROR(INDEX(PTAX!$C$5:$C$5000,MATCH($B32,PTAX!$B$5:$B$5000,1)),"")</f>
        <v/>
      </c>
      <c r="F32" s="9" t="str">
        <f aca="false">IF(OR($B32="",E32=""),"",D32/E32)</f>
        <v/>
      </c>
    </row>
    <row r="33" customFormat="false" ht="15" hidden="false" customHeight="false" outlineLevel="0" collapsed="false">
      <c r="B33" s="35"/>
      <c r="D33" s="31"/>
      <c r="E33" s="33" t="str">
        <f aca="false">IFERROR(INDEX(PTAX!$C$5:$C$5000,MATCH($B33,PTAX!$B$5:$B$5000,1)),"")</f>
        <v/>
      </c>
      <c r="F33" s="9" t="str">
        <f aca="false">IF(OR($B33="",E33=""),"",D33/E33)</f>
        <v/>
      </c>
    </row>
    <row r="34" customFormat="false" ht="15" hidden="false" customHeight="false" outlineLevel="0" collapsed="false">
      <c r="B34" s="35"/>
      <c r="D34" s="31"/>
      <c r="E34" s="33" t="str">
        <f aca="false">IFERROR(INDEX(PTAX!$C$5:$C$5000,MATCH($B34,PTAX!$B$5:$B$5000,1)),"")</f>
        <v/>
      </c>
      <c r="F34" s="9" t="str">
        <f aca="false">IF(OR($B34="",E34=""),"",D34/E34)</f>
        <v/>
      </c>
    </row>
    <row r="35" customFormat="false" ht="15" hidden="false" customHeight="false" outlineLevel="0" collapsed="false">
      <c r="B35" s="35"/>
      <c r="D35" s="31"/>
      <c r="E35" s="33" t="str">
        <f aca="false">IFERROR(INDEX(PTAX!$C$5:$C$5000,MATCH($B35,PTAX!$B$5:$B$5000,1)),"")</f>
        <v/>
      </c>
      <c r="F35" s="9" t="str">
        <f aca="false">IF(OR($B35="",E35=""),"",D35/E35)</f>
        <v/>
      </c>
    </row>
    <row r="36" customFormat="false" ht="15" hidden="false" customHeight="false" outlineLevel="0" collapsed="false">
      <c r="B36" s="35"/>
      <c r="D36" s="31"/>
      <c r="E36" s="33" t="str">
        <f aca="false">IFERROR(INDEX(PTAX!$C$5:$C$5000,MATCH($B36,PTAX!$B$5:$B$5000,1)),"")</f>
        <v/>
      </c>
      <c r="F36" s="9" t="str">
        <f aca="false">IF(OR($B36="",E36=""),"",D36/E36)</f>
        <v/>
      </c>
    </row>
    <row r="37" customFormat="false" ht="15" hidden="false" customHeight="false" outlineLevel="0" collapsed="false">
      <c r="B37" s="35"/>
      <c r="D37" s="31"/>
      <c r="E37" s="33" t="str">
        <f aca="false">IFERROR(INDEX(PTAX!$C$5:$C$5000,MATCH($B37,PTAX!$B$5:$B$5000,1)),"")</f>
        <v/>
      </c>
      <c r="F37" s="9" t="str">
        <f aca="false">IF(OR($B37="",E37=""),"",D37/E37)</f>
        <v/>
      </c>
    </row>
    <row r="38" customFormat="false" ht="15" hidden="false" customHeight="false" outlineLevel="0" collapsed="false">
      <c r="B38" s="35"/>
      <c r="D38" s="31"/>
      <c r="E38" s="33" t="str">
        <f aca="false">IFERROR(INDEX(PTAX!$C$5:$C$5000,MATCH($B38,PTAX!$B$5:$B$5000,1)),"")</f>
        <v/>
      </c>
      <c r="F38" s="9" t="str">
        <f aca="false">IF(OR($B38="",E38=""),"",D38/E38)</f>
        <v/>
      </c>
    </row>
    <row r="39" customFormat="false" ht="15" hidden="false" customHeight="false" outlineLevel="0" collapsed="false">
      <c r="B39" s="35"/>
      <c r="D39" s="31"/>
      <c r="E39" s="33" t="str">
        <f aca="false">IFERROR(INDEX(PTAX!$C$5:$C$5000,MATCH($B39,PTAX!$B$5:$B$5000,1)),"")</f>
        <v/>
      </c>
      <c r="F39" s="9" t="str">
        <f aca="false">IF(OR($B39="",E39=""),"",D39/E39)</f>
        <v/>
      </c>
    </row>
    <row r="40" customFormat="false" ht="15" hidden="false" customHeight="false" outlineLevel="0" collapsed="false">
      <c r="B40" s="35"/>
      <c r="D40" s="31"/>
      <c r="E40" s="33" t="str">
        <f aca="false">IFERROR(INDEX(PTAX!$C$5:$C$5000,MATCH($B40,PTAX!$B$5:$B$5000,1)),"")</f>
        <v/>
      </c>
      <c r="F40" s="9" t="str">
        <f aca="false">IF(OR($B40="",E40=""),"",D40/E40)</f>
        <v/>
      </c>
    </row>
    <row r="41" customFormat="false" ht="15" hidden="false" customHeight="false" outlineLevel="0" collapsed="false">
      <c r="B41" s="35"/>
      <c r="D41" s="31"/>
      <c r="E41" s="33" t="str">
        <f aca="false">IFERROR(INDEX(PTAX!$C$5:$C$5000,MATCH($B41,PTAX!$B$5:$B$5000,1)),"")</f>
        <v/>
      </c>
      <c r="F41" s="9" t="str">
        <f aca="false">IF(OR($B41="",E41=""),"",D41/E41)</f>
        <v/>
      </c>
    </row>
    <row r="42" customFormat="false" ht="15" hidden="false" customHeight="false" outlineLevel="0" collapsed="false">
      <c r="B42" s="35"/>
      <c r="D42" s="31"/>
      <c r="E42" s="33" t="str">
        <f aca="false">IFERROR(INDEX(PTAX!$C$5:$C$5000,MATCH($B42,PTAX!$B$5:$B$5000,1)),"")</f>
        <v/>
      </c>
      <c r="F42" s="9" t="str">
        <f aca="false">IF(OR($B42="",E42=""),"",D42/E42)</f>
        <v/>
      </c>
    </row>
    <row r="43" customFormat="false" ht="15" hidden="false" customHeight="false" outlineLevel="0" collapsed="false">
      <c r="B43" s="35"/>
      <c r="D43" s="31"/>
      <c r="E43" s="33" t="str">
        <f aca="false">IFERROR(INDEX(PTAX!$C$5:$C$5000,MATCH($B43,PTAX!$B$5:$B$5000,1)),"")</f>
        <v/>
      </c>
      <c r="F43" s="9" t="str">
        <f aca="false">IF(OR($B43="",E43=""),"",D43/E43)</f>
        <v/>
      </c>
    </row>
    <row r="44" customFormat="false" ht="15" hidden="false" customHeight="false" outlineLevel="0" collapsed="false">
      <c r="B44" s="35"/>
      <c r="D44" s="31"/>
      <c r="E44" s="33" t="str">
        <f aca="false">IFERROR(INDEX(PTAX!$C$5:$C$5000,MATCH($B44,PTAX!$B$5:$B$5000,1)),"")</f>
        <v/>
      </c>
      <c r="F44" s="9" t="str">
        <f aca="false">IF(OR($B44="",E44=""),"",D44/E44)</f>
        <v/>
      </c>
    </row>
    <row r="45" customFormat="false" ht="15" hidden="false" customHeight="false" outlineLevel="0" collapsed="false">
      <c r="B45" s="35"/>
      <c r="D45" s="31"/>
      <c r="E45" s="33" t="str">
        <f aca="false">IFERROR(INDEX(PTAX!$C$5:$C$5000,MATCH($B45,PTAX!$B$5:$B$5000,1)),"")</f>
        <v/>
      </c>
      <c r="F45" s="9" t="str">
        <f aca="false">IF(OR($B45="",E45=""),"",D45/E45)</f>
        <v/>
      </c>
    </row>
    <row r="46" customFormat="false" ht="15" hidden="false" customHeight="false" outlineLevel="0" collapsed="false">
      <c r="B46" s="35"/>
      <c r="D46" s="31"/>
      <c r="E46" s="33" t="str">
        <f aca="false">IFERROR(INDEX(PTAX!$C$5:$C$5000,MATCH($B46,PTAX!$B$5:$B$5000,1)),"")</f>
        <v/>
      </c>
      <c r="F46" s="9" t="str">
        <f aca="false">IF(OR($B46="",E46=""),"",D46/E46)</f>
        <v/>
      </c>
    </row>
    <row r="47" customFormat="false" ht="15" hidden="false" customHeight="false" outlineLevel="0" collapsed="false">
      <c r="B47" s="35"/>
      <c r="D47" s="31"/>
      <c r="E47" s="33" t="str">
        <f aca="false">IFERROR(INDEX(PTAX!$C$5:$C$5000,MATCH($B47,PTAX!$B$5:$B$5000,1)),"")</f>
        <v/>
      </c>
      <c r="F47" s="9" t="str">
        <f aca="false">IF(OR($B47="",E47=""),"",D47/E47)</f>
        <v/>
      </c>
    </row>
    <row r="48" customFormat="false" ht="15" hidden="false" customHeight="false" outlineLevel="0" collapsed="false">
      <c r="B48" s="35"/>
      <c r="D48" s="31"/>
      <c r="E48" s="33" t="str">
        <f aca="false">IFERROR(INDEX(PTAX!$C$5:$C$5000,MATCH($B48,PTAX!$B$5:$B$5000,1)),"")</f>
        <v/>
      </c>
      <c r="F48" s="9" t="str">
        <f aca="false">IF(OR($B48="",E48=""),"",D48/E48)</f>
        <v/>
      </c>
    </row>
    <row r="49" customFormat="false" ht="15" hidden="false" customHeight="false" outlineLevel="0" collapsed="false">
      <c r="B49" s="35"/>
      <c r="D49" s="31"/>
      <c r="E49" s="33" t="str">
        <f aca="false">IFERROR(INDEX(PTAX!$C$5:$C$5000,MATCH($B49,PTAX!$B$5:$B$5000,1)),"")</f>
        <v/>
      </c>
      <c r="F49" s="9" t="str">
        <f aca="false">IF(OR($B49="",E49=""),"",D49/E49)</f>
        <v/>
      </c>
    </row>
    <row r="50" customFormat="false" ht="15" hidden="false" customHeight="false" outlineLevel="0" collapsed="false">
      <c r="B50" s="35"/>
      <c r="D50" s="31"/>
      <c r="E50" s="33" t="str">
        <f aca="false">IFERROR(INDEX(PTAX!$C$5:$C$5000,MATCH($B50,PTAX!$B$5:$B$5000,1)),"")</f>
        <v/>
      </c>
      <c r="F50" s="9" t="str">
        <f aca="false">IF(OR($B50="",E50=""),"",D50/E50)</f>
        <v/>
      </c>
    </row>
    <row r="51" customFormat="false" ht="15" hidden="false" customHeight="false" outlineLevel="0" collapsed="false">
      <c r="B51" s="35"/>
      <c r="D51" s="31"/>
      <c r="E51" s="33" t="str">
        <f aca="false">IFERROR(INDEX(PTAX!$C$5:$C$5000,MATCH($B51,PTAX!$B$5:$B$5000,1)),"")</f>
        <v/>
      </c>
      <c r="F51" s="9" t="str">
        <f aca="false">IF(OR($B51="",E51=""),"",D51/E51)</f>
        <v/>
      </c>
    </row>
    <row r="52" customFormat="false" ht="15" hidden="false" customHeight="false" outlineLevel="0" collapsed="false">
      <c r="B52" s="35"/>
      <c r="D52" s="31"/>
      <c r="E52" s="33" t="str">
        <f aca="false">IFERROR(INDEX(PTAX!$C$5:$C$5000,MATCH($B52,PTAX!$B$5:$B$5000,1)),"")</f>
        <v/>
      </c>
      <c r="F52" s="9" t="str">
        <f aca="false">IF(OR($B52="",E52=""),"",D52/E52)</f>
        <v/>
      </c>
    </row>
    <row r="53" customFormat="false" ht="15" hidden="false" customHeight="false" outlineLevel="0" collapsed="false">
      <c r="B53" s="35"/>
      <c r="D53" s="31"/>
      <c r="E53" s="33" t="str">
        <f aca="false">IFERROR(INDEX(PTAX!$C$5:$C$5000,MATCH($B53,PTAX!$B$5:$B$5000,1)),"")</f>
        <v/>
      </c>
      <c r="F53" s="9" t="str">
        <f aca="false">IF(OR($B53="",E53=""),"",D53/E53)</f>
        <v/>
      </c>
    </row>
    <row r="54" customFormat="false" ht="15" hidden="false" customHeight="false" outlineLevel="0" collapsed="false">
      <c r="B54" s="35"/>
      <c r="D54" s="31"/>
      <c r="E54" s="33" t="str">
        <f aca="false">IFERROR(INDEX(PTAX!$C$5:$C$5000,MATCH($B54,PTAX!$B$5:$B$5000,1)),"")</f>
        <v/>
      </c>
      <c r="F54" s="9" t="str">
        <f aca="false">IF(OR($B54="",E54=""),"",D54/E54)</f>
        <v/>
      </c>
    </row>
    <row r="55" customFormat="false" ht="15" hidden="false" customHeight="false" outlineLevel="0" collapsed="false">
      <c r="B55" s="35"/>
      <c r="D55" s="31"/>
      <c r="E55" s="33" t="str">
        <f aca="false">IFERROR(INDEX(PTAX!$C$5:$C$5000,MATCH($B55,PTAX!$B$5:$B$5000,1)),"")</f>
        <v/>
      </c>
      <c r="F55" s="9" t="str">
        <f aca="false">IF(OR($B55="",E55=""),"",D55/E55)</f>
        <v/>
      </c>
    </row>
    <row r="56" customFormat="false" ht="15" hidden="false" customHeight="false" outlineLevel="0" collapsed="false">
      <c r="B56" s="35"/>
      <c r="D56" s="31"/>
      <c r="E56" s="33" t="str">
        <f aca="false">IFERROR(INDEX(PTAX!$C$5:$C$5000,MATCH($B56,PTAX!$B$5:$B$5000,1)),"")</f>
        <v/>
      </c>
      <c r="F56" s="9" t="str">
        <f aca="false">IF(OR($B56="",E56=""),"",D56/E56)</f>
        <v/>
      </c>
    </row>
    <row r="57" customFormat="false" ht="15" hidden="false" customHeight="false" outlineLevel="0" collapsed="false">
      <c r="B57" s="35"/>
      <c r="D57" s="31"/>
      <c r="E57" s="33" t="str">
        <f aca="false">IFERROR(INDEX(PTAX!$C$5:$C$5000,MATCH($B57,PTAX!$B$5:$B$5000,1)),"")</f>
        <v/>
      </c>
      <c r="F57" s="9" t="str">
        <f aca="false">IF(OR($B57="",E57=""),"",D57/E57)</f>
        <v/>
      </c>
    </row>
    <row r="58" customFormat="false" ht="15" hidden="false" customHeight="false" outlineLevel="0" collapsed="false">
      <c r="B58" s="35"/>
      <c r="D58" s="31"/>
      <c r="E58" s="33" t="str">
        <f aca="false">IFERROR(INDEX(PTAX!$C$5:$C$5000,MATCH($B58,PTAX!$B$5:$B$5000,1)),"")</f>
        <v/>
      </c>
      <c r="F58" s="9" t="str">
        <f aca="false">IF(OR($B58="",E58=""),"",D58/E58)</f>
        <v/>
      </c>
    </row>
    <row r="59" customFormat="false" ht="15" hidden="false" customHeight="false" outlineLevel="0" collapsed="false">
      <c r="B59" s="35"/>
      <c r="D59" s="31"/>
      <c r="E59" s="33" t="str">
        <f aca="false">IFERROR(INDEX(PTAX!$C$5:$C$5000,MATCH($B59,PTAX!$B$5:$B$5000,1)),"")</f>
        <v/>
      </c>
      <c r="F59" s="9" t="str">
        <f aca="false">IF(OR($B59="",E59=""),"",D59/E59)</f>
        <v/>
      </c>
    </row>
    <row r="60" customFormat="false" ht="15" hidden="false" customHeight="false" outlineLevel="0" collapsed="false">
      <c r="B60" s="35"/>
      <c r="D60" s="31"/>
      <c r="E60" s="33" t="str">
        <f aca="false">IFERROR(INDEX(PTAX!$C$5:$C$5000,MATCH($B60,PTAX!$B$5:$B$5000,1)),"")</f>
        <v/>
      </c>
      <c r="F60" s="9" t="str">
        <f aca="false">IF(OR($B60="",E60=""),"",D60/E60)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7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16"/>
  </cols>
  <sheetData>
    <row r="1" customFormat="false" ht="19.7" hidden="false" customHeight="false" outlineLevel="0" collapsed="false">
      <c r="B1" s="2" t="s">
        <v>87</v>
      </c>
    </row>
    <row r="2" customFormat="false" ht="15" hidden="false" customHeight="false" outlineLevel="0" collapsed="false">
      <c r="B2" s="3" t="s">
        <v>88</v>
      </c>
    </row>
    <row r="4" customFormat="false" ht="15" hidden="false" customHeight="false" outlineLevel="0" collapsed="false">
      <c r="B4" s="7" t="s">
        <v>67</v>
      </c>
      <c r="C4" s="7" t="s">
        <v>73</v>
      </c>
    </row>
    <row r="5" customFormat="false" ht="15" hidden="false" customHeight="false" outlineLevel="0" collapsed="false">
      <c r="B5" s="36" t="n">
        <v>39084</v>
      </c>
      <c r="C5" s="37" t="n">
        <v>2.1334</v>
      </c>
    </row>
    <row r="6" customFormat="false" ht="15" hidden="false" customHeight="false" outlineLevel="0" collapsed="false">
      <c r="B6" s="36" t="n">
        <v>39085</v>
      </c>
      <c r="C6" s="37" t="n">
        <v>2.1364</v>
      </c>
    </row>
    <row r="7" customFormat="false" ht="15" hidden="false" customHeight="false" outlineLevel="0" collapsed="false">
      <c r="B7" s="36" t="n">
        <v>39086</v>
      </c>
      <c r="C7" s="37" t="n">
        <v>2.1421</v>
      </c>
    </row>
    <row r="8" customFormat="false" ht="15" hidden="false" customHeight="false" outlineLevel="0" collapsed="false">
      <c r="B8" s="36" t="n">
        <v>39087</v>
      </c>
      <c r="C8" s="37" t="n">
        <v>2.1466</v>
      </c>
    </row>
    <row r="9" customFormat="false" ht="15" hidden="false" customHeight="false" outlineLevel="0" collapsed="false">
      <c r="B9" s="36" t="n">
        <v>39090</v>
      </c>
      <c r="C9" s="37" t="n">
        <v>2.1497</v>
      </c>
    </row>
    <row r="10" customFormat="false" ht="15" hidden="false" customHeight="false" outlineLevel="0" collapsed="false">
      <c r="B10" s="36" t="n">
        <v>39091</v>
      </c>
      <c r="C10" s="37" t="n">
        <v>2.1498</v>
      </c>
    </row>
    <row r="11" customFormat="false" ht="15" hidden="false" customHeight="false" outlineLevel="0" collapsed="false">
      <c r="B11" s="36" t="n">
        <v>39092</v>
      </c>
      <c r="C11" s="37" t="n">
        <v>2.1548</v>
      </c>
    </row>
    <row r="12" customFormat="false" ht="15" hidden="false" customHeight="false" outlineLevel="0" collapsed="false">
      <c r="B12" s="36" t="n">
        <v>39093</v>
      </c>
      <c r="C12" s="37" t="n">
        <v>2.1457</v>
      </c>
    </row>
    <row r="13" customFormat="false" ht="15" hidden="false" customHeight="false" outlineLevel="0" collapsed="false">
      <c r="B13" s="36" t="n">
        <v>39094</v>
      </c>
      <c r="C13" s="37" t="n">
        <v>2.1413</v>
      </c>
    </row>
    <row r="14" customFormat="false" ht="15" hidden="false" customHeight="false" outlineLevel="0" collapsed="false">
      <c r="B14" s="36" t="n">
        <v>39097</v>
      </c>
      <c r="C14" s="37" t="n">
        <v>2.1399</v>
      </c>
    </row>
    <row r="15" customFormat="false" ht="15" hidden="false" customHeight="false" outlineLevel="0" collapsed="false">
      <c r="B15" s="36" t="n">
        <v>39098</v>
      </c>
      <c r="C15" s="37" t="n">
        <v>2.1436</v>
      </c>
    </row>
    <row r="16" customFormat="false" ht="15" hidden="false" customHeight="false" outlineLevel="0" collapsed="false">
      <c r="B16" s="36" t="n">
        <v>39099</v>
      </c>
      <c r="C16" s="37" t="n">
        <v>2.1342</v>
      </c>
    </row>
    <row r="17" customFormat="false" ht="15" hidden="false" customHeight="false" outlineLevel="0" collapsed="false">
      <c r="B17" s="36" t="n">
        <v>39100</v>
      </c>
      <c r="C17" s="37" t="n">
        <v>2.1321</v>
      </c>
    </row>
    <row r="18" customFormat="false" ht="15" hidden="false" customHeight="false" outlineLevel="0" collapsed="false">
      <c r="B18" s="36" t="n">
        <v>39101</v>
      </c>
      <c r="C18" s="37" t="n">
        <v>2.1299</v>
      </c>
    </row>
    <row r="19" customFormat="false" ht="15" hidden="false" customHeight="false" outlineLevel="0" collapsed="false">
      <c r="B19" s="36" t="n">
        <v>39104</v>
      </c>
      <c r="C19" s="37" t="n">
        <v>2.1319</v>
      </c>
    </row>
    <row r="20" customFormat="false" ht="15" hidden="false" customHeight="false" outlineLevel="0" collapsed="false">
      <c r="B20" s="36" t="n">
        <v>39105</v>
      </c>
      <c r="C20" s="37" t="n">
        <v>2.136</v>
      </c>
    </row>
    <row r="21" customFormat="false" ht="15" hidden="false" customHeight="false" outlineLevel="0" collapsed="false">
      <c r="B21" s="36" t="n">
        <v>39106</v>
      </c>
      <c r="C21" s="37" t="n">
        <v>2.1278</v>
      </c>
    </row>
    <row r="22" customFormat="false" ht="15" hidden="false" customHeight="false" outlineLevel="0" collapsed="false">
      <c r="B22" s="36" t="n">
        <v>39107</v>
      </c>
      <c r="C22" s="37" t="n">
        <v>2.1273</v>
      </c>
    </row>
    <row r="23" customFormat="false" ht="15" hidden="false" customHeight="false" outlineLevel="0" collapsed="false">
      <c r="B23" s="36" t="n">
        <v>39108</v>
      </c>
      <c r="C23" s="37" t="n">
        <v>2.1352</v>
      </c>
    </row>
    <row r="24" customFormat="false" ht="15" hidden="false" customHeight="false" outlineLevel="0" collapsed="false">
      <c r="B24" s="36" t="n">
        <v>39111</v>
      </c>
      <c r="C24" s="37" t="n">
        <v>2.1352</v>
      </c>
    </row>
    <row r="25" customFormat="false" ht="15" hidden="false" customHeight="false" outlineLevel="0" collapsed="false">
      <c r="B25" s="36" t="n">
        <v>39112</v>
      </c>
      <c r="C25" s="37" t="n">
        <v>2.1321</v>
      </c>
    </row>
    <row r="26" customFormat="false" ht="15" hidden="false" customHeight="false" outlineLevel="0" collapsed="false">
      <c r="B26" s="36" t="n">
        <v>39113</v>
      </c>
      <c r="C26" s="37" t="n">
        <v>2.1239</v>
      </c>
    </row>
    <row r="27" customFormat="false" ht="15" hidden="false" customHeight="false" outlineLevel="0" collapsed="false">
      <c r="B27" s="36" t="n">
        <v>39114</v>
      </c>
      <c r="C27" s="37" t="n">
        <v>2.1085</v>
      </c>
    </row>
    <row r="28" customFormat="false" ht="15" hidden="false" customHeight="false" outlineLevel="0" collapsed="false">
      <c r="B28" s="36" t="n">
        <v>39115</v>
      </c>
      <c r="C28" s="37" t="n">
        <v>2.0974</v>
      </c>
    </row>
    <row r="29" customFormat="false" ht="15" hidden="false" customHeight="false" outlineLevel="0" collapsed="false">
      <c r="B29" s="36" t="n">
        <v>39118</v>
      </c>
      <c r="C29" s="37" t="n">
        <v>2.0956</v>
      </c>
    </row>
    <row r="30" customFormat="false" ht="15" hidden="false" customHeight="false" outlineLevel="0" collapsed="false">
      <c r="B30" s="36" t="n">
        <v>39119</v>
      </c>
      <c r="C30" s="37" t="n">
        <v>2.0825</v>
      </c>
    </row>
    <row r="31" customFormat="false" ht="15" hidden="false" customHeight="false" outlineLevel="0" collapsed="false">
      <c r="B31" s="36" t="n">
        <v>39120</v>
      </c>
      <c r="C31" s="37" t="n">
        <v>2.0844</v>
      </c>
    </row>
    <row r="32" customFormat="false" ht="15" hidden="false" customHeight="false" outlineLevel="0" collapsed="false">
      <c r="B32" s="36" t="n">
        <v>39121</v>
      </c>
      <c r="C32" s="37" t="n">
        <v>2.0943</v>
      </c>
    </row>
    <row r="33" customFormat="false" ht="15" hidden="false" customHeight="false" outlineLevel="0" collapsed="false">
      <c r="B33" s="36" t="n">
        <v>39122</v>
      </c>
      <c r="C33" s="37" t="n">
        <v>2.1025</v>
      </c>
    </row>
    <row r="34" customFormat="false" ht="15" hidden="false" customHeight="false" outlineLevel="0" collapsed="false">
      <c r="B34" s="36" t="n">
        <v>39125</v>
      </c>
      <c r="C34" s="37" t="n">
        <v>2.1132</v>
      </c>
    </row>
    <row r="35" customFormat="false" ht="15" hidden="false" customHeight="false" outlineLevel="0" collapsed="false">
      <c r="B35" s="36" t="n">
        <v>39126</v>
      </c>
      <c r="C35" s="37" t="n">
        <v>2.108</v>
      </c>
    </row>
    <row r="36" customFormat="false" ht="15" hidden="false" customHeight="false" outlineLevel="0" collapsed="false">
      <c r="B36" s="36" t="n">
        <v>39127</v>
      </c>
      <c r="C36" s="37" t="n">
        <v>2.0992</v>
      </c>
    </row>
    <row r="37" customFormat="false" ht="15" hidden="false" customHeight="false" outlineLevel="0" collapsed="false">
      <c r="B37" s="36" t="n">
        <v>39128</v>
      </c>
      <c r="C37" s="37" t="n">
        <v>2.0888</v>
      </c>
    </row>
    <row r="38" customFormat="false" ht="15" hidden="false" customHeight="false" outlineLevel="0" collapsed="false">
      <c r="B38" s="36" t="n">
        <v>39129</v>
      </c>
      <c r="C38" s="37" t="n">
        <v>2.0905</v>
      </c>
    </row>
    <row r="39" customFormat="false" ht="15" hidden="false" customHeight="false" outlineLevel="0" collapsed="false">
      <c r="B39" s="36" t="n">
        <v>39134</v>
      </c>
      <c r="C39" s="37" t="n">
        <v>2.0794</v>
      </c>
    </row>
    <row r="40" customFormat="false" ht="15" hidden="false" customHeight="false" outlineLevel="0" collapsed="false">
      <c r="B40" s="36" t="n">
        <v>39135</v>
      </c>
      <c r="C40" s="37" t="n">
        <v>2.0758</v>
      </c>
    </row>
    <row r="41" customFormat="false" ht="15" hidden="false" customHeight="false" outlineLevel="0" collapsed="false">
      <c r="B41" s="36" t="n">
        <v>39136</v>
      </c>
      <c r="C41" s="37" t="n">
        <v>2.086</v>
      </c>
    </row>
    <row r="42" customFormat="false" ht="15" hidden="false" customHeight="false" outlineLevel="0" collapsed="false">
      <c r="B42" s="36" t="n">
        <v>39139</v>
      </c>
      <c r="C42" s="37" t="n">
        <v>2.0855</v>
      </c>
    </row>
    <row r="43" customFormat="false" ht="15" hidden="false" customHeight="false" outlineLevel="0" collapsed="false">
      <c r="B43" s="36" t="n">
        <v>39140</v>
      </c>
      <c r="C43" s="37" t="n">
        <v>2.1091</v>
      </c>
    </row>
    <row r="44" customFormat="false" ht="15" hidden="false" customHeight="false" outlineLevel="0" collapsed="false">
      <c r="B44" s="36" t="n">
        <v>39141</v>
      </c>
      <c r="C44" s="37" t="n">
        <v>2.1174</v>
      </c>
    </row>
    <row r="45" customFormat="false" ht="15" hidden="false" customHeight="false" outlineLevel="0" collapsed="false">
      <c r="B45" s="36" t="n">
        <v>39142</v>
      </c>
      <c r="C45" s="37" t="n">
        <v>2.1252</v>
      </c>
    </row>
    <row r="46" customFormat="false" ht="15" hidden="false" customHeight="false" outlineLevel="0" collapsed="false">
      <c r="B46" s="36" t="n">
        <v>39143</v>
      </c>
      <c r="C46" s="37" t="n">
        <v>2.1266</v>
      </c>
    </row>
    <row r="47" customFormat="false" ht="15" hidden="false" customHeight="false" outlineLevel="0" collapsed="false">
      <c r="B47" s="36" t="n">
        <v>39146</v>
      </c>
      <c r="C47" s="37" t="n">
        <v>2.138</v>
      </c>
    </row>
    <row r="48" customFormat="false" ht="15" hidden="false" customHeight="false" outlineLevel="0" collapsed="false">
      <c r="B48" s="36" t="n">
        <v>39147</v>
      </c>
      <c r="C48" s="37" t="n">
        <v>2.1201</v>
      </c>
    </row>
    <row r="49" customFormat="false" ht="15" hidden="false" customHeight="false" outlineLevel="0" collapsed="false">
      <c r="B49" s="36" t="n">
        <v>39148</v>
      </c>
      <c r="C49" s="37" t="n">
        <v>2.1113</v>
      </c>
    </row>
    <row r="50" customFormat="false" ht="15" hidden="false" customHeight="false" outlineLevel="0" collapsed="false">
      <c r="B50" s="36" t="n">
        <v>39149</v>
      </c>
      <c r="C50" s="37" t="n">
        <v>2.1046</v>
      </c>
    </row>
    <row r="51" customFormat="false" ht="15" hidden="false" customHeight="false" outlineLevel="0" collapsed="false">
      <c r="B51" s="36" t="n">
        <v>39150</v>
      </c>
      <c r="C51" s="37" t="n">
        <v>2.0975</v>
      </c>
    </row>
    <row r="52" customFormat="false" ht="15" hidden="false" customHeight="false" outlineLevel="0" collapsed="false">
      <c r="B52" s="36" t="n">
        <v>39153</v>
      </c>
      <c r="C52" s="37" t="n">
        <v>2.0894</v>
      </c>
    </row>
    <row r="53" customFormat="false" ht="15" hidden="false" customHeight="false" outlineLevel="0" collapsed="false">
      <c r="B53" s="36" t="n">
        <v>39154</v>
      </c>
      <c r="C53" s="37" t="n">
        <v>2.0954</v>
      </c>
    </row>
    <row r="54" customFormat="false" ht="15" hidden="false" customHeight="false" outlineLevel="0" collapsed="false">
      <c r="B54" s="36" t="n">
        <v>39155</v>
      </c>
      <c r="C54" s="37" t="n">
        <v>2.1036</v>
      </c>
    </row>
    <row r="55" customFormat="false" ht="15" hidden="false" customHeight="false" outlineLevel="0" collapsed="false">
      <c r="B55" s="36" t="n">
        <v>39156</v>
      </c>
      <c r="C55" s="37" t="n">
        <v>2.0901</v>
      </c>
    </row>
    <row r="56" customFormat="false" ht="15" hidden="false" customHeight="false" outlineLevel="0" collapsed="false">
      <c r="B56" s="36" t="n">
        <v>39157</v>
      </c>
      <c r="C56" s="37" t="n">
        <v>2.0907</v>
      </c>
    </row>
    <row r="57" customFormat="false" ht="15" hidden="false" customHeight="false" outlineLevel="0" collapsed="false">
      <c r="B57" s="36" t="n">
        <v>39160</v>
      </c>
      <c r="C57" s="37" t="n">
        <v>2.0784</v>
      </c>
    </row>
    <row r="58" customFormat="false" ht="15" hidden="false" customHeight="false" outlineLevel="0" collapsed="false">
      <c r="B58" s="36" t="n">
        <v>39161</v>
      </c>
      <c r="C58" s="37" t="n">
        <v>2.0755</v>
      </c>
    </row>
    <row r="59" customFormat="false" ht="15" hidden="false" customHeight="false" outlineLevel="0" collapsed="false">
      <c r="B59" s="36" t="n">
        <v>39162</v>
      </c>
      <c r="C59" s="37" t="n">
        <v>2.0668</v>
      </c>
    </row>
    <row r="60" customFormat="false" ht="15" hidden="false" customHeight="false" outlineLevel="0" collapsed="false">
      <c r="B60" s="36" t="n">
        <v>39163</v>
      </c>
      <c r="C60" s="37" t="n">
        <v>2.0594</v>
      </c>
    </row>
    <row r="61" customFormat="false" ht="15" hidden="false" customHeight="false" outlineLevel="0" collapsed="false">
      <c r="B61" s="36" t="n">
        <v>39164</v>
      </c>
      <c r="C61" s="37" t="n">
        <v>2.0644</v>
      </c>
    </row>
    <row r="62" customFormat="false" ht="15" hidden="false" customHeight="false" outlineLevel="0" collapsed="false">
      <c r="B62" s="36" t="n">
        <v>39167</v>
      </c>
      <c r="C62" s="37" t="n">
        <v>2.0593</v>
      </c>
    </row>
    <row r="63" customFormat="false" ht="15" hidden="false" customHeight="false" outlineLevel="0" collapsed="false">
      <c r="B63" s="36" t="n">
        <v>39168</v>
      </c>
      <c r="C63" s="37" t="n">
        <v>2.0629</v>
      </c>
    </row>
    <row r="64" customFormat="false" ht="15" hidden="false" customHeight="false" outlineLevel="0" collapsed="false">
      <c r="B64" s="36" t="n">
        <v>39169</v>
      </c>
      <c r="C64" s="37" t="n">
        <v>2.0708</v>
      </c>
    </row>
    <row r="65" customFormat="false" ht="15" hidden="false" customHeight="false" outlineLevel="0" collapsed="false">
      <c r="B65" s="36" t="n">
        <v>39170</v>
      </c>
      <c r="C65" s="37" t="n">
        <v>2.0537</v>
      </c>
    </row>
    <row r="66" customFormat="false" ht="15" hidden="false" customHeight="false" outlineLevel="0" collapsed="false">
      <c r="B66" s="36" t="n">
        <v>39171</v>
      </c>
      <c r="C66" s="37" t="n">
        <v>2.0496</v>
      </c>
    </row>
    <row r="67" customFormat="false" ht="15" hidden="false" customHeight="false" outlineLevel="0" collapsed="false">
      <c r="B67" s="36" t="n">
        <v>39174</v>
      </c>
      <c r="C67" s="37" t="n">
        <v>2.047</v>
      </c>
    </row>
    <row r="68" customFormat="false" ht="15" hidden="false" customHeight="false" outlineLevel="0" collapsed="false">
      <c r="B68" s="36" t="n">
        <v>39175</v>
      </c>
      <c r="C68" s="37" t="n">
        <v>2.0364</v>
      </c>
    </row>
    <row r="69" customFormat="false" ht="15" hidden="false" customHeight="false" outlineLevel="0" collapsed="false">
      <c r="B69" s="36" t="n">
        <v>39176</v>
      </c>
      <c r="C69" s="37" t="n">
        <v>2.0313</v>
      </c>
    </row>
    <row r="70" customFormat="false" ht="15" hidden="false" customHeight="false" outlineLevel="0" collapsed="false">
      <c r="B70" s="36" t="n">
        <v>39177</v>
      </c>
      <c r="C70" s="37" t="n">
        <v>2.0325</v>
      </c>
    </row>
    <row r="71" customFormat="false" ht="15" hidden="false" customHeight="false" outlineLevel="0" collapsed="false">
      <c r="B71" s="36" t="n">
        <v>39181</v>
      </c>
      <c r="C71" s="37" t="n">
        <v>2.0228</v>
      </c>
    </row>
    <row r="72" customFormat="false" ht="15" hidden="false" customHeight="false" outlineLevel="0" collapsed="false">
      <c r="B72" s="36" t="n">
        <v>39182</v>
      </c>
      <c r="C72" s="37" t="n">
        <v>2.0274</v>
      </c>
    </row>
    <row r="73" customFormat="false" ht="15" hidden="false" customHeight="false" outlineLevel="0" collapsed="false">
      <c r="B73" s="36" t="n">
        <v>39183</v>
      </c>
      <c r="C73" s="37" t="n">
        <v>2.0325</v>
      </c>
    </row>
    <row r="74" customFormat="false" ht="15" hidden="false" customHeight="false" outlineLevel="0" collapsed="false">
      <c r="B74" s="36" t="n">
        <v>39184</v>
      </c>
      <c r="C74" s="37" t="n">
        <v>2.0363</v>
      </c>
    </row>
    <row r="75" customFormat="false" ht="15" hidden="false" customHeight="false" outlineLevel="0" collapsed="false">
      <c r="B75" s="36" t="n">
        <v>39185</v>
      </c>
      <c r="C75" s="37" t="n">
        <v>2.0223</v>
      </c>
    </row>
    <row r="76" customFormat="false" ht="15" hidden="false" customHeight="false" outlineLevel="0" collapsed="false">
      <c r="B76" s="36" t="n">
        <v>39188</v>
      </c>
      <c r="C76" s="37" t="n">
        <v>2.0332</v>
      </c>
    </row>
    <row r="77" customFormat="false" ht="15" hidden="false" customHeight="false" outlineLevel="0" collapsed="false">
      <c r="B77" s="36" t="n">
        <v>39189</v>
      </c>
      <c r="C77" s="37" t="n">
        <v>2.034</v>
      </c>
    </row>
    <row r="78" customFormat="false" ht="15" hidden="false" customHeight="false" outlineLevel="0" collapsed="false">
      <c r="B78" s="36" t="n">
        <v>39190</v>
      </c>
      <c r="C78" s="37" t="n">
        <v>2.0357</v>
      </c>
    </row>
    <row r="79" customFormat="false" ht="15" hidden="false" customHeight="false" outlineLevel="0" collapsed="false">
      <c r="B79" s="36" t="n">
        <v>39191</v>
      </c>
      <c r="C79" s="37" t="n">
        <v>2.0304</v>
      </c>
    </row>
    <row r="80" customFormat="false" ht="15" hidden="false" customHeight="false" outlineLevel="0" collapsed="false">
      <c r="B80" s="36" t="n">
        <v>39192</v>
      </c>
      <c r="C80" s="37" t="n">
        <v>2.0254</v>
      </c>
    </row>
    <row r="81" customFormat="false" ht="15" hidden="false" customHeight="false" outlineLevel="0" collapsed="false">
      <c r="B81" s="36" t="n">
        <v>39195</v>
      </c>
      <c r="C81" s="37" t="n">
        <v>2.0282</v>
      </c>
    </row>
    <row r="82" customFormat="false" ht="15" hidden="false" customHeight="false" outlineLevel="0" collapsed="false">
      <c r="B82" s="36" t="n">
        <v>39196</v>
      </c>
      <c r="C82" s="37" t="n">
        <v>2.0377</v>
      </c>
    </row>
    <row r="83" customFormat="false" ht="15" hidden="false" customHeight="false" outlineLevel="0" collapsed="false">
      <c r="B83" s="36" t="n">
        <v>39197</v>
      </c>
      <c r="C83" s="37" t="n">
        <v>2.0228</v>
      </c>
    </row>
    <row r="84" customFormat="false" ht="15" hidden="false" customHeight="false" outlineLevel="0" collapsed="false">
      <c r="B84" s="36" t="n">
        <v>39198</v>
      </c>
      <c r="C84" s="37" t="n">
        <v>2.0244</v>
      </c>
    </row>
    <row r="85" customFormat="false" ht="15" hidden="false" customHeight="false" outlineLevel="0" collapsed="false">
      <c r="B85" s="36" t="n">
        <v>39199</v>
      </c>
      <c r="C85" s="37" t="n">
        <v>2.0313</v>
      </c>
    </row>
    <row r="86" customFormat="false" ht="15" hidden="false" customHeight="false" outlineLevel="0" collapsed="false">
      <c r="B86" s="36" t="n">
        <v>39202</v>
      </c>
      <c r="C86" s="37" t="n">
        <v>2.0331</v>
      </c>
    </row>
    <row r="87" customFormat="false" ht="15" hidden="false" customHeight="false" outlineLevel="0" collapsed="false">
      <c r="B87" s="36" t="n">
        <v>39204</v>
      </c>
      <c r="C87" s="37" t="n">
        <v>2.026</v>
      </c>
    </row>
    <row r="88" customFormat="false" ht="15" hidden="false" customHeight="false" outlineLevel="0" collapsed="false">
      <c r="B88" s="36" t="n">
        <v>39205</v>
      </c>
      <c r="C88" s="37" t="n">
        <v>2.0231</v>
      </c>
    </row>
    <row r="89" customFormat="false" ht="15" hidden="false" customHeight="false" outlineLevel="0" collapsed="false">
      <c r="B89" s="36" t="n">
        <v>39206</v>
      </c>
      <c r="C89" s="37" t="n">
        <v>2.0301</v>
      </c>
    </row>
    <row r="90" customFormat="false" ht="15" hidden="false" customHeight="false" outlineLevel="0" collapsed="false">
      <c r="B90" s="36" t="n">
        <v>39209</v>
      </c>
      <c r="C90" s="37" t="n">
        <v>2.0258</v>
      </c>
    </row>
    <row r="91" customFormat="false" ht="15" hidden="false" customHeight="false" outlineLevel="0" collapsed="false">
      <c r="B91" s="36" t="n">
        <v>39210</v>
      </c>
      <c r="C91" s="37" t="n">
        <v>2.0218</v>
      </c>
    </row>
    <row r="92" customFormat="false" ht="15" hidden="false" customHeight="false" outlineLevel="0" collapsed="false">
      <c r="B92" s="36" t="n">
        <v>39211</v>
      </c>
      <c r="C92" s="37" t="n">
        <v>2.0214</v>
      </c>
    </row>
    <row r="93" customFormat="false" ht="15" hidden="false" customHeight="false" outlineLevel="0" collapsed="false">
      <c r="B93" s="36" t="n">
        <v>39212</v>
      </c>
      <c r="C93" s="37" t="n">
        <v>2.0209</v>
      </c>
    </row>
    <row r="94" customFormat="false" ht="15" hidden="false" customHeight="false" outlineLevel="0" collapsed="false">
      <c r="B94" s="36" t="n">
        <v>39213</v>
      </c>
      <c r="C94" s="37" t="n">
        <v>2.0186</v>
      </c>
    </row>
    <row r="95" customFormat="false" ht="15" hidden="false" customHeight="false" outlineLevel="0" collapsed="false">
      <c r="B95" s="36" t="n">
        <v>39216</v>
      </c>
      <c r="C95" s="37" t="n">
        <v>2.013</v>
      </c>
    </row>
    <row r="96" customFormat="false" ht="15" hidden="false" customHeight="false" outlineLevel="0" collapsed="false">
      <c r="B96" s="36" t="n">
        <v>39217</v>
      </c>
      <c r="C96" s="37" t="n">
        <v>1.9914</v>
      </c>
    </row>
    <row r="97" customFormat="false" ht="15" hidden="false" customHeight="false" outlineLevel="0" collapsed="false">
      <c r="B97" s="36" t="n">
        <v>39218</v>
      </c>
      <c r="C97" s="37" t="n">
        <v>1.9578</v>
      </c>
    </row>
    <row r="98" customFormat="false" ht="15" hidden="false" customHeight="false" outlineLevel="0" collapsed="false">
      <c r="B98" s="36" t="n">
        <v>39219</v>
      </c>
      <c r="C98" s="37" t="n">
        <v>1.9565</v>
      </c>
    </row>
    <row r="99" customFormat="false" ht="15" hidden="false" customHeight="false" outlineLevel="0" collapsed="false">
      <c r="B99" s="36" t="n">
        <v>39220</v>
      </c>
      <c r="C99" s="37" t="n">
        <v>1.9622</v>
      </c>
    </row>
    <row r="100" customFormat="false" ht="15" hidden="false" customHeight="false" outlineLevel="0" collapsed="false">
      <c r="B100" s="36" t="n">
        <v>39223</v>
      </c>
      <c r="C100" s="37" t="n">
        <v>1.9427</v>
      </c>
    </row>
    <row r="101" customFormat="false" ht="15" hidden="false" customHeight="false" outlineLevel="0" collapsed="false">
      <c r="B101" s="36" t="n">
        <v>39224</v>
      </c>
      <c r="C101" s="37" t="n">
        <v>1.9401</v>
      </c>
    </row>
    <row r="102" customFormat="false" ht="15" hidden="false" customHeight="false" outlineLevel="0" collapsed="false">
      <c r="B102" s="36" t="n">
        <v>39225</v>
      </c>
      <c r="C102" s="37" t="n">
        <v>1.9481</v>
      </c>
    </row>
    <row r="103" customFormat="false" ht="15" hidden="false" customHeight="false" outlineLevel="0" collapsed="false">
      <c r="B103" s="36" t="n">
        <v>39226</v>
      </c>
      <c r="C103" s="37" t="n">
        <v>1.9645</v>
      </c>
    </row>
    <row r="104" customFormat="false" ht="15" hidden="false" customHeight="false" outlineLevel="0" collapsed="false">
      <c r="B104" s="36" t="n">
        <v>39227</v>
      </c>
      <c r="C104" s="37" t="n">
        <v>1.9512</v>
      </c>
    </row>
    <row r="105" customFormat="false" ht="15" hidden="false" customHeight="false" outlineLevel="0" collapsed="false">
      <c r="B105" s="36" t="n">
        <v>39230</v>
      </c>
      <c r="C105" s="37" t="n">
        <v>1.9433</v>
      </c>
    </row>
    <row r="106" customFormat="false" ht="15" hidden="false" customHeight="false" outlineLevel="0" collapsed="false">
      <c r="B106" s="36" t="n">
        <v>39231</v>
      </c>
      <c r="C106" s="37" t="n">
        <v>1.9453</v>
      </c>
    </row>
    <row r="107" customFormat="false" ht="15" hidden="false" customHeight="false" outlineLevel="0" collapsed="false">
      <c r="B107" s="36" t="n">
        <v>39232</v>
      </c>
      <c r="C107" s="37" t="n">
        <v>1.946</v>
      </c>
    </row>
    <row r="108" customFormat="false" ht="15" hidden="false" customHeight="false" outlineLevel="0" collapsed="false">
      <c r="B108" s="36" t="n">
        <v>39233</v>
      </c>
      <c r="C108" s="37" t="n">
        <v>1.9281</v>
      </c>
    </row>
    <row r="109" customFormat="false" ht="15" hidden="false" customHeight="false" outlineLevel="0" collapsed="false">
      <c r="B109" s="36" t="n">
        <v>39234</v>
      </c>
      <c r="C109" s="37" t="n">
        <v>1.9048</v>
      </c>
    </row>
    <row r="110" customFormat="false" ht="15" hidden="false" customHeight="false" outlineLevel="0" collapsed="false">
      <c r="B110" s="36" t="n">
        <v>39237</v>
      </c>
      <c r="C110" s="37" t="n">
        <v>1.9207</v>
      </c>
    </row>
    <row r="111" customFormat="false" ht="15" hidden="false" customHeight="false" outlineLevel="0" collapsed="false">
      <c r="B111" s="36" t="n">
        <v>39238</v>
      </c>
      <c r="C111" s="37" t="n">
        <v>1.9387</v>
      </c>
    </row>
    <row r="112" customFormat="false" ht="15" hidden="false" customHeight="false" outlineLevel="0" collapsed="false">
      <c r="B112" s="36" t="n">
        <v>39239</v>
      </c>
      <c r="C112" s="37" t="n">
        <v>1.9609</v>
      </c>
    </row>
    <row r="113" customFormat="false" ht="15" hidden="false" customHeight="false" outlineLevel="0" collapsed="false">
      <c r="B113" s="36" t="n">
        <v>39241</v>
      </c>
      <c r="C113" s="37" t="n">
        <v>1.963</v>
      </c>
    </row>
    <row r="114" customFormat="false" ht="15" hidden="false" customHeight="false" outlineLevel="0" collapsed="false">
      <c r="B114" s="36" t="n">
        <v>39244</v>
      </c>
      <c r="C114" s="37" t="n">
        <v>1.9465</v>
      </c>
    </row>
    <row r="115" customFormat="false" ht="15" hidden="false" customHeight="false" outlineLevel="0" collapsed="false">
      <c r="B115" s="36" t="n">
        <v>39245</v>
      </c>
      <c r="C115" s="37" t="n">
        <v>1.9412</v>
      </c>
    </row>
    <row r="116" customFormat="false" ht="15" hidden="false" customHeight="false" outlineLevel="0" collapsed="false">
      <c r="B116" s="36" t="n">
        <v>39246</v>
      </c>
      <c r="C116" s="37" t="n">
        <v>1.9434</v>
      </c>
    </row>
    <row r="117" customFormat="false" ht="15" hidden="false" customHeight="false" outlineLevel="0" collapsed="false">
      <c r="B117" s="36" t="n">
        <v>39247</v>
      </c>
      <c r="C117" s="37" t="n">
        <v>1.9295</v>
      </c>
    </row>
    <row r="118" customFormat="false" ht="15" hidden="false" customHeight="false" outlineLevel="0" collapsed="false">
      <c r="B118" s="36" t="n">
        <v>39248</v>
      </c>
      <c r="C118" s="37" t="n">
        <v>1.9089</v>
      </c>
    </row>
    <row r="119" customFormat="false" ht="15" hidden="false" customHeight="false" outlineLevel="0" collapsed="false">
      <c r="B119" s="36" t="n">
        <v>39251</v>
      </c>
      <c r="C119" s="37" t="n">
        <v>1.9039</v>
      </c>
    </row>
    <row r="120" customFormat="false" ht="15" hidden="false" customHeight="false" outlineLevel="0" collapsed="false">
      <c r="B120" s="36" t="n">
        <v>39252</v>
      </c>
      <c r="C120" s="37" t="n">
        <v>1.905</v>
      </c>
    </row>
    <row r="121" customFormat="false" ht="15" hidden="false" customHeight="false" outlineLevel="0" collapsed="false">
      <c r="B121" s="36" t="n">
        <v>39253</v>
      </c>
      <c r="C121" s="37" t="n">
        <v>1.919</v>
      </c>
    </row>
    <row r="122" customFormat="false" ht="15" hidden="false" customHeight="false" outlineLevel="0" collapsed="false">
      <c r="B122" s="36" t="n">
        <v>39254</v>
      </c>
      <c r="C122" s="37" t="n">
        <v>1.9189</v>
      </c>
    </row>
    <row r="123" customFormat="false" ht="15" hidden="false" customHeight="false" outlineLevel="0" collapsed="false">
      <c r="B123" s="36" t="n">
        <v>39255</v>
      </c>
      <c r="C123" s="37" t="n">
        <v>1.9326</v>
      </c>
    </row>
    <row r="124" customFormat="false" ht="15" hidden="false" customHeight="false" outlineLevel="0" collapsed="false">
      <c r="B124" s="36" t="n">
        <v>39258</v>
      </c>
      <c r="C124" s="37" t="n">
        <v>1.9371</v>
      </c>
    </row>
    <row r="125" customFormat="false" ht="15" hidden="false" customHeight="false" outlineLevel="0" collapsed="false">
      <c r="B125" s="36" t="n">
        <v>39259</v>
      </c>
      <c r="C125" s="37" t="n">
        <v>1.948</v>
      </c>
    </row>
    <row r="126" customFormat="false" ht="15" hidden="false" customHeight="false" outlineLevel="0" collapsed="false">
      <c r="B126" s="36" t="n">
        <v>39260</v>
      </c>
      <c r="C126" s="37" t="n">
        <v>1.9491</v>
      </c>
    </row>
    <row r="127" customFormat="false" ht="15" hidden="false" customHeight="false" outlineLevel="0" collapsed="false">
      <c r="B127" s="36" t="n">
        <v>39261</v>
      </c>
      <c r="C127" s="37" t="n">
        <v>1.9248</v>
      </c>
    </row>
    <row r="128" customFormat="false" ht="15" hidden="false" customHeight="false" outlineLevel="0" collapsed="false">
      <c r="B128" s="36" t="n">
        <v>39262</v>
      </c>
      <c r="C128" s="37" t="n">
        <v>1.9254</v>
      </c>
    </row>
    <row r="129" customFormat="false" ht="15" hidden="false" customHeight="false" outlineLevel="0" collapsed="false">
      <c r="B129" s="36" t="n">
        <v>39265</v>
      </c>
      <c r="C129" s="37" t="n">
        <v>1.9168</v>
      </c>
    </row>
    <row r="130" customFormat="false" ht="15" hidden="false" customHeight="false" outlineLevel="0" collapsed="false">
      <c r="B130" s="36" t="n">
        <v>39266</v>
      </c>
      <c r="C130" s="37" t="n">
        <v>1.9114</v>
      </c>
    </row>
    <row r="131" customFormat="false" ht="15" hidden="false" customHeight="false" outlineLevel="0" collapsed="false">
      <c r="B131" s="36" t="n">
        <v>39267</v>
      </c>
      <c r="C131" s="37" t="n">
        <v>1.9091</v>
      </c>
    </row>
    <row r="132" customFormat="false" ht="15" hidden="false" customHeight="false" outlineLevel="0" collapsed="false">
      <c r="B132" s="36" t="n">
        <v>39268</v>
      </c>
      <c r="C132" s="37" t="n">
        <v>1.9149</v>
      </c>
    </row>
    <row r="133" customFormat="false" ht="15" hidden="false" customHeight="false" outlineLevel="0" collapsed="false">
      <c r="B133" s="36" t="n">
        <v>39269</v>
      </c>
      <c r="C133" s="37" t="n">
        <v>1.9025</v>
      </c>
    </row>
    <row r="134" customFormat="false" ht="15" hidden="false" customHeight="false" outlineLevel="0" collapsed="false">
      <c r="B134" s="36" t="n">
        <v>39272</v>
      </c>
      <c r="C134" s="37" t="n">
        <v>1.8984</v>
      </c>
    </row>
    <row r="135" customFormat="false" ht="15" hidden="false" customHeight="false" outlineLevel="0" collapsed="false">
      <c r="B135" s="36" t="n">
        <v>39273</v>
      </c>
      <c r="C135" s="37" t="n">
        <v>1.8939</v>
      </c>
    </row>
    <row r="136" customFormat="false" ht="15" hidden="false" customHeight="false" outlineLevel="0" collapsed="false">
      <c r="B136" s="36" t="n">
        <v>39274</v>
      </c>
      <c r="C136" s="37" t="n">
        <v>1.8892</v>
      </c>
    </row>
    <row r="137" customFormat="false" ht="15" hidden="false" customHeight="false" outlineLevel="0" collapsed="false">
      <c r="B137" s="36" t="n">
        <v>39275</v>
      </c>
      <c r="C137" s="37" t="n">
        <v>1.8759</v>
      </c>
    </row>
    <row r="138" customFormat="false" ht="15" hidden="false" customHeight="false" outlineLevel="0" collapsed="false">
      <c r="B138" s="36" t="n">
        <v>39276</v>
      </c>
      <c r="C138" s="37" t="n">
        <v>1.8676</v>
      </c>
    </row>
    <row r="139" customFormat="false" ht="15" hidden="false" customHeight="false" outlineLevel="0" collapsed="false">
      <c r="B139" s="36" t="n">
        <v>39279</v>
      </c>
      <c r="C139" s="37" t="n">
        <v>1.8639</v>
      </c>
    </row>
    <row r="140" customFormat="false" ht="15" hidden="false" customHeight="false" outlineLevel="0" collapsed="false">
      <c r="B140" s="36" t="n">
        <v>39280</v>
      </c>
      <c r="C140" s="37" t="n">
        <v>1.8613</v>
      </c>
    </row>
    <row r="141" customFormat="false" ht="15" hidden="false" customHeight="false" outlineLevel="0" collapsed="false">
      <c r="B141" s="36" t="n">
        <v>39281</v>
      </c>
      <c r="C141" s="37" t="n">
        <v>1.8601</v>
      </c>
    </row>
    <row r="142" customFormat="false" ht="15" hidden="false" customHeight="false" outlineLevel="0" collapsed="false">
      <c r="B142" s="36" t="n">
        <v>39282</v>
      </c>
      <c r="C142" s="37" t="n">
        <v>1.8528</v>
      </c>
    </row>
    <row r="143" customFormat="false" ht="15" hidden="false" customHeight="false" outlineLevel="0" collapsed="false">
      <c r="B143" s="36" t="n">
        <v>39283</v>
      </c>
      <c r="C143" s="37" t="n">
        <v>1.8598</v>
      </c>
    </row>
    <row r="144" customFormat="false" ht="15" hidden="false" customHeight="false" outlineLevel="0" collapsed="false">
      <c r="B144" s="36" t="n">
        <v>39286</v>
      </c>
      <c r="C144" s="37" t="n">
        <v>1.844</v>
      </c>
    </row>
    <row r="145" customFormat="false" ht="15" hidden="false" customHeight="false" outlineLevel="0" collapsed="false">
      <c r="B145" s="36" t="n">
        <v>39287</v>
      </c>
      <c r="C145" s="37" t="n">
        <v>1.8517</v>
      </c>
    </row>
    <row r="146" customFormat="false" ht="15" hidden="false" customHeight="false" outlineLevel="0" collapsed="false">
      <c r="B146" s="36" t="n">
        <v>39288</v>
      </c>
      <c r="C146" s="37" t="n">
        <v>1.8635</v>
      </c>
    </row>
    <row r="147" customFormat="false" ht="15" hidden="false" customHeight="false" outlineLevel="0" collapsed="false">
      <c r="B147" s="36" t="n">
        <v>39289</v>
      </c>
      <c r="C147" s="37" t="n">
        <v>1.9046</v>
      </c>
    </row>
    <row r="148" customFormat="false" ht="15" hidden="false" customHeight="false" outlineLevel="0" collapsed="false">
      <c r="B148" s="36" t="n">
        <v>39290</v>
      </c>
      <c r="C148" s="37" t="n">
        <v>1.9061</v>
      </c>
    </row>
    <row r="149" customFormat="false" ht="15" hidden="false" customHeight="false" outlineLevel="0" collapsed="false">
      <c r="B149" s="36" t="n">
        <v>39293</v>
      </c>
      <c r="C149" s="37" t="n">
        <v>1.8801</v>
      </c>
    </row>
    <row r="150" customFormat="false" ht="15" hidden="false" customHeight="false" outlineLevel="0" collapsed="false">
      <c r="B150" s="36" t="n">
        <v>39294</v>
      </c>
      <c r="C150" s="37" t="n">
        <v>1.8768</v>
      </c>
    </row>
    <row r="151" customFormat="false" ht="15" hidden="false" customHeight="false" outlineLevel="0" collapsed="false">
      <c r="B151" s="36" t="n">
        <v>39295</v>
      </c>
      <c r="C151" s="37" t="n">
        <v>1.8848</v>
      </c>
    </row>
    <row r="152" customFormat="false" ht="15" hidden="false" customHeight="false" outlineLevel="0" collapsed="false">
      <c r="B152" s="36" t="n">
        <v>39296</v>
      </c>
      <c r="C152" s="37" t="n">
        <v>1.8721</v>
      </c>
    </row>
    <row r="153" customFormat="false" ht="15" hidden="false" customHeight="false" outlineLevel="0" collapsed="false">
      <c r="B153" s="36" t="n">
        <v>39297</v>
      </c>
      <c r="C153" s="37" t="n">
        <v>1.8806</v>
      </c>
    </row>
    <row r="154" customFormat="false" ht="15" hidden="false" customHeight="false" outlineLevel="0" collapsed="false">
      <c r="B154" s="36" t="n">
        <v>39300</v>
      </c>
      <c r="C154" s="37" t="n">
        <v>1.9098</v>
      </c>
    </row>
    <row r="155" customFormat="false" ht="15" hidden="false" customHeight="false" outlineLevel="0" collapsed="false">
      <c r="B155" s="36" t="n">
        <v>39301</v>
      </c>
      <c r="C155" s="37" t="n">
        <v>1.9069</v>
      </c>
    </row>
    <row r="156" customFormat="false" ht="15" hidden="false" customHeight="false" outlineLevel="0" collapsed="false">
      <c r="B156" s="36" t="n">
        <v>39302</v>
      </c>
      <c r="C156" s="37" t="n">
        <v>1.8858</v>
      </c>
    </row>
    <row r="157" customFormat="false" ht="15" hidden="false" customHeight="false" outlineLevel="0" collapsed="false">
      <c r="B157" s="36" t="n">
        <v>39303</v>
      </c>
      <c r="C157" s="37" t="n">
        <v>1.9183</v>
      </c>
    </row>
    <row r="158" customFormat="false" ht="15" hidden="false" customHeight="false" outlineLevel="0" collapsed="false">
      <c r="B158" s="36" t="n">
        <v>39304</v>
      </c>
      <c r="C158" s="37" t="n">
        <v>1.9542</v>
      </c>
    </row>
    <row r="159" customFormat="false" ht="15" hidden="false" customHeight="false" outlineLevel="0" collapsed="false">
      <c r="B159" s="36" t="n">
        <v>39307</v>
      </c>
      <c r="C159" s="37" t="n">
        <v>1.9403</v>
      </c>
    </row>
    <row r="160" customFormat="false" ht="15" hidden="false" customHeight="false" outlineLevel="0" collapsed="false">
      <c r="B160" s="36" t="n">
        <v>39308</v>
      </c>
      <c r="C160" s="37" t="n">
        <v>1.9801</v>
      </c>
    </row>
    <row r="161" customFormat="false" ht="15" hidden="false" customHeight="false" outlineLevel="0" collapsed="false">
      <c r="B161" s="36" t="n">
        <v>39309</v>
      </c>
      <c r="C161" s="37" t="n">
        <v>2.0035</v>
      </c>
    </row>
    <row r="162" customFormat="false" ht="15" hidden="false" customHeight="false" outlineLevel="0" collapsed="false">
      <c r="B162" s="36" t="n">
        <v>39310</v>
      </c>
      <c r="C162" s="37" t="n">
        <v>2.1116</v>
      </c>
    </row>
    <row r="163" customFormat="false" ht="15" hidden="false" customHeight="false" outlineLevel="0" collapsed="false">
      <c r="B163" s="36" t="n">
        <v>39311</v>
      </c>
      <c r="C163" s="37" t="n">
        <v>2.0368</v>
      </c>
    </row>
    <row r="164" customFormat="false" ht="15" hidden="false" customHeight="false" outlineLevel="0" collapsed="false">
      <c r="B164" s="36" t="n">
        <v>39314</v>
      </c>
      <c r="C164" s="37" t="n">
        <v>2.0272</v>
      </c>
    </row>
    <row r="165" customFormat="false" ht="15" hidden="false" customHeight="false" outlineLevel="0" collapsed="false">
      <c r="B165" s="36" t="n">
        <v>39315</v>
      </c>
      <c r="C165" s="37" t="n">
        <v>2.0377</v>
      </c>
    </row>
    <row r="166" customFormat="false" ht="15" hidden="false" customHeight="false" outlineLevel="0" collapsed="false">
      <c r="B166" s="36" t="n">
        <v>39316</v>
      </c>
      <c r="C166" s="37" t="n">
        <v>2.0165</v>
      </c>
    </row>
    <row r="167" customFormat="false" ht="15" hidden="false" customHeight="false" outlineLevel="0" collapsed="false">
      <c r="B167" s="36" t="n">
        <v>39317</v>
      </c>
      <c r="C167" s="37" t="n">
        <v>1.9931</v>
      </c>
    </row>
    <row r="168" customFormat="false" ht="15" hidden="false" customHeight="false" outlineLevel="0" collapsed="false">
      <c r="B168" s="36" t="n">
        <v>39318</v>
      </c>
      <c r="C168" s="37" t="n">
        <v>1.9847</v>
      </c>
    </row>
    <row r="169" customFormat="false" ht="15" hidden="false" customHeight="false" outlineLevel="0" collapsed="false">
      <c r="B169" s="36" t="n">
        <v>39321</v>
      </c>
      <c r="C169" s="37" t="n">
        <v>1.9481</v>
      </c>
    </row>
    <row r="170" customFormat="false" ht="15" hidden="false" customHeight="false" outlineLevel="0" collapsed="false">
      <c r="B170" s="36" t="n">
        <v>39322</v>
      </c>
      <c r="C170" s="37" t="n">
        <v>1.9841</v>
      </c>
    </row>
    <row r="171" customFormat="false" ht="15" hidden="false" customHeight="false" outlineLevel="0" collapsed="false">
      <c r="B171" s="36" t="n">
        <v>39323</v>
      </c>
      <c r="C171" s="37" t="n">
        <v>1.9856</v>
      </c>
    </row>
    <row r="172" customFormat="false" ht="15" hidden="false" customHeight="false" outlineLevel="0" collapsed="false">
      <c r="B172" s="36" t="n">
        <v>39324</v>
      </c>
      <c r="C172" s="37" t="n">
        <v>1.9769</v>
      </c>
    </row>
    <row r="173" customFormat="false" ht="15" hidden="false" customHeight="false" outlineLevel="0" collapsed="false">
      <c r="B173" s="36" t="n">
        <v>39325</v>
      </c>
      <c r="C173" s="37" t="n">
        <v>1.9612</v>
      </c>
    </row>
    <row r="174" customFormat="false" ht="15" hidden="false" customHeight="false" outlineLevel="0" collapsed="false">
      <c r="B174" s="36" t="n">
        <v>39328</v>
      </c>
      <c r="C174" s="37" t="n">
        <v>1.9539</v>
      </c>
    </row>
    <row r="175" customFormat="false" ht="15" hidden="false" customHeight="false" outlineLevel="0" collapsed="false">
      <c r="B175" s="36" t="n">
        <v>39329</v>
      </c>
      <c r="C175" s="37" t="n">
        <v>1.952</v>
      </c>
    </row>
    <row r="176" customFormat="false" ht="15" hidden="false" customHeight="false" outlineLevel="0" collapsed="false">
      <c r="B176" s="36" t="n">
        <v>39330</v>
      </c>
      <c r="C176" s="37" t="n">
        <v>1.9632</v>
      </c>
    </row>
    <row r="177" customFormat="false" ht="15" hidden="false" customHeight="false" outlineLevel="0" collapsed="false">
      <c r="B177" s="36" t="n">
        <v>39331</v>
      </c>
      <c r="C177" s="37" t="n">
        <v>1.9537</v>
      </c>
    </row>
    <row r="178" customFormat="false" ht="15" hidden="false" customHeight="false" outlineLevel="0" collapsed="false">
      <c r="B178" s="36" t="n">
        <v>39335</v>
      </c>
      <c r="C178" s="37" t="n">
        <v>1.9583</v>
      </c>
    </row>
    <row r="179" customFormat="false" ht="15" hidden="false" customHeight="false" outlineLevel="0" collapsed="false">
      <c r="B179" s="36" t="n">
        <v>39336</v>
      </c>
      <c r="C179" s="37" t="n">
        <v>1.9296</v>
      </c>
    </row>
    <row r="180" customFormat="false" ht="15" hidden="false" customHeight="false" outlineLevel="0" collapsed="false">
      <c r="B180" s="36" t="n">
        <v>39337</v>
      </c>
      <c r="C180" s="37" t="n">
        <v>1.9117</v>
      </c>
    </row>
    <row r="181" customFormat="false" ht="15" hidden="false" customHeight="false" outlineLevel="0" collapsed="false">
      <c r="B181" s="36" t="n">
        <v>39338</v>
      </c>
      <c r="C181" s="37" t="n">
        <v>1.8983</v>
      </c>
    </row>
    <row r="182" customFormat="false" ht="15" hidden="false" customHeight="false" outlineLevel="0" collapsed="false">
      <c r="B182" s="36" t="n">
        <v>39339</v>
      </c>
      <c r="C182" s="37" t="n">
        <v>1.9023</v>
      </c>
    </row>
    <row r="183" customFormat="false" ht="15" hidden="false" customHeight="false" outlineLevel="0" collapsed="false">
      <c r="B183" s="36" t="n">
        <v>39342</v>
      </c>
      <c r="C183" s="37" t="n">
        <v>1.9115</v>
      </c>
    </row>
    <row r="184" customFormat="false" ht="15" hidden="false" customHeight="false" outlineLevel="0" collapsed="false">
      <c r="B184" s="36" t="n">
        <v>39343</v>
      </c>
      <c r="C184" s="37" t="n">
        <v>1.8952</v>
      </c>
    </row>
    <row r="185" customFormat="false" ht="15" hidden="false" customHeight="false" outlineLevel="0" collapsed="false">
      <c r="B185" s="36" t="n">
        <v>39344</v>
      </c>
      <c r="C185" s="37" t="n">
        <v>1.8631</v>
      </c>
    </row>
    <row r="186" customFormat="false" ht="15" hidden="false" customHeight="false" outlineLevel="0" collapsed="false">
      <c r="B186" s="36" t="n">
        <v>39345</v>
      </c>
      <c r="C186" s="37" t="n">
        <v>1.8629</v>
      </c>
    </row>
    <row r="187" customFormat="false" ht="15" hidden="false" customHeight="false" outlineLevel="0" collapsed="false">
      <c r="B187" s="36" t="n">
        <v>39346</v>
      </c>
      <c r="C187" s="37" t="n">
        <v>1.861</v>
      </c>
    </row>
    <row r="188" customFormat="false" ht="15" hidden="false" customHeight="false" outlineLevel="0" collapsed="false">
      <c r="B188" s="36" t="n">
        <v>39349</v>
      </c>
      <c r="C188" s="37" t="n">
        <v>1.8686</v>
      </c>
    </row>
    <row r="189" customFormat="false" ht="15" hidden="false" customHeight="false" outlineLevel="0" collapsed="false">
      <c r="B189" s="36" t="n">
        <v>39350</v>
      </c>
      <c r="C189" s="37" t="n">
        <v>1.8648</v>
      </c>
    </row>
    <row r="190" customFormat="false" ht="15" hidden="false" customHeight="false" outlineLevel="0" collapsed="false">
      <c r="B190" s="36" t="n">
        <v>39351</v>
      </c>
      <c r="C190" s="37" t="n">
        <v>1.8485</v>
      </c>
    </row>
    <row r="191" customFormat="false" ht="15" hidden="false" customHeight="false" outlineLevel="0" collapsed="false">
      <c r="B191" s="36" t="n">
        <v>39352</v>
      </c>
      <c r="C191" s="37" t="n">
        <v>1.8401</v>
      </c>
    </row>
    <row r="192" customFormat="false" ht="15" hidden="false" customHeight="false" outlineLevel="0" collapsed="false">
      <c r="B192" s="36" t="n">
        <v>39353</v>
      </c>
      <c r="C192" s="37" t="n">
        <v>1.8381</v>
      </c>
    </row>
    <row r="193" customFormat="false" ht="15" hidden="false" customHeight="false" outlineLevel="0" collapsed="false">
      <c r="B193" s="36" t="n">
        <v>39356</v>
      </c>
      <c r="C193" s="37" t="n">
        <v>1.8217</v>
      </c>
    </row>
    <row r="194" customFormat="false" ht="15" hidden="false" customHeight="false" outlineLevel="0" collapsed="false">
      <c r="B194" s="36" t="n">
        <v>39357</v>
      </c>
      <c r="C194" s="37" t="n">
        <v>1.8227</v>
      </c>
    </row>
    <row r="195" customFormat="false" ht="15" hidden="false" customHeight="false" outlineLevel="0" collapsed="false">
      <c r="B195" s="36" t="n">
        <v>39358</v>
      </c>
      <c r="C195" s="37" t="n">
        <v>1.8266</v>
      </c>
    </row>
    <row r="196" customFormat="false" ht="15" hidden="false" customHeight="false" outlineLevel="0" collapsed="false">
      <c r="B196" s="36" t="n">
        <v>39359</v>
      </c>
      <c r="C196" s="37" t="n">
        <v>1.8276</v>
      </c>
    </row>
    <row r="197" customFormat="false" ht="15" hidden="false" customHeight="false" outlineLevel="0" collapsed="false">
      <c r="B197" s="36" t="n">
        <v>39360</v>
      </c>
      <c r="C197" s="37" t="n">
        <v>1.8084</v>
      </c>
    </row>
    <row r="198" customFormat="false" ht="15" hidden="false" customHeight="false" outlineLevel="0" collapsed="false">
      <c r="B198" s="36" t="n">
        <v>39363</v>
      </c>
      <c r="C198" s="37" t="n">
        <v>1.8125</v>
      </c>
    </row>
    <row r="199" customFormat="false" ht="15" hidden="false" customHeight="false" outlineLevel="0" collapsed="false">
      <c r="B199" s="36" t="n">
        <v>39364</v>
      </c>
      <c r="C199" s="37" t="n">
        <v>1.81</v>
      </c>
    </row>
    <row r="200" customFormat="false" ht="15" hidden="false" customHeight="false" outlineLevel="0" collapsed="false">
      <c r="B200" s="36" t="n">
        <v>39365</v>
      </c>
      <c r="C200" s="37" t="n">
        <v>1.804</v>
      </c>
    </row>
    <row r="201" customFormat="false" ht="15" hidden="false" customHeight="false" outlineLevel="0" collapsed="false">
      <c r="B201" s="36" t="n">
        <v>39366</v>
      </c>
      <c r="C201" s="37" t="n">
        <v>1.7912</v>
      </c>
    </row>
    <row r="202" customFormat="false" ht="15" hidden="false" customHeight="false" outlineLevel="0" collapsed="false">
      <c r="B202" s="36" t="n">
        <v>39370</v>
      </c>
      <c r="C202" s="37" t="n">
        <v>1.807</v>
      </c>
    </row>
    <row r="203" customFormat="false" ht="15" hidden="false" customHeight="false" outlineLevel="0" collapsed="false">
      <c r="B203" s="36" t="n">
        <v>39371</v>
      </c>
      <c r="C203" s="37" t="n">
        <v>1.8234</v>
      </c>
    </row>
    <row r="204" customFormat="false" ht="15" hidden="false" customHeight="false" outlineLevel="0" collapsed="false">
      <c r="B204" s="36" t="n">
        <v>39372</v>
      </c>
      <c r="C204" s="37" t="n">
        <v>1.813</v>
      </c>
    </row>
    <row r="205" customFormat="false" ht="15" hidden="false" customHeight="false" outlineLevel="0" collapsed="false">
      <c r="B205" s="36" t="n">
        <v>39373</v>
      </c>
      <c r="C205" s="37" t="n">
        <v>1.8063</v>
      </c>
    </row>
    <row r="206" customFormat="false" ht="15" hidden="false" customHeight="false" outlineLevel="0" collapsed="false">
      <c r="B206" s="36" t="n">
        <v>39374</v>
      </c>
      <c r="C206" s="37" t="n">
        <v>1.7956</v>
      </c>
    </row>
    <row r="207" customFormat="false" ht="15" hidden="false" customHeight="false" outlineLevel="0" collapsed="false">
      <c r="B207" s="36" t="n">
        <v>39377</v>
      </c>
      <c r="C207" s="37" t="n">
        <v>1.8198</v>
      </c>
    </row>
    <row r="208" customFormat="false" ht="15" hidden="false" customHeight="false" outlineLevel="0" collapsed="false">
      <c r="B208" s="36" t="n">
        <v>39378</v>
      </c>
      <c r="C208" s="37" t="n">
        <v>1.7999</v>
      </c>
    </row>
    <row r="209" customFormat="false" ht="15" hidden="false" customHeight="false" outlineLevel="0" collapsed="false">
      <c r="B209" s="36" t="n">
        <v>39379</v>
      </c>
      <c r="C209" s="37" t="n">
        <v>1.7961</v>
      </c>
    </row>
    <row r="210" customFormat="false" ht="15" hidden="false" customHeight="false" outlineLevel="0" collapsed="false">
      <c r="B210" s="36" t="n">
        <v>39380</v>
      </c>
      <c r="C210" s="37" t="n">
        <v>1.7888</v>
      </c>
    </row>
    <row r="211" customFormat="false" ht="15" hidden="false" customHeight="false" outlineLevel="0" collapsed="false">
      <c r="B211" s="36" t="n">
        <v>39381</v>
      </c>
      <c r="C211" s="37" t="n">
        <v>1.7744</v>
      </c>
    </row>
    <row r="212" customFormat="false" ht="15" hidden="false" customHeight="false" outlineLevel="0" collapsed="false">
      <c r="B212" s="36" t="n">
        <v>39384</v>
      </c>
      <c r="C212" s="37" t="n">
        <v>1.7587</v>
      </c>
    </row>
    <row r="213" customFormat="false" ht="15" hidden="false" customHeight="false" outlineLevel="0" collapsed="false">
      <c r="B213" s="36" t="n">
        <v>39385</v>
      </c>
      <c r="C213" s="37" t="n">
        <v>1.7544</v>
      </c>
    </row>
    <row r="214" customFormat="false" ht="15" hidden="false" customHeight="false" outlineLevel="0" collapsed="false">
      <c r="B214" s="36" t="n">
        <v>39386</v>
      </c>
      <c r="C214" s="37" t="n">
        <v>1.7432</v>
      </c>
    </row>
    <row r="215" customFormat="false" ht="15" hidden="false" customHeight="false" outlineLevel="0" collapsed="false">
      <c r="B215" s="36" t="n">
        <v>39387</v>
      </c>
      <c r="C215" s="37" t="n">
        <v>1.7452</v>
      </c>
    </row>
    <row r="216" customFormat="false" ht="15" hidden="false" customHeight="false" outlineLevel="0" collapsed="false">
      <c r="B216" s="36" t="n">
        <v>39391</v>
      </c>
      <c r="C216" s="37" t="n">
        <v>1.7548</v>
      </c>
    </row>
    <row r="217" customFormat="false" ht="15" hidden="false" customHeight="false" outlineLevel="0" collapsed="false">
      <c r="B217" s="36" t="n">
        <v>39392</v>
      </c>
      <c r="C217" s="37" t="n">
        <v>1.7317</v>
      </c>
    </row>
    <row r="218" customFormat="false" ht="15" hidden="false" customHeight="false" outlineLevel="0" collapsed="false">
      <c r="B218" s="36" t="n">
        <v>39393</v>
      </c>
      <c r="C218" s="37" t="n">
        <v>1.7392</v>
      </c>
    </row>
    <row r="219" customFormat="false" ht="15" hidden="false" customHeight="false" outlineLevel="0" collapsed="false">
      <c r="B219" s="36" t="n">
        <v>39394</v>
      </c>
      <c r="C219" s="37" t="n">
        <v>1.7346</v>
      </c>
    </row>
    <row r="220" customFormat="false" ht="15" hidden="false" customHeight="false" outlineLevel="0" collapsed="false">
      <c r="B220" s="36" t="n">
        <v>39395</v>
      </c>
      <c r="C220" s="37" t="n">
        <v>1.7482</v>
      </c>
    </row>
    <row r="221" customFormat="false" ht="15" hidden="false" customHeight="false" outlineLevel="0" collapsed="false">
      <c r="B221" s="36" t="n">
        <v>39398</v>
      </c>
      <c r="C221" s="37" t="n">
        <v>1.7732</v>
      </c>
    </row>
    <row r="222" customFormat="false" ht="15" hidden="false" customHeight="false" outlineLevel="0" collapsed="false">
      <c r="B222" s="36" t="n">
        <v>39399</v>
      </c>
      <c r="C222" s="37" t="n">
        <v>1.7674</v>
      </c>
    </row>
    <row r="223" customFormat="false" ht="15" hidden="false" customHeight="false" outlineLevel="0" collapsed="false">
      <c r="B223" s="36" t="n">
        <v>39400</v>
      </c>
      <c r="C223" s="37" t="n">
        <v>1.737</v>
      </c>
    </row>
    <row r="224" customFormat="false" ht="15" hidden="false" customHeight="false" outlineLevel="0" collapsed="false">
      <c r="B224" s="36" t="n">
        <v>39402</v>
      </c>
      <c r="C224" s="37" t="n">
        <v>1.7406</v>
      </c>
    </row>
    <row r="225" customFormat="false" ht="15" hidden="false" customHeight="false" outlineLevel="0" collapsed="false">
      <c r="B225" s="36" t="n">
        <v>39405</v>
      </c>
      <c r="C225" s="37" t="n">
        <v>1.7585</v>
      </c>
    </row>
    <row r="226" customFormat="false" ht="15" hidden="false" customHeight="false" outlineLevel="0" collapsed="false">
      <c r="B226" s="36" t="n">
        <v>39406</v>
      </c>
      <c r="C226" s="37" t="n">
        <v>1.7639</v>
      </c>
    </row>
    <row r="227" customFormat="false" ht="15" hidden="false" customHeight="false" outlineLevel="0" collapsed="false">
      <c r="B227" s="36" t="n">
        <v>39407</v>
      </c>
      <c r="C227" s="37" t="n">
        <v>1.7858</v>
      </c>
    </row>
    <row r="228" customFormat="false" ht="15" hidden="false" customHeight="false" outlineLevel="0" collapsed="false">
      <c r="B228" s="36" t="n">
        <v>39408</v>
      </c>
      <c r="C228" s="37" t="n">
        <v>1.7739</v>
      </c>
    </row>
    <row r="229" customFormat="false" ht="15" hidden="false" customHeight="false" outlineLevel="0" collapsed="false">
      <c r="B229" s="36" t="n">
        <v>39409</v>
      </c>
      <c r="C229" s="37" t="n">
        <v>1.7954</v>
      </c>
    </row>
    <row r="230" customFormat="false" ht="15" hidden="false" customHeight="false" outlineLevel="0" collapsed="false">
      <c r="B230" s="36" t="n">
        <v>39412</v>
      </c>
      <c r="C230" s="37" t="n">
        <v>1.8102</v>
      </c>
    </row>
    <row r="231" customFormat="false" ht="15" hidden="false" customHeight="false" outlineLevel="0" collapsed="false">
      <c r="B231" s="36" t="n">
        <v>39413</v>
      </c>
      <c r="C231" s="37" t="n">
        <v>1.8493</v>
      </c>
    </row>
    <row r="232" customFormat="false" ht="15" hidden="false" customHeight="false" outlineLevel="0" collapsed="false">
      <c r="B232" s="36" t="n">
        <v>39414</v>
      </c>
      <c r="C232" s="37" t="n">
        <v>1.801</v>
      </c>
    </row>
    <row r="233" customFormat="false" ht="15" hidden="false" customHeight="false" outlineLevel="0" collapsed="false">
      <c r="B233" s="36" t="n">
        <v>39415</v>
      </c>
      <c r="C233" s="37" t="n">
        <v>1.7897</v>
      </c>
    </row>
    <row r="234" customFormat="false" ht="15" hidden="false" customHeight="false" outlineLevel="0" collapsed="false">
      <c r="B234" s="36" t="n">
        <v>39416</v>
      </c>
      <c r="C234" s="37" t="n">
        <v>1.7829</v>
      </c>
    </row>
    <row r="235" customFormat="false" ht="15" hidden="false" customHeight="false" outlineLevel="0" collapsed="false">
      <c r="B235" s="36" t="n">
        <v>39419</v>
      </c>
      <c r="C235" s="37" t="n">
        <v>1.788</v>
      </c>
    </row>
    <row r="236" customFormat="false" ht="15" hidden="false" customHeight="false" outlineLevel="0" collapsed="false">
      <c r="B236" s="36" t="n">
        <v>39420</v>
      </c>
      <c r="C236" s="37" t="n">
        <v>1.8225</v>
      </c>
    </row>
    <row r="237" customFormat="false" ht="15" hidden="false" customHeight="false" outlineLevel="0" collapsed="false">
      <c r="B237" s="36" t="n">
        <v>39421</v>
      </c>
      <c r="C237" s="37" t="n">
        <v>1.7948</v>
      </c>
    </row>
    <row r="238" customFormat="false" ht="15" hidden="false" customHeight="false" outlineLevel="0" collapsed="false">
      <c r="B238" s="36" t="n">
        <v>39422</v>
      </c>
      <c r="C238" s="37" t="n">
        <v>1.7865</v>
      </c>
    </row>
    <row r="239" customFormat="false" ht="15" hidden="false" customHeight="false" outlineLevel="0" collapsed="false">
      <c r="B239" s="36" t="n">
        <v>39423</v>
      </c>
      <c r="C239" s="37" t="n">
        <v>1.7608</v>
      </c>
    </row>
    <row r="240" customFormat="false" ht="15" hidden="false" customHeight="false" outlineLevel="0" collapsed="false">
      <c r="B240" s="36" t="n">
        <v>39426</v>
      </c>
      <c r="C240" s="37" t="n">
        <v>1.7612</v>
      </c>
    </row>
    <row r="241" customFormat="false" ht="15" hidden="false" customHeight="false" outlineLevel="0" collapsed="false">
      <c r="B241" s="36" t="n">
        <v>39427</v>
      </c>
      <c r="C241" s="37" t="n">
        <v>1.7642</v>
      </c>
    </row>
    <row r="242" customFormat="false" ht="15" hidden="false" customHeight="false" outlineLevel="0" collapsed="false">
      <c r="B242" s="36" t="n">
        <v>39428</v>
      </c>
      <c r="C242" s="37" t="n">
        <v>1.7616</v>
      </c>
    </row>
    <row r="243" customFormat="false" ht="15" hidden="false" customHeight="false" outlineLevel="0" collapsed="false">
      <c r="B243" s="36" t="n">
        <v>39429</v>
      </c>
      <c r="C243" s="37" t="n">
        <v>1.7738</v>
      </c>
    </row>
    <row r="244" customFormat="false" ht="15" hidden="false" customHeight="false" outlineLevel="0" collapsed="false">
      <c r="B244" s="36" t="n">
        <v>39430</v>
      </c>
      <c r="C244" s="37" t="n">
        <v>1.7951</v>
      </c>
    </row>
    <row r="245" customFormat="false" ht="15" hidden="false" customHeight="false" outlineLevel="0" collapsed="false">
      <c r="B245" s="36" t="n">
        <v>39433</v>
      </c>
      <c r="C245" s="37" t="n">
        <v>1.8115</v>
      </c>
    </row>
    <row r="246" customFormat="false" ht="15" hidden="false" customHeight="false" outlineLevel="0" collapsed="false">
      <c r="B246" s="36" t="n">
        <v>39434</v>
      </c>
      <c r="C246" s="37" t="n">
        <v>1.8083</v>
      </c>
    </row>
    <row r="247" customFormat="false" ht="15" hidden="false" customHeight="false" outlineLevel="0" collapsed="false">
      <c r="B247" s="36" t="n">
        <v>39435</v>
      </c>
      <c r="C247" s="37" t="n">
        <v>1.8011</v>
      </c>
    </row>
    <row r="248" customFormat="false" ht="15" hidden="false" customHeight="false" outlineLevel="0" collapsed="false">
      <c r="B248" s="36" t="n">
        <v>39436</v>
      </c>
      <c r="C248" s="37" t="n">
        <v>1.8024</v>
      </c>
    </row>
    <row r="249" customFormat="false" ht="15" hidden="false" customHeight="false" outlineLevel="0" collapsed="false">
      <c r="B249" s="36" t="n">
        <v>39437</v>
      </c>
      <c r="C249" s="37" t="n">
        <v>1.7958</v>
      </c>
    </row>
    <row r="250" customFormat="false" ht="15" hidden="false" customHeight="false" outlineLevel="0" collapsed="false">
      <c r="B250" s="36" t="n">
        <v>39440</v>
      </c>
      <c r="C250" s="37" t="n">
        <v>1.7901</v>
      </c>
    </row>
    <row r="251" customFormat="false" ht="15" hidden="false" customHeight="false" outlineLevel="0" collapsed="false">
      <c r="B251" s="36" t="n">
        <v>39442</v>
      </c>
      <c r="C251" s="37" t="n">
        <v>1.7787</v>
      </c>
    </row>
    <row r="252" customFormat="false" ht="15" hidden="false" customHeight="false" outlineLevel="0" collapsed="false">
      <c r="B252" s="36" t="n">
        <v>39443</v>
      </c>
      <c r="C252" s="37" t="n">
        <v>1.7663</v>
      </c>
    </row>
    <row r="253" customFormat="false" ht="15" hidden="false" customHeight="false" outlineLevel="0" collapsed="false">
      <c r="B253" s="36" t="n">
        <v>39444</v>
      </c>
      <c r="C253" s="37" t="n">
        <v>1.7705</v>
      </c>
    </row>
    <row r="254" customFormat="false" ht="15" hidden="false" customHeight="false" outlineLevel="0" collapsed="false">
      <c r="B254" s="36" t="n">
        <v>39447</v>
      </c>
      <c r="C254" s="37" t="n">
        <v>1.7705</v>
      </c>
    </row>
    <row r="255" customFormat="false" ht="15" hidden="false" customHeight="false" outlineLevel="0" collapsed="false">
      <c r="B255" s="36" t="n">
        <v>39449</v>
      </c>
      <c r="C255" s="37" t="n">
        <v>1.7714</v>
      </c>
    </row>
    <row r="256" customFormat="false" ht="15" hidden="false" customHeight="false" outlineLevel="0" collapsed="false">
      <c r="B256" s="36" t="n">
        <v>39450</v>
      </c>
      <c r="C256" s="37" t="n">
        <v>1.7561</v>
      </c>
    </row>
    <row r="257" customFormat="false" ht="15" hidden="false" customHeight="false" outlineLevel="0" collapsed="false">
      <c r="B257" s="36" t="n">
        <v>39451</v>
      </c>
      <c r="C257" s="37" t="n">
        <v>1.7566</v>
      </c>
    </row>
    <row r="258" customFormat="false" ht="15" hidden="false" customHeight="false" outlineLevel="0" collapsed="false">
      <c r="B258" s="36" t="n">
        <v>39454</v>
      </c>
      <c r="C258" s="37" t="n">
        <v>1.7667</v>
      </c>
    </row>
    <row r="259" customFormat="false" ht="15" hidden="false" customHeight="false" outlineLevel="0" collapsed="false">
      <c r="B259" s="36" t="n">
        <v>39455</v>
      </c>
      <c r="C259" s="37" t="n">
        <v>1.7546</v>
      </c>
    </row>
    <row r="260" customFormat="false" ht="15" hidden="false" customHeight="false" outlineLevel="0" collapsed="false">
      <c r="B260" s="36" t="n">
        <v>39456</v>
      </c>
      <c r="C260" s="37" t="n">
        <v>1.7683</v>
      </c>
    </row>
    <row r="261" customFormat="false" ht="15" hidden="false" customHeight="false" outlineLevel="0" collapsed="false">
      <c r="B261" s="36" t="n">
        <v>39457</v>
      </c>
      <c r="C261" s="37" t="n">
        <v>1.762</v>
      </c>
    </row>
    <row r="262" customFormat="false" ht="15" hidden="false" customHeight="false" outlineLevel="0" collapsed="false">
      <c r="B262" s="36" t="n">
        <v>39458</v>
      </c>
      <c r="C262" s="37" t="n">
        <v>1.7528</v>
      </c>
    </row>
    <row r="263" customFormat="false" ht="15" hidden="false" customHeight="false" outlineLevel="0" collapsed="false">
      <c r="B263" s="36" t="n">
        <v>39461</v>
      </c>
      <c r="C263" s="37" t="n">
        <v>1.7406</v>
      </c>
    </row>
    <row r="264" customFormat="false" ht="15" hidden="false" customHeight="false" outlineLevel="0" collapsed="false">
      <c r="B264" s="36" t="n">
        <v>39462</v>
      </c>
      <c r="C264" s="37" t="n">
        <v>1.7442</v>
      </c>
    </row>
    <row r="265" customFormat="false" ht="15" hidden="false" customHeight="false" outlineLevel="0" collapsed="false">
      <c r="B265" s="36" t="n">
        <v>39463</v>
      </c>
      <c r="C265" s="37" t="n">
        <v>1.7622</v>
      </c>
    </row>
    <row r="266" customFormat="false" ht="15" hidden="false" customHeight="false" outlineLevel="0" collapsed="false">
      <c r="B266" s="36" t="n">
        <v>39464</v>
      </c>
      <c r="C266" s="37" t="n">
        <v>1.7679</v>
      </c>
    </row>
    <row r="267" customFormat="false" ht="15" hidden="false" customHeight="false" outlineLevel="0" collapsed="false">
      <c r="B267" s="36" t="n">
        <v>39465</v>
      </c>
      <c r="C267" s="37" t="n">
        <v>1.7842</v>
      </c>
    </row>
    <row r="268" customFormat="false" ht="15" hidden="false" customHeight="false" outlineLevel="0" collapsed="false">
      <c r="B268" s="36" t="n">
        <v>39468</v>
      </c>
      <c r="C268" s="37" t="n">
        <v>1.8293</v>
      </c>
    </row>
    <row r="269" customFormat="false" ht="15" hidden="false" customHeight="false" outlineLevel="0" collapsed="false">
      <c r="B269" s="36" t="n">
        <v>39469</v>
      </c>
      <c r="C269" s="37" t="n">
        <v>1.8033</v>
      </c>
    </row>
    <row r="270" customFormat="false" ht="15" hidden="false" customHeight="false" outlineLevel="0" collapsed="false">
      <c r="B270" s="36" t="n">
        <v>39470</v>
      </c>
      <c r="C270" s="37" t="n">
        <v>1.8139</v>
      </c>
    </row>
    <row r="271" customFormat="false" ht="15" hidden="false" customHeight="false" outlineLevel="0" collapsed="false">
      <c r="B271" s="36" t="n">
        <v>39471</v>
      </c>
      <c r="C271" s="37" t="n">
        <v>1.7875</v>
      </c>
    </row>
    <row r="272" customFormat="false" ht="15" hidden="false" customHeight="false" outlineLevel="0" collapsed="false">
      <c r="B272" s="36" t="n">
        <v>39472</v>
      </c>
      <c r="C272" s="37" t="n">
        <v>1.7904</v>
      </c>
    </row>
    <row r="273" customFormat="false" ht="15" hidden="false" customHeight="false" outlineLevel="0" collapsed="false">
      <c r="B273" s="36" t="n">
        <v>39475</v>
      </c>
      <c r="C273" s="37" t="n">
        <v>1.7898</v>
      </c>
    </row>
    <row r="274" customFormat="false" ht="15" hidden="false" customHeight="false" outlineLevel="0" collapsed="false">
      <c r="B274" s="36" t="n">
        <v>39476</v>
      </c>
      <c r="C274" s="37" t="n">
        <v>1.7754</v>
      </c>
    </row>
    <row r="275" customFormat="false" ht="15" hidden="false" customHeight="false" outlineLevel="0" collapsed="false">
      <c r="B275" s="36" t="n">
        <v>39477</v>
      </c>
      <c r="C275" s="37" t="n">
        <v>1.7794</v>
      </c>
    </row>
    <row r="276" customFormat="false" ht="15" hidden="false" customHeight="false" outlineLevel="0" collapsed="false">
      <c r="B276" s="36" t="n">
        <v>39478</v>
      </c>
      <c r="C276" s="37" t="n">
        <v>1.7595</v>
      </c>
    </row>
    <row r="277" customFormat="false" ht="15" hidden="false" customHeight="false" outlineLevel="0" collapsed="false">
      <c r="B277" s="36" t="n">
        <v>39479</v>
      </c>
      <c r="C277" s="37" t="n">
        <v>1.7443</v>
      </c>
    </row>
    <row r="278" customFormat="false" ht="15" hidden="false" customHeight="false" outlineLevel="0" collapsed="false">
      <c r="B278" s="36" t="n">
        <v>39484</v>
      </c>
      <c r="C278" s="37" t="n">
        <v>1.7523</v>
      </c>
    </row>
    <row r="279" customFormat="false" ht="15" hidden="false" customHeight="false" outlineLevel="0" collapsed="false">
      <c r="B279" s="36" t="n">
        <v>39485</v>
      </c>
      <c r="C279" s="37" t="n">
        <v>1.7619</v>
      </c>
    </row>
    <row r="280" customFormat="false" ht="15" hidden="false" customHeight="false" outlineLevel="0" collapsed="false">
      <c r="B280" s="36" t="n">
        <v>39486</v>
      </c>
      <c r="C280" s="37" t="n">
        <v>1.7673</v>
      </c>
    </row>
    <row r="281" customFormat="false" ht="15" hidden="false" customHeight="false" outlineLevel="0" collapsed="false">
      <c r="B281" s="36" t="n">
        <v>39489</v>
      </c>
      <c r="C281" s="37" t="n">
        <v>1.7593</v>
      </c>
    </row>
    <row r="282" customFormat="false" ht="15" hidden="false" customHeight="false" outlineLevel="0" collapsed="false">
      <c r="B282" s="36" t="n">
        <v>39490</v>
      </c>
      <c r="C282" s="37" t="n">
        <v>1.747</v>
      </c>
    </row>
    <row r="283" customFormat="false" ht="15" hidden="false" customHeight="false" outlineLevel="0" collapsed="false">
      <c r="B283" s="36" t="n">
        <v>39491</v>
      </c>
      <c r="C283" s="37" t="n">
        <v>1.7451</v>
      </c>
    </row>
    <row r="284" customFormat="false" ht="15" hidden="false" customHeight="false" outlineLevel="0" collapsed="false">
      <c r="B284" s="36" t="n">
        <v>39492</v>
      </c>
      <c r="C284" s="37" t="n">
        <v>1.7461</v>
      </c>
    </row>
    <row r="285" customFormat="false" ht="15" hidden="false" customHeight="false" outlineLevel="0" collapsed="false">
      <c r="B285" s="36" t="n">
        <v>39493</v>
      </c>
      <c r="C285" s="37" t="n">
        <v>1.7533</v>
      </c>
    </row>
    <row r="286" customFormat="false" ht="15" hidden="false" customHeight="false" outlineLevel="0" collapsed="false">
      <c r="B286" s="36" t="n">
        <v>39496</v>
      </c>
      <c r="C286" s="37" t="n">
        <v>1.7386</v>
      </c>
    </row>
    <row r="287" customFormat="false" ht="15" hidden="false" customHeight="false" outlineLevel="0" collapsed="false">
      <c r="B287" s="36" t="n">
        <v>39497</v>
      </c>
      <c r="C287" s="37" t="n">
        <v>1.7321</v>
      </c>
    </row>
    <row r="288" customFormat="false" ht="15" hidden="false" customHeight="false" outlineLevel="0" collapsed="false">
      <c r="B288" s="36" t="n">
        <v>39498</v>
      </c>
      <c r="C288" s="37" t="n">
        <v>1.7343</v>
      </c>
    </row>
    <row r="289" customFormat="false" ht="15" hidden="false" customHeight="false" outlineLevel="0" collapsed="false">
      <c r="B289" s="36" t="n">
        <v>39499</v>
      </c>
      <c r="C289" s="37" t="n">
        <v>1.7096</v>
      </c>
    </row>
    <row r="290" customFormat="false" ht="15" hidden="false" customHeight="false" outlineLevel="0" collapsed="false">
      <c r="B290" s="36" t="n">
        <v>39500</v>
      </c>
      <c r="C290" s="37" t="n">
        <v>1.7032</v>
      </c>
    </row>
    <row r="291" customFormat="false" ht="15" hidden="false" customHeight="false" outlineLevel="0" collapsed="false">
      <c r="B291" s="36" t="n">
        <v>39503</v>
      </c>
      <c r="C291" s="37" t="n">
        <v>1.7054</v>
      </c>
    </row>
    <row r="292" customFormat="false" ht="15" hidden="false" customHeight="false" outlineLevel="0" collapsed="false">
      <c r="B292" s="36" t="n">
        <v>39504</v>
      </c>
      <c r="C292" s="37" t="n">
        <v>1.6874</v>
      </c>
    </row>
    <row r="293" customFormat="false" ht="15" hidden="false" customHeight="false" outlineLevel="0" collapsed="false">
      <c r="B293" s="36" t="n">
        <v>39505</v>
      </c>
      <c r="C293" s="37" t="n">
        <v>1.6707</v>
      </c>
    </row>
    <row r="294" customFormat="false" ht="15" hidden="false" customHeight="false" outlineLevel="0" collapsed="false">
      <c r="B294" s="36" t="n">
        <v>39506</v>
      </c>
      <c r="C294" s="37" t="n">
        <v>1.6715</v>
      </c>
    </row>
    <row r="295" customFormat="false" ht="15" hidden="false" customHeight="false" outlineLevel="0" collapsed="false">
      <c r="B295" s="36" t="n">
        <v>39507</v>
      </c>
      <c r="C295" s="37" t="n">
        <v>1.6825</v>
      </c>
    </row>
    <row r="296" customFormat="false" ht="15" hidden="false" customHeight="false" outlineLevel="0" collapsed="false">
      <c r="B296" s="36" t="n">
        <v>39510</v>
      </c>
      <c r="C296" s="37" t="n">
        <v>1.6808</v>
      </c>
    </row>
    <row r="297" customFormat="false" ht="15" hidden="false" customHeight="false" outlineLevel="0" collapsed="false">
      <c r="B297" s="36" t="n">
        <v>39511</v>
      </c>
      <c r="C297" s="37" t="n">
        <v>1.6722</v>
      </c>
    </row>
    <row r="298" customFormat="false" ht="15" hidden="false" customHeight="false" outlineLevel="0" collapsed="false">
      <c r="B298" s="36" t="n">
        <v>39512</v>
      </c>
      <c r="C298" s="37" t="n">
        <v>1.6692</v>
      </c>
    </row>
    <row r="299" customFormat="false" ht="15" hidden="false" customHeight="false" outlineLevel="0" collapsed="false">
      <c r="B299" s="36" t="n">
        <v>39513</v>
      </c>
      <c r="C299" s="37" t="n">
        <v>1.6712</v>
      </c>
    </row>
    <row r="300" customFormat="false" ht="15" hidden="false" customHeight="false" outlineLevel="0" collapsed="false">
      <c r="B300" s="36" t="n">
        <v>39514</v>
      </c>
      <c r="C300" s="37" t="n">
        <v>1.6833</v>
      </c>
    </row>
    <row r="301" customFormat="false" ht="15" hidden="false" customHeight="false" outlineLevel="0" collapsed="false">
      <c r="B301" s="36" t="n">
        <v>39517</v>
      </c>
      <c r="C301" s="37" t="n">
        <v>1.6988</v>
      </c>
    </row>
    <row r="302" customFormat="false" ht="15" hidden="false" customHeight="false" outlineLevel="0" collapsed="false">
      <c r="B302" s="36" t="n">
        <v>39518</v>
      </c>
      <c r="C302" s="37" t="n">
        <v>1.6939</v>
      </c>
    </row>
    <row r="303" customFormat="false" ht="15" hidden="false" customHeight="false" outlineLevel="0" collapsed="false">
      <c r="B303" s="36" t="n">
        <v>39519</v>
      </c>
      <c r="C303" s="37" t="n">
        <v>1.6788</v>
      </c>
    </row>
    <row r="304" customFormat="false" ht="15" hidden="false" customHeight="false" outlineLevel="0" collapsed="false">
      <c r="B304" s="36" t="n">
        <v>39520</v>
      </c>
      <c r="C304" s="37" t="n">
        <v>1.6963</v>
      </c>
    </row>
    <row r="305" customFormat="false" ht="15" hidden="false" customHeight="false" outlineLevel="0" collapsed="false">
      <c r="B305" s="36" t="n">
        <v>39521</v>
      </c>
      <c r="C305" s="37" t="n">
        <v>1.6939</v>
      </c>
    </row>
    <row r="306" customFormat="false" ht="15" hidden="false" customHeight="false" outlineLevel="0" collapsed="false">
      <c r="B306" s="36" t="n">
        <v>39524</v>
      </c>
      <c r="C306" s="37" t="n">
        <v>1.724</v>
      </c>
    </row>
    <row r="307" customFormat="false" ht="15" hidden="false" customHeight="false" outlineLevel="0" collapsed="false">
      <c r="B307" s="36" t="n">
        <v>39525</v>
      </c>
      <c r="C307" s="37" t="n">
        <v>1.6999</v>
      </c>
    </row>
    <row r="308" customFormat="false" ht="15" hidden="false" customHeight="false" outlineLevel="0" collapsed="false">
      <c r="B308" s="36" t="n">
        <v>39526</v>
      </c>
      <c r="C308" s="37" t="n">
        <v>1.7037</v>
      </c>
    </row>
    <row r="309" customFormat="false" ht="15" hidden="false" customHeight="false" outlineLevel="0" collapsed="false">
      <c r="B309" s="36" t="n">
        <v>39527</v>
      </c>
      <c r="C309" s="37" t="n">
        <v>1.7416</v>
      </c>
    </row>
    <row r="310" customFormat="false" ht="15" hidden="false" customHeight="false" outlineLevel="0" collapsed="false">
      <c r="B310" s="36" t="n">
        <v>39531</v>
      </c>
      <c r="C310" s="37" t="n">
        <v>1.7399</v>
      </c>
    </row>
    <row r="311" customFormat="false" ht="15" hidden="false" customHeight="false" outlineLevel="0" collapsed="false">
      <c r="B311" s="36" t="n">
        <v>39532</v>
      </c>
      <c r="C311" s="37" t="n">
        <v>1.7333</v>
      </c>
    </row>
    <row r="312" customFormat="false" ht="15" hidden="false" customHeight="false" outlineLevel="0" collapsed="false">
      <c r="B312" s="36" t="n">
        <v>39533</v>
      </c>
      <c r="C312" s="37" t="n">
        <v>1.728</v>
      </c>
    </row>
    <row r="313" customFormat="false" ht="15" hidden="false" customHeight="false" outlineLevel="0" collapsed="false">
      <c r="B313" s="36" t="n">
        <v>39534</v>
      </c>
      <c r="C313" s="37" t="n">
        <v>1.7337</v>
      </c>
    </row>
    <row r="314" customFormat="false" ht="15" hidden="false" customHeight="false" outlineLevel="0" collapsed="false">
      <c r="B314" s="36" t="n">
        <v>39535</v>
      </c>
      <c r="C314" s="37" t="n">
        <v>1.7448</v>
      </c>
    </row>
    <row r="315" customFormat="false" ht="15" hidden="false" customHeight="false" outlineLevel="0" collapsed="false">
      <c r="B315" s="36" t="n">
        <v>39538</v>
      </c>
      <c r="C315" s="37" t="n">
        <v>1.7483</v>
      </c>
    </row>
    <row r="316" customFormat="false" ht="15" hidden="false" customHeight="false" outlineLevel="0" collapsed="false">
      <c r="B316" s="36" t="n">
        <v>39539</v>
      </c>
      <c r="C316" s="37" t="n">
        <v>1.7526</v>
      </c>
    </row>
    <row r="317" customFormat="false" ht="15" hidden="false" customHeight="false" outlineLevel="0" collapsed="false">
      <c r="B317" s="36" t="n">
        <v>39540</v>
      </c>
      <c r="C317" s="37" t="n">
        <v>1.7265</v>
      </c>
    </row>
    <row r="318" customFormat="false" ht="15" hidden="false" customHeight="false" outlineLevel="0" collapsed="false">
      <c r="B318" s="36" t="n">
        <v>39541</v>
      </c>
      <c r="C318" s="37" t="n">
        <v>1.7244</v>
      </c>
    </row>
    <row r="319" customFormat="false" ht="15" hidden="false" customHeight="false" outlineLevel="0" collapsed="false">
      <c r="B319" s="36" t="n">
        <v>39542</v>
      </c>
      <c r="C319" s="37" t="n">
        <v>1.7109</v>
      </c>
    </row>
    <row r="320" customFormat="false" ht="15" hidden="false" customHeight="false" outlineLevel="0" collapsed="false">
      <c r="B320" s="36" t="n">
        <v>39545</v>
      </c>
      <c r="C320" s="37" t="n">
        <v>1.6982</v>
      </c>
    </row>
    <row r="321" customFormat="false" ht="15" hidden="false" customHeight="false" outlineLevel="0" collapsed="false">
      <c r="B321" s="36" t="n">
        <v>39546</v>
      </c>
      <c r="C321" s="37" t="n">
        <v>1.703</v>
      </c>
    </row>
    <row r="322" customFormat="false" ht="15" hidden="false" customHeight="false" outlineLevel="0" collapsed="false">
      <c r="B322" s="36" t="n">
        <v>39547</v>
      </c>
      <c r="C322" s="37" t="n">
        <v>1.687</v>
      </c>
    </row>
    <row r="323" customFormat="false" ht="15" hidden="false" customHeight="false" outlineLevel="0" collapsed="false">
      <c r="B323" s="36" t="n">
        <v>39548</v>
      </c>
      <c r="C323" s="37" t="n">
        <v>1.6814</v>
      </c>
    </row>
    <row r="324" customFormat="false" ht="15" hidden="false" customHeight="false" outlineLevel="0" collapsed="false">
      <c r="B324" s="36" t="n">
        <v>39549</v>
      </c>
      <c r="C324" s="37" t="n">
        <v>1.6868</v>
      </c>
    </row>
    <row r="325" customFormat="false" ht="15" hidden="false" customHeight="false" outlineLevel="0" collapsed="false">
      <c r="B325" s="36" t="n">
        <v>39552</v>
      </c>
      <c r="C325" s="37" t="n">
        <v>1.6859</v>
      </c>
    </row>
    <row r="326" customFormat="false" ht="15" hidden="false" customHeight="false" outlineLevel="0" collapsed="false">
      <c r="B326" s="36" t="n">
        <v>39553</v>
      </c>
      <c r="C326" s="37" t="n">
        <v>1.6814</v>
      </c>
    </row>
    <row r="327" customFormat="false" ht="15" hidden="false" customHeight="false" outlineLevel="0" collapsed="false">
      <c r="B327" s="36" t="n">
        <v>39554</v>
      </c>
      <c r="C327" s="37" t="n">
        <v>1.6691</v>
      </c>
    </row>
    <row r="328" customFormat="false" ht="15" hidden="false" customHeight="false" outlineLevel="0" collapsed="false">
      <c r="B328" s="36" t="n">
        <v>39555</v>
      </c>
      <c r="C328" s="37" t="n">
        <v>1.658</v>
      </c>
    </row>
    <row r="329" customFormat="false" ht="15" hidden="false" customHeight="false" outlineLevel="0" collapsed="false">
      <c r="B329" s="36" t="n">
        <v>39556</v>
      </c>
      <c r="C329" s="37" t="n">
        <v>1.6685</v>
      </c>
    </row>
    <row r="330" customFormat="false" ht="15" hidden="false" customHeight="false" outlineLevel="0" collapsed="false">
      <c r="B330" s="36" t="n">
        <v>39560</v>
      </c>
      <c r="C330" s="37" t="n">
        <v>1.6567</v>
      </c>
    </row>
    <row r="331" customFormat="false" ht="15" hidden="false" customHeight="false" outlineLevel="0" collapsed="false">
      <c r="B331" s="36" t="n">
        <v>39561</v>
      </c>
      <c r="C331" s="37" t="n">
        <v>1.6574</v>
      </c>
    </row>
    <row r="332" customFormat="false" ht="15" hidden="false" customHeight="false" outlineLevel="0" collapsed="false">
      <c r="B332" s="36" t="n">
        <v>39562</v>
      </c>
      <c r="C332" s="37" t="n">
        <v>1.6679</v>
      </c>
    </row>
    <row r="333" customFormat="false" ht="15" hidden="false" customHeight="false" outlineLevel="0" collapsed="false">
      <c r="B333" s="36" t="n">
        <v>39563</v>
      </c>
      <c r="C333" s="37" t="n">
        <v>1.668</v>
      </c>
    </row>
    <row r="334" customFormat="false" ht="15" hidden="false" customHeight="false" outlineLevel="0" collapsed="false">
      <c r="B334" s="36" t="n">
        <v>39566</v>
      </c>
      <c r="C334" s="37" t="n">
        <v>1.6756</v>
      </c>
    </row>
    <row r="335" customFormat="false" ht="15" hidden="false" customHeight="false" outlineLevel="0" collapsed="false">
      <c r="B335" s="36" t="n">
        <v>39567</v>
      </c>
      <c r="C335" s="37" t="n">
        <v>1.705</v>
      </c>
    </row>
    <row r="336" customFormat="false" ht="15" hidden="false" customHeight="false" outlineLevel="0" collapsed="false">
      <c r="B336" s="36" t="n">
        <v>39568</v>
      </c>
      <c r="C336" s="37" t="n">
        <v>1.6864</v>
      </c>
    </row>
    <row r="337" customFormat="false" ht="15" hidden="false" customHeight="false" outlineLevel="0" collapsed="false">
      <c r="B337" s="36" t="n">
        <v>39570</v>
      </c>
      <c r="C337" s="37" t="n">
        <v>1.6498</v>
      </c>
    </row>
    <row r="338" customFormat="false" ht="15" hidden="false" customHeight="false" outlineLevel="0" collapsed="false">
      <c r="B338" s="36" t="n">
        <v>39573</v>
      </c>
      <c r="C338" s="37" t="n">
        <v>1.657</v>
      </c>
    </row>
    <row r="339" customFormat="false" ht="15" hidden="false" customHeight="false" outlineLevel="0" collapsed="false">
      <c r="B339" s="36" t="n">
        <v>39574</v>
      </c>
      <c r="C339" s="37" t="n">
        <v>1.6607</v>
      </c>
    </row>
    <row r="340" customFormat="false" ht="15" hidden="false" customHeight="false" outlineLevel="0" collapsed="false">
      <c r="B340" s="36" t="n">
        <v>39575</v>
      </c>
      <c r="C340" s="37" t="n">
        <v>1.6733</v>
      </c>
    </row>
    <row r="341" customFormat="false" ht="15" hidden="false" customHeight="false" outlineLevel="0" collapsed="false">
      <c r="B341" s="36" t="n">
        <v>39576</v>
      </c>
      <c r="C341" s="37" t="n">
        <v>1.6928</v>
      </c>
    </row>
    <row r="342" customFormat="false" ht="15" hidden="false" customHeight="false" outlineLevel="0" collapsed="false">
      <c r="B342" s="36" t="n">
        <v>39577</v>
      </c>
      <c r="C342" s="37" t="n">
        <v>1.6941</v>
      </c>
    </row>
    <row r="343" customFormat="false" ht="15" hidden="false" customHeight="false" outlineLevel="0" collapsed="false">
      <c r="B343" s="36" t="n">
        <v>39580</v>
      </c>
      <c r="C343" s="37" t="n">
        <v>1.6735</v>
      </c>
    </row>
    <row r="344" customFormat="false" ht="15" hidden="false" customHeight="false" outlineLevel="0" collapsed="false">
      <c r="B344" s="36" t="n">
        <v>39581</v>
      </c>
      <c r="C344" s="37" t="n">
        <v>1.6575</v>
      </c>
    </row>
    <row r="345" customFormat="false" ht="15" hidden="false" customHeight="false" outlineLevel="0" collapsed="false">
      <c r="B345" s="36" t="n">
        <v>39582</v>
      </c>
      <c r="C345" s="37" t="n">
        <v>1.6633</v>
      </c>
    </row>
    <row r="346" customFormat="false" ht="15" hidden="false" customHeight="false" outlineLevel="0" collapsed="false">
      <c r="B346" s="36" t="n">
        <v>39583</v>
      </c>
      <c r="C346" s="37" t="n">
        <v>1.6593</v>
      </c>
    </row>
    <row r="347" customFormat="false" ht="15" hidden="false" customHeight="false" outlineLevel="0" collapsed="false">
      <c r="B347" s="36" t="n">
        <v>39584</v>
      </c>
      <c r="C347" s="37" t="n">
        <v>1.6426</v>
      </c>
    </row>
    <row r="348" customFormat="false" ht="15" hidden="false" customHeight="false" outlineLevel="0" collapsed="false">
      <c r="B348" s="36" t="n">
        <v>39587</v>
      </c>
      <c r="C348" s="37" t="n">
        <v>1.6452</v>
      </c>
    </row>
    <row r="349" customFormat="false" ht="15" hidden="false" customHeight="false" outlineLevel="0" collapsed="false">
      <c r="B349" s="36" t="n">
        <v>39588</v>
      </c>
      <c r="C349" s="37" t="n">
        <v>1.6562</v>
      </c>
    </row>
    <row r="350" customFormat="false" ht="15" hidden="false" customHeight="false" outlineLevel="0" collapsed="false">
      <c r="B350" s="36" t="n">
        <v>39589</v>
      </c>
      <c r="C350" s="37" t="n">
        <v>1.6484</v>
      </c>
    </row>
    <row r="351" customFormat="false" ht="15" hidden="false" customHeight="false" outlineLevel="0" collapsed="false">
      <c r="B351" s="36" t="n">
        <v>39591</v>
      </c>
      <c r="C351" s="37" t="n">
        <v>1.6539</v>
      </c>
    </row>
    <row r="352" customFormat="false" ht="15" hidden="false" customHeight="false" outlineLevel="0" collapsed="false">
      <c r="B352" s="36" t="n">
        <v>39594</v>
      </c>
      <c r="C352" s="37" t="n">
        <v>1.6602</v>
      </c>
    </row>
    <row r="353" customFormat="false" ht="15" hidden="false" customHeight="false" outlineLevel="0" collapsed="false">
      <c r="B353" s="36" t="n">
        <v>39595</v>
      </c>
      <c r="C353" s="37" t="n">
        <v>1.6673</v>
      </c>
    </row>
    <row r="354" customFormat="false" ht="15" hidden="false" customHeight="false" outlineLevel="0" collapsed="false">
      <c r="B354" s="36" t="n">
        <v>39596</v>
      </c>
      <c r="C354" s="37" t="n">
        <v>1.6622</v>
      </c>
    </row>
    <row r="355" customFormat="false" ht="15" hidden="false" customHeight="false" outlineLevel="0" collapsed="false">
      <c r="B355" s="36" t="n">
        <v>39597</v>
      </c>
      <c r="C355" s="37" t="n">
        <v>1.6488</v>
      </c>
    </row>
    <row r="356" customFormat="false" ht="15" hidden="false" customHeight="false" outlineLevel="0" collapsed="false">
      <c r="B356" s="36" t="n">
        <v>39598</v>
      </c>
      <c r="C356" s="37" t="n">
        <v>1.6286</v>
      </c>
    </row>
    <row r="357" customFormat="false" ht="15" hidden="false" customHeight="false" outlineLevel="0" collapsed="false">
      <c r="B357" s="36" t="n">
        <v>39601</v>
      </c>
      <c r="C357" s="37" t="n">
        <v>1.6312</v>
      </c>
    </row>
    <row r="358" customFormat="false" ht="15" hidden="false" customHeight="false" outlineLevel="0" collapsed="false">
      <c r="B358" s="36" t="n">
        <v>39602</v>
      </c>
      <c r="C358" s="37" t="n">
        <v>1.6207</v>
      </c>
    </row>
    <row r="359" customFormat="false" ht="15" hidden="false" customHeight="false" outlineLevel="0" collapsed="false">
      <c r="B359" s="36" t="n">
        <v>39603</v>
      </c>
      <c r="C359" s="37" t="n">
        <v>1.6299</v>
      </c>
    </row>
    <row r="360" customFormat="false" ht="15" hidden="false" customHeight="false" outlineLevel="0" collapsed="false">
      <c r="B360" s="36" t="n">
        <v>39604</v>
      </c>
      <c r="C360" s="37" t="n">
        <v>1.6254</v>
      </c>
    </row>
    <row r="361" customFormat="false" ht="15" hidden="false" customHeight="false" outlineLevel="0" collapsed="false">
      <c r="B361" s="36" t="n">
        <v>39605</v>
      </c>
      <c r="C361" s="37" t="n">
        <v>1.6274</v>
      </c>
    </row>
    <row r="362" customFormat="false" ht="15" hidden="false" customHeight="false" outlineLevel="0" collapsed="false">
      <c r="B362" s="36" t="n">
        <v>39608</v>
      </c>
      <c r="C362" s="37" t="n">
        <v>1.6257</v>
      </c>
    </row>
    <row r="363" customFormat="false" ht="15" hidden="false" customHeight="false" outlineLevel="0" collapsed="false">
      <c r="B363" s="36" t="n">
        <v>39609</v>
      </c>
      <c r="C363" s="37" t="n">
        <v>1.6384</v>
      </c>
    </row>
    <row r="364" customFormat="false" ht="15" hidden="false" customHeight="false" outlineLevel="0" collapsed="false">
      <c r="B364" s="36" t="n">
        <v>39610</v>
      </c>
      <c r="C364" s="37" t="n">
        <v>1.642</v>
      </c>
    </row>
    <row r="365" customFormat="false" ht="15" hidden="false" customHeight="false" outlineLevel="0" collapsed="false">
      <c r="B365" s="36" t="n">
        <v>39611</v>
      </c>
      <c r="C365" s="37" t="n">
        <v>1.6392</v>
      </c>
    </row>
    <row r="366" customFormat="false" ht="15" hidden="false" customHeight="false" outlineLevel="0" collapsed="false">
      <c r="B366" s="36" t="n">
        <v>39612</v>
      </c>
      <c r="C366" s="37" t="n">
        <v>1.636</v>
      </c>
    </row>
    <row r="367" customFormat="false" ht="15" hidden="false" customHeight="false" outlineLevel="0" collapsed="false">
      <c r="B367" s="36" t="n">
        <v>39615</v>
      </c>
      <c r="C367" s="37" t="n">
        <v>1.6269</v>
      </c>
    </row>
    <row r="368" customFormat="false" ht="15" hidden="false" customHeight="false" outlineLevel="0" collapsed="false">
      <c r="B368" s="36" t="n">
        <v>39616</v>
      </c>
      <c r="C368" s="37" t="n">
        <v>1.6119</v>
      </c>
    </row>
    <row r="369" customFormat="false" ht="15" hidden="false" customHeight="false" outlineLevel="0" collapsed="false">
      <c r="B369" s="36" t="n">
        <v>39617</v>
      </c>
      <c r="C369" s="37" t="n">
        <v>1.6105</v>
      </c>
    </row>
    <row r="370" customFormat="false" ht="15" hidden="false" customHeight="false" outlineLevel="0" collapsed="false">
      <c r="B370" s="36" t="n">
        <v>39618</v>
      </c>
      <c r="C370" s="37" t="n">
        <v>1.6043</v>
      </c>
    </row>
    <row r="371" customFormat="false" ht="15" hidden="false" customHeight="false" outlineLevel="0" collapsed="false">
      <c r="B371" s="36" t="n">
        <v>39619</v>
      </c>
      <c r="C371" s="37" t="n">
        <v>1.6034</v>
      </c>
    </row>
    <row r="372" customFormat="false" ht="15" hidden="false" customHeight="false" outlineLevel="0" collapsed="false">
      <c r="B372" s="36" t="n">
        <v>39622</v>
      </c>
      <c r="C372" s="37" t="n">
        <v>1.6109</v>
      </c>
    </row>
    <row r="373" customFormat="false" ht="15" hidden="false" customHeight="false" outlineLevel="0" collapsed="false">
      <c r="B373" s="36" t="n">
        <v>39623</v>
      </c>
      <c r="C373" s="37" t="n">
        <v>1.6038</v>
      </c>
    </row>
    <row r="374" customFormat="false" ht="15" hidden="false" customHeight="false" outlineLevel="0" collapsed="false">
      <c r="B374" s="36" t="n">
        <v>39624</v>
      </c>
      <c r="C374" s="37" t="n">
        <v>1.5993</v>
      </c>
    </row>
    <row r="375" customFormat="false" ht="15" hidden="false" customHeight="false" outlineLevel="0" collapsed="false">
      <c r="B375" s="36" t="n">
        <v>39625</v>
      </c>
      <c r="C375" s="37" t="n">
        <v>1.5943</v>
      </c>
    </row>
    <row r="376" customFormat="false" ht="15" hidden="false" customHeight="false" outlineLevel="0" collapsed="false">
      <c r="B376" s="36" t="n">
        <v>39626</v>
      </c>
      <c r="C376" s="37" t="n">
        <v>1.6069</v>
      </c>
    </row>
    <row r="377" customFormat="false" ht="15" hidden="false" customHeight="false" outlineLevel="0" collapsed="false">
      <c r="B377" s="36" t="n">
        <v>39629</v>
      </c>
      <c r="C377" s="37" t="n">
        <v>1.5911</v>
      </c>
    </row>
    <row r="378" customFormat="false" ht="15" hidden="false" customHeight="false" outlineLevel="0" collapsed="false">
      <c r="B378" s="36" t="n">
        <v>39630</v>
      </c>
      <c r="C378" s="37" t="n">
        <v>1.6053</v>
      </c>
    </row>
    <row r="379" customFormat="false" ht="15" hidden="false" customHeight="false" outlineLevel="0" collapsed="false">
      <c r="B379" s="36" t="n">
        <v>39631</v>
      </c>
      <c r="C379" s="37" t="n">
        <v>1.5985</v>
      </c>
    </row>
    <row r="380" customFormat="false" ht="15" hidden="false" customHeight="false" outlineLevel="0" collapsed="false">
      <c r="B380" s="36" t="n">
        <v>39632</v>
      </c>
      <c r="C380" s="37" t="n">
        <v>1.6081</v>
      </c>
    </row>
    <row r="381" customFormat="false" ht="15" hidden="false" customHeight="false" outlineLevel="0" collapsed="false">
      <c r="B381" s="36" t="n">
        <v>39633</v>
      </c>
      <c r="C381" s="37" t="n">
        <v>1.6092</v>
      </c>
    </row>
    <row r="382" customFormat="false" ht="15" hidden="false" customHeight="false" outlineLevel="0" collapsed="false">
      <c r="B382" s="36" t="n">
        <v>39636</v>
      </c>
      <c r="C382" s="37" t="n">
        <v>1.6033</v>
      </c>
    </row>
    <row r="383" customFormat="false" ht="15" hidden="false" customHeight="false" outlineLevel="0" collapsed="false">
      <c r="B383" s="36" t="n">
        <v>39637</v>
      </c>
      <c r="C383" s="37" t="n">
        <v>1.6019</v>
      </c>
    </row>
    <row r="384" customFormat="false" ht="15" hidden="false" customHeight="false" outlineLevel="0" collapsed="false">
      <c r="B384" s="36" t="n">
        <v>39638</v>
      </c>
      <c r="C384" s="37" t="n">
        <v>1.6084</v>
      </c>
    </row>
    <row r="385" customFormat="false" ht="15" hidden="false" customHeight="false" outlineLevel="0" collapsed="false">
      <c r="B385" s="36" t="n">
        <v>39639</v>
      </c>
      <c r="C385" s="37" t="n">
        <v>1.6139</v>
      </c>
    </row>
    <row r="386" customFormat="false" ht="15" hidden="false" customHeight="false" outlineLevel="0" collapsed="false">
      <c r="B386" s="36" t="n">
        <v>39640</v>
      </c>
      <c r="C386" s="37" t="n">
        <v>1.6024</v>
      </c>
    </row>
    <row r="387" customFormat="false" ht="15" hidden="false" customHeight="false" outlineLevel="0" collapsed="false">
      <c r="B387" s="36" t="n">
        <v>39643</v>
      </c>
      <c r="C387" s="37" t="n">
        <v>1.5934</v>
      </c>
    </row>
    <row r="388" customFormat="false" ht="15" hidden="false" customHeight="false" outlineLevel="0" collapsed="false">
      <c r="B388" s="36" t="n">
        <v>39644</v>
      </c>
      <c r="C388" s="37" t="n">
        <v>1.5902</v>
      </c>
    </row>
    <row r="389" customFormat="false" ht="15" hidden="false" customHeight="false" outlineLevel="0" collapsed="false">
      <c r="B389" s="36" t="n">
        <v>39645</v>
      </c>
      <c r="C389" s="37" t="n">
        <v>1.5952</v>
      </c>
    </row>
    <row r="390" customFormat="false" ht="15" hidden="false" customHeight="false" outlineLevel="0" collapsed="false">
      <c r="B390" s="36" t="n">
        <v>39646</v>
      </c>
      <c r="C390" s="37" t="n">
        <v>1.5905</v>
      </c>
    </row>
    <row r="391" customFormat="false" ht="15" hidden="false" customHeight="false" outlineLevel="0" collapsed="false">
      <c r="B391" s="36" t="n">
        <v>39647</v>
      </c>
      <c r="C391" s="37" t="n">
        <v>1.593</v>
      </c>
    </row>
    <row r="392" customFormat="false" ht="15" hidden="false" customHeight="false" outlineLevel="0" collapsed="false">
      <c r="B392" s="36" t="n">
        <v>39650</v>
      </c>
      <c r="C392" s="37" t="n">
        <v>1.581</v>
      </c>
    </row>
    <row r="393" customFormat="false" ht="15" hidden="false" customHeight="false" outlineLevel="0" collapsed="false">
      <c r="B393" s="36" t="n">
        <v>39651</v>
      </c>
      <c r="C393" s="37" t="n">
        <v>1.5803</v>
      </c>
    </row>
    <row r="394" customFormat="false" ht="15" hidden="false" customHeight="false" outlineLevel="0" collapsed="false">
      <c r="B394" s="36" t="n">
        <v>39652</v>
      </c>
      <c r="C394" s="37" t="n">
        <v>1.5826</v>
      </c>
    </row>
    <row r="395" customFormat="false" ht="15" hidden="false" customHeight="false" outlineLevel="0" collapsed="false">
      <c r="B395" s="36" t="n">
        <v>39653</v>
      </c>
      <c r="C395" s="37" t="n">
        <v>1.5773</v>
      </c>
    </row>
    <row r="396" customFormat="false" ht="15" hidden="false" customHeight="false" outlineLevel="0" collapsed="false">
      <c r="B396" s="36" t="n">
        <v>39654</v>
      </c>
      <c r="C396" s="37" t="n">
        <v>1.5737</v>
      </c>
    </row>
    <row r="397" customFormat="false" ht="15" hidden="false" customHeight="false" outlineLevel="0" collapsed="false">
      <c r="B397" s="36" t="n">
        <v>39657</v>
      </c>
      <c r="C397" s="37" t="n">
        <v>1.5746</v>
      </c>
    </row>
    <row r="398" customFormat="false" ht="15" hidden="false" customHeight="false" outlineLevel="0" collapsed="false">
      <c r="B398" s="36" t="n">
        <v>39658</v>
      </c>
      <c r="C398" s="37" t="n">
        <v>1.5722</v>
      </c>
    </row>
    <row r="399" customFormat="false" ht="15" hidden="false" customHeight="false" outlineLevel="0" collapsed="false">
      <c r="B399" s="36" t="n">
        <v>39659</v>
      </c>
      <c r="C399" s="37" t="n">
        <v>1.5633</v>
      </c>
    </row>
    <row r="400" customFormat="false" ht="15" hidden="false" customHeight="false" outlineLevel="0" collapsed="false">
      <c r="B400" s="36" t="n">
        <v>39660</v>
      </c>
      <c r="C400" s="37" t="n">
        <v>1.5658</v>
      </c>
    </row>
    <row r="401" customFormat="false" ht="15" hidden="false" customHeight="false" outlineLevel="0" collapsed="false">
      <c r="B401" s="36" t="n">
        <v>39661</v>
      </c>
      <c r="C401" s="37" t="n">
        <v>1.5585</v>
      </c>
    </row>
    <row r="402" customFormat="false" ht="15" hidden="false" customHeight="false" outlineLevel="0" collapsed="false">
      <c r="B402" s="36" t="n">
        <v>39664</v>
      </c>
      <c r="C402" s="37" t="n">
        <v>1.5651</v>
      </c>
    </row>
    <row r="403" customFormat="false" ht="15" hidden="false" customHeight="false" outlineLevel="0" collapsed="false">
      <c r="B403" s="36" t="n">
        <v>39665</v>
      </c>
      <c r="C403" s="37" t="n">
        <v>1.5724</v>
      </c>
    </row>
    <row r="404" customFormat="false" ht="15" hidden="false" customHeight="false" outlineLevel="0" collapsed="false">
      <c r="B404" s="36" t="n">
        <v>39666</v>
      </c>
      <c r="C404" s="37" t="n">
        <v>1.5774</v>
      </c>
    </row>
    <row r="405" customFormat="false" ht="15" hidden="false" customHeight="false" outlineLevel="0" collapsed="false">
      <c r="B405" s="36" t="n">
        <v>39667</v>
      </c>
      <c r="C405" s="37" t="n">
        <v>1.5835</v>
      </c>
    </row>
    <row r="406" customFormat="false" ht="15" hidden="false" customHeight="false" outlineLevel="0" collapsed="false">
      <c r="B406" s="36" t="n">
        <v>39668</v>
      </c>
      <c r="C406" s="37" t="n">
        <v>1.6128</v>
      </c>
    </row>
    <row r="407" customFormat="false" ht="15" hidden="false" customHeight="false" outlineLevel="0" collapsed="false">
      <c r="B407" s="36" t="n">
        <v>39671</v>
      </c>
      <c r="C407" s="37" t="n">
        <v>1.614</v>
      </c>
    </row>
    <row r="408" customFormat="false" ht="15" hidden="false" customHeight="false" outlineLevel="0" collapsed="false">
      <c r="B408" s="36" t="n">
        <v>39672</v>
      </c>
      <c r="C408" s="37" t="n">
        <v>1.6153</v>
      </c>
    </row>
    <row r="409" customFormat="false" ht="15" hidden="false" customHeight="false" outlineLevel="0" collapsed="false">
      <c r="B409" s="36" t="n">
        <v>39673</v>
      </c>
      <c r="C409" s="37" t="n">
        <v>1.6203</v>
      </c>
    </row>
    <row r="410" customFormat="false" ht="15" hidden="false" customHeight="false" outlineLevel="0" collapsed="false">
      <c r="B410" s="36" t="n">
        <v>39674</v>
      </c>
      <c r="C410" s="37" t="n">
        <v>1.6196</v>
      </c>
    </row>
    <row r="411" customFormat="false" ht="15" hidden="false" customHeight="false" outlineLevel="0" collapsed="false">
      <c r="B411" s="36" t="n">
        <v>39675</v>
      </c>
      <c r="C411" s="37" t="n">
        <v>1.6381</v>
      </c>
    </row>
    <row r="412" customFormat="false" ht="15" hidden="false" customHeight="false" outlineLevel="0" collapsed="false">
      <c r="B412" s="36" t="n">
        <v>39678</v>
      </c>
      <c r="C412" s="37" t="n">
        <v>1.6341</v>
      </c>
    </row>
    <row r="413" customFormat="false" ht="15" hidden="false" customHeight="false" outlineLevel="0" collapsed="false">
      <c r="B413" s="36" t="n">
        <v>39679</v>
      </c>
      <c r="C413" s="37" t="n">
        <v>1.6335</v>
      </c>
    </row>
    <row r="414" customFormat="false" ht="15" hidden="false" customHeight="false" outlineLevel="0" collapsed="false">
      <c r="B414" s="36" t="n">
        <v>39680</v>
      </c>
      <c r="C414" s="37" t="n">
        <v>1.6199</v>
      </c>
    </row>
    <row r="415" customFormat="false" ht="15" hidden="false" customHeight="false" outlineLevel="0" collapsed="false">
      <c r="B415" s="36" t="n">
        <v>39681</v>
      </c>
      <c r="C415" s="37" t="n">
        <v>1.6135</v>
      </c>
    </row>
    <row r="416" customFormat="false" ht="15" hidden="false" customHeight="false" outlineLevel="0" collapsed="false">
      <c r="B416" s="36" t="n">
        <v>39682</v>
      </c>
      <c r="C416" s="37" t="n">
        <v>1.6209</v>
      </c>
    </row>
    <row r="417" customFormat="false" ht="15" hidden="false" customHeight="false" outlineLevel="0" collapsed="false">
      <c r="B417" s="36" t="n">
        <v>39685</v>
      </c>
      <c r="C417" s="37" t="n">
        <v>1.6267</v>
      </c>
    </row>
    <row r="418" customFormat="false" ht="15" hidden="false" customHeight="false" outlineLevel="0" collapsed="false">
      <c r="B418" s="36" t="n">
        <v>39686</v>
      </c>
      <c r="C418" s="37" t="n">
        <v>1.6367</v>
      </c>
    </row>
    <row r="419" customFormat="false" ht="15" hidden="false" customHeight="false" outlineLevel="0" collapsed="false">
      <c r="B419" s="36" t="n">
        <v>39687</v>
      </c>
      <c r="C419" s="37" t="n">
        <v>1.6205</v>
      </c>
    </row>
    <row r="420" customFormat="false" ht="15" hidden="false" customHeight="false" outlineLevel="0" collapsed="false">
      <c r="B420" s="36" t="n">
        <v>39688</v>
      </c>
      <c r="C420" s="37" t="n">
        <v>1.6254</v>
      </c>
    </row>
    <row r="421" customFormat="false" ht="15" hidden="false" customHeight="false" outlineLevel="0" collapsed="false">
      <c r="B421" s="36" t="n">
        <v>39689</v>
      </c>
      <c r="C421" s="37" t="n">
        <v>1.6336</v>
      </c>
    </row>
    <row r="422" customFormat="false" ht="15" hidden="false" customHeight="false" outlineLevel="0" collapsed="false">
      <c r="B422" s="36" t="n">
        <v>39692</v>
      </c>
      <c r="C422" s="37" t="n">
        <v>1.6439</v>
      </c>
    </row>
    <row r="423" customFormat="false" ht="15" hidden="false" customHeight="false" outlineLevel="0" collapsed="false">
      <c r="B423" s="36" t="n">
        <v>39693</v>
      </c>
      <c r="C423" s="37" t="n">
        <v>1.6594</v>
      </c>
    </row>
    <row r="424" customFormat="false" ht="15" hidden="false" customHeight="false" outlineLevel="0" collapsed="false">
      <c r="B424" s="36" t="n">
        <v>39694</v>
      </c>
      <c r="C424" s="37" t="n">
        <v>1.672</v>
      </c>
    </row>
    <row r="425" customFormat="false" ht="15" hidden="false" customHeight="false" outlineLevel="0" collapsed="false">
      <c r="B425" s="36" t="n">
        <v>39695</v>
      </c>
      <c r="C425" s="37" t="n">
        <v>1.7002</v>
      </c>
    </row>
    <row r="426" customFormat="false" ht="15" hidden="false" customHeight="false" outlineLevel="0" collapsed="false">
      <c r="B426" s="36" t="n">
        <v>39696</v>
      </c>
      <c r="C426" s="37" t="n">
        <v>1.7297</v>
      </c>
    </row>
    <row r="427" customFormat="false" ht="15" hidden="false" customHeight="false" outlineLevel="0" collapsed="false">
      <c r="B427" s="36" t="n">
        <v>39699</v>
      </c>
      <c r="C427" s="37" t="n">
        <v>1.7274</v>
      </c>
    </row>
    <row r="428" customFormat="false" ht="15" hidden="false" customHeight="false" outlineLevel="0" collapsed="false">
      <c r="B428" s="36" t="n">
        <v>39700</v>
      </c>
      <c r="C428" s="37" t="n">
        <v>1.7536</v>
      </c>
    </row>
    <row r="429" customFormat="false" ht="15" hidden="false" customHeight="false" outlineLevel="0" collapsed="false">
      <c r="B429" s="36" t="n">
        <v>39701</v>
      </c>
      <c r="C429" s="37" t="n">
        <v>1.785</v>
      </c>
    </row>
    <row r="430" customFormat="false" ht="15" hidden="false" customHeight="false" outlineLevel="0" collapsed="false">
      <c r="B430" s="36" t="n">
        <v>39702</v>
      </c>
      <c r="C430" s="37" t="n">
        <v>1.8247</v>
      </c>
    </row>
    <row r="431" customFormat="false" ht="15" hidden="false" customHeight="false" outlineLevel="0" collapsed="false">
      <c r="B431" s="36" t="n">
        <v>39703</v>
      </c>
      <c r="C431" s="37" t="n">
        <v>1.7904</v>
      </c>
    </row>
    <row r="432" customFormat="false" ht="15" hidden="false" customHeight="false" outlineLevel="0" collapsed="false">
      <c r="B432" s="36" t="n">
        <v>39706</v>
      </c>
      <c r="C432" s="37" t="n">
        <v>1.8117</v>
      </c>
    </row>
    <row r="433" customFormat="false" ht="15" hidden="false" customHeight="false" outlineLevel="0" collapsed="false">
      <c r="B433" s="36" t="n">
        <v>39707</v>
      </c>
      <c r="C433" s="37" t="n">
        <v>1.8402</v>
      </c>
    </row>
    <row r="434" customFormat="false" ht="15" hidden="false" customHeight="false" outlineLevel="0" collapsed="false">
      <c r="B434" s="36" t="n">
        <v>39708</v>
      </c>
      <c r="C434" s="37" t="n">
        <v>1.8652</v>
      </c>
    </row>
    <row r="435" customFormat="false" ht="15" hidden="false" customHeight="false" outlineLevel="0" collapsed="false">
      <c r="B435" s="36" t="n">
        <v>39709</v>
      </c>
      <c r="C435" s="37" t="n">
        <v>1.9151</v>
      </c>
    </row>
    <row r="436" customFormat="false" ht="15" hidden="false" customHeight="false" outlineLevel="0" collapsed="false">
      <c r="B436" s="36" t="n">
        <v>39710</v>
      </c>
      <c r="C436" s="37" t="n">
        <v>1.839</v>
      </c>
    </row>
    <row r="437" customFormat="false" ht="15" hidden="false" customHeight="false" outlineLevel="0" collapsed="false">
      <c r="B437" s="36" t="n">
        <v>39713</v>
      </c>
      <c r="C437" s="37" t="n">
        <v>1.7981</v>
      </c>
    </row>
    <row r="438" customFormat="false" ht="15" hidden="false" customHeight="false" outlineLevel="0" collapsed="false">
      <c r="B438" s="36" t="n">
        <v>39714</v>
      </c>
      <c r="C438" s="37" t="n">
        <v>1.8234</v>
      </c>
    </row>
    <row r="439" customFormat="false" ht="15" hidden="false" customHeight="false" outlineLevel="0" collapsed="false">
      <c r="B439" s="36" t="n">
        <v>39715</v>
      </c>
      <c r="C439" s="37" t="n">
        <v>1.8437</v>
      </c>
    </row>
    <row r="440" customFormat="false" ht="15" hidden="false" customHeight="false" outlineLevel="0" collapsed="false">
      <c r="B440" s="36" t="n">
        <v>39716</v>
      </c>
      <c r="C440" s="37" t="n">
        <v>1.8269</v>
      </c>
    </row>
    <row r="441" customFormat="false" ht="15" hidden="false" customHeight="false" outlineLevel="0" collapsed="false">
      <c r="B441" s="36" t="n">
        <v>39717</v>
      </c>
      <c r="C441" s="37" t="n">
        <v>1.8547</v>
      </c>
    </row>
    <row r="442" customFormat="false" ht="15" hidden="false" customHeight="false" outlineLevel="0" collapsed="false">
      <c r="B442" s="36" t="n">
        <v>39720</v>
      </c>
      <c r="C442" s="37" t="n">
        <v>1.9551</v>
      </c>
    </row>
    <row r="443" customFormat="false" ht="15" hidden="false" customHeight="false" outlineLevel="0" collapsed="false">
      <c r="B443" s="36" t="n">
        <v>39721</v>
      </c>
      <c r="C443" s="37" t="n">
        <v>1.9135</v>
      </c>
    </row>
    <row r="444" customFormat="false" ht="15" hidden="false" customHeight="false" outlineLevel="0" collapsed="false">
      <c r="B444" s="36" t="n">
        <v>39722</v>
      </c>
      <c r="C444" s="37" t="n">
        <v>1.9205</v>
      </c>
    </row>
    <row r="445" customFormat="false" ht="15" hidden="false" customHeight="false" outlineLevel="0" collapsed="false">
      <c r="B445" s="36" t="n">
        <v>39723</v>
      </c>
      <c r="C445" s="37" t="n">
        <v>2.0073</v>
      </c>
    </row>
    <row r="446" customFormat="false" ht="15" hidden="false" customHeight="false" outlineLevel="0" collapsed="false">
      <c r="B446" s="36" t="n">
        <v>39724</v>
      </c>
      <c r="C446" s="37" t="n">
        <v>2.0532</v>
      </c>
    </row>
    <row r="447" customFormat="false" ht="15" hidden="false" customHeight="false" outlineLevel="0" collapsed="false">
      <c r="B447" s="36" t="n">
        <v>39727</v>
      </c>
      <c r="C447" s="37" t="n">
        <v>2.1761</v>
      </c>
    </row>
    <row r="448" customFormat="false" ht="15" hidden="false" customHeight="false" outlineLevel="0" collapsed="false">
      <c r="B448" s="36" t="n">
        <v>39728</v>
      </c>
      <c r="C448" s="37" t="n">
        <v>2.1875</v>
      </c>
    </row>
    <row r="449" customFormat="false" ht="15" hidden="false" customHeight="false" outlineLevel="0" collapsed="false">
      <c r="B449" s="36" t="n">
        <v>39729</v>
      </c>
      <c r="C449" s="37" t="n">
        <v>2.3916</v>
      </c>
    </row>
    <row r="450" customFormat="false" ht="15" hidden="false" customHeight="false" outlineLevel="0" collapsed="false">
      <c r="B450" s="36" t="n">
        <v>39730</v>
      </c>
      <c r="C450" s="37" t="n">
        <v>2.181</v>
      </c>
    </row>
    <row r="451" customFormat="false" ht="15" hidden="false" customHeight="false" outlineLevel="0" collapsed="false">
      <c r="B451" s="36" t="n">
        <v>39731</v>
      </c>
      <c r="C451" s="37" t="n">
        <v>2.2872</v>
      </c>
    </row>
    <row r="452" customFormat="false" ht="15" hidden="false" customHeight="false" outlineLevel="0" collapsed="false">
      <c r="B452" s="36" t="n">
        <v>39734</v>
      </c>
      <c r="C452" s="37" t="n">
        <v>2.1554</v>
      </c>
    </row>
    <row r="453" customFormat="false" ht="15" hidden="false" customHeight="false" outlineLevel="0" collapsed="false">
      <c r="B453" s="36" t="n">
        <v>39735</v>
      </c>
      <c r="C453" s="37" t="n">
        <v>2.0781</v>
      </c>
    </row>
    <row r="454" customFormat="false" ht="15" hidden="false" customHeight="false" outlineLevel="0" collapsed="false">
      <c r="B454" s="36" t="n">
        <v>39736</v>
      </c>
      <c r="C454" s="37" t="n">
        <v>2.1543</v>
      </c>
    </row>
    <row r="455" customFormat="false" ht="15" hidden="false" customHeight="false" outlineLevel="0" collapsed="false">
      <c r="B455" s="36" t="n">
        <v>39737</v>
      </c>
      <c r="C455" s="37" t="n">
        <v>2.1846</v>
      </c>
    </row>
    <row r="456" customFormat="false" ht="15" hidden="false" customHeight="false" outlineLevel="0" collapsed="false">
      <c r="B456" s="36" t="n">
        <v>39738</v>
      </c>
      <c r="C456" s="37" t="n">
        <v>2.1012</v>
      </c>
    </row>
    <row r="457" customFormat="false" ht="15" hidden="false" customHeight="false" outlineLevel="0" collapsed="false">
      <c r="B457" s="36" t="n">
        <v>39741</v>
      </c>
      <c r="C457" s="37" t="n">
        <v>2.1166</v>
      </c>
    </row>
    <row r="458" customFormat="false" ht="15" hidden="false" customHeight="false" outlineLevel="0" collapsed="false">
      <c r="B458" s="36" t="n">
        <v>39742</v>
      </c>
      <c r="C458" s="37" t="n">
        <v>2.1933</v>
      </c>
    </row>
    <row r="459" customFormat="false" ht="15" hidden="false" customHeight="false" outlineLevel="0" collapsed="false">
      <c r="B459" s="36" t="n">
        <v>39743</v>
      </c>
      <c r="C459" s="37" t="n">
        <v>2.3642</v>
      </c>
    </row>
    <row r="460" customFormat="false" ht="15" hidden="false" customHeight="false" outlineLevel="0" collapsed="false">
      <c r="B460" s="36" t="n">
        <v>39744</v>
      </c>
      <c r="C460" s="37" t="n">
        <v>2.3139</v>
      </c>
    </row>
    <row r="461" customFormat="false" ht="15" hidden="false" customHeight="false" outlineLevel="0" collapsed="false">
      <c r="B461" s="36" t="n">
        <v>39745</v>
      </c>
      <c r="C461" s="37" t="n">
        <v>2.3104</v>
      </c>
    </row>
    <row r="462" customFormat="false" ht="15" hidden="false" customHeight="false" outlineLevel="0" collapsed="false">
      <c r="B462" s="36" t="n">
        <v>39748</v>
      </c>
      <c r="C462" s="37" t="n">
        <v>2.2516</v>
      </c>
    </row>
    <row r="463" customFormat="false" ht="15" hidden="false" customHeight="false" outlineLevel="0" collapsed="false">
      <c r="B463" s="36" t="n">
        <v>39749</v>
      </c>
      <c r="C463" s="37" t="n">
        <v>2.1692</v>
      </c>
    </row>
    <row r="464" customFormat="false" ht="15" hidden="false" customHeight="false" outlineLevel="0" collapsed="false">
      <c r="B464" s="36" t="n">
        <v>39750</v>
      </c>
      <c r="C464" s="37" t="n">
        <v>2.1312</v>
      </c>
    </row>
    <row r="465" customFormat="false" ht="15" hidden="false" customHeight="false" outlineLevel="0" collapsed="false">
      <c r="B465" s="36" t="n">
        <v>39751</v>
      </c>
      <c r="C465" s="37" t="n">
        <v>2.1143</v>
      </c>
    </row>
    <row r="466" customFormat="false" ht="15" hidden="false" customHeight="false" outlineLevel="0" collapsed="false">
      <c r="B466" s="36" t="n">
        <v>39752</v>
      </c>
      <c r="C466" s="37" t="n">
        <v>2.1145</v>
      </c>
    </row>
    <row r="467" customFormat="false" ht="15" hidden="false" customHeight="false" outlineLevel="0" collapsed="false">
      <c r="B467" s="36" t="n">
        <v>39755</v>
      </c>
      <c r="C467" s="37" t="n">
        <v>2.181</v>
      </c>
    </row>
    <row r="468" customFormat="false" ht="15" hidden="false" customHeight="false" outlineLevel="0" collapsed="false">
      <c r="B468" s="36" t="n">
        <v>39756</v>
      </c>
      <c r="C468" s="37" t="n">
        <v>2.1219</v>
      </c>
    </row>
    <row r="469" customFormat="false" ht="15" hidden="false" customHeight="false" outlineLevel="0" collapsed="false">
      <c r="B469" s="36" t="n">
        <v>39757</v>
      </c>
      <c r="C469" s="37" t="n">
        <v>2.1202</v>
      </c>
    </row>
    <row r="470" customFormat="false" ht="15" hidden="false" customHeight="false" outlineLevel="0" collapsed="false">
      <c r="B470" s="36" t="n">
        <v>39758</v>
      </c>
      <c r="C470" s="37" t="n">
        <v>2.1585</v>
      </c>
    </row>
    <row r="471" customFormat="false" ht="15" hidden="false" customHeight="false" outlineLevel="0" collapsed="false">
      <c r="B471" s="36" t="n">
        <v>39759</v>
      </c>
      <c r="C471" s="37" t="n">
        <v>2.1605</v>
      </c>
    </row>
    <row r="472" customFormat="false" ht="15" hidden="false" customHeight="false" outlineLevel="0" collapsed="false">
      <c r="B472" s="36" t="n">
        <v>39762</v>
      </c>
      <c r="C472" s="37" t="n">
        <v>2.1327</v>
      </c>
    </row>
    <row r="473" customFormat="false" ht="15" hidden="false" customHeight="false" outlineLevel="0" collapsed="false">
      <c r="B473" s="36" t="n">
        <v>39763</v>
      </c>
      <c r="C473" s="37" t="n">
        <v>2.2002</v>
      </c>
    </row>
    <row r="474" customFormat="false" ht="15" hidden="false" customHeight="false" outlineLevel="0" collapsed="false">
      <c r="B474" s="36" t="n">
        <v>39764</v>
      </c>
      <c r="C474" s="37" t="n">
        <v>2.2624</v>
      </c>
    </row>
    <row r="475" customFormat="false" ht="15" hidden="false" customHeight="false" outlineLevel="0" collapsed="false">
      <c r="B475" s="36" t="n">
        <v>39765</v>
      </c>
      <c r="C475" s="37" t="n">
        <v>2.3306</v>
      </c>
    </row>
    <row r="476" customFormat="false" ht="15" hidden="false" customHeight="false" outlineLevel="0" collapsed="false">
      <c r="B476" s="36" t="n">
        <v>39766</v>
      </c>
      <c r="C476" s="37" t="n">
        <v>2.2792</v>
      </c>
    </row>
    <row r="477" customFormat="false" ht="15" hidden="false" customHeight="false" outlineLevel="0" collapsed="false">
      <c r="B477" s="36" t="n">
        <v>39769</v>
      </c>
      <c r="C477" s="37" t="n">
        <v>2.2932</v>
      </c>
    </row>
    <row r="478" customFormat="false" ht="15" hidden="false" customHeight="false" outlineLevel="0" collapsed="false">
      <c r="B478" s="36" t="n">
        <v>39770</v>
      </c>
      <c r="C478" s="37" t="n">
        <v>2.2988</v>
      </c>
    </row>
    <row r="479" customFormat="false" ht="15" hidden="false" customHeight="false" outlineLevel="0" collapsed="false">
      <c r="B479" s="36" t="n">
        <v>39771</v>
      </c>
      <c r="C479" s="37" t="n">
        <v>2.3758</v>
      </c>
    </row>
    <row r="480" customFormat="false" ht="15" hidden="false" customHeight="false" outlineLevel="0" collapsed="false">
      <c r="B480" s="36" t="n">
        <v>39772</v>
      </c>
      <c r="C480" s="37" t="n">
        <v>2.3954</v>
      </c>
    </row>
    <row r="481" customFormat="false" ht="15" hidden="false" customHeight="false" outlineLevel="0" collapsed="false">
      <c r="B481" s="36" t="n">
        <v>39773</v>
      </c>
      <c r="C481" s="37" t="n">
        <v>2.4269</v>
      </c>
    </row>
    <row r="482" customFormat="false" ht="15" hidden="false" customHeight="false" outlineLevel="0" collapsed="false">
      <c r="B482" s="36" t="n">
        <v>39776</v>
      </c>
      <c r="C482" s="37" t="n">
        <v>2.3492</v>
      </c>
    </row>
    <row r="483" customFormat="false" ht="15" hidden="false" customHeight="false" outlineLevel="0" collapsed="false">
      <c r="B483" s="36" t="n">
        <v>39777</v>
      </c>
      <c r="C483" s="37" t="n">
        <v>2.3048</v>
      </c>
    </row>
    <row r="484" customFormat="false" ht="15" hidden="false" customHeight="false" outlineLevel="0" collapsed="false">
      <c r="B484" s="36" t="n">
        <v>39778</v>
      </c>
      <c r="C484" s="37" t="n">
        <v>2.3213</v>
      </c>
    </row>
    <row r="485" customFormat="false" ht="15" hidden="false" customHeight="false" outlineLevel="0" collapsed="false">
      <c r="B485" s="36" t="n">
        <v>39779</v>
      </c>
      <c r="C485" s="37" t="n">
        <v>2.2649</v>
      </c>
    </row>
    <row r="486" customFormat="false" ht="15" hidden="false" customHeight="false" outlineLevel="0" collapsed="false">
      <c r="B486" s="36" t="n">
        <v>39780</v>
      </c>
      <c r="C486" s="37" t="n">
        <v>2.3323</v>
      </c>
    </row>
    <row r="487" customFormat="false" ht="15" hidden="false" customHeight="false" outlineLevel="0" collapsed="false">
      <c r="B487" s="36" t="n">
        <v>39783</v>
      </c>
      <c r="C487" s="37" t="n">
        <v>2.3557</v>
      </c>
    </row>
    <row r="488" customFormat="false" ht="15" hidden="false" customHeight="false" outlineLevel="0" collapsed="false">
      <c r="B488" s="36" t="n">
        <v>39784</v>
      </c>
      <c r="C488" s="37" t="n">
        <v>2.3449</v>
      </c>
    </row>
    <row r="489" customFormat="false" ht="15" hidden="false" customHeight="false" outlineLevel="0" collapsed="false">
      <c r="B489" s="36" t="n">
        <v>39785</v>
      </c>
      <c r="C489" s="37" t="n">
        <v>2.4205</v>
      </c>
    </row>
    <row r="490" customFormat="false" ht="15" hidden="false" customHeight="false" outlineLevel="0" collapsed="false">
      <c r="B490" s="36" t="n">
        <v>39786</v>
      </c>
      <c r="C490" s="37" t="n">
        <v>2.4897</v>
      </c>
    </row>
    <row r="491" customFormat="false" ht="15" hidden="false" customHeight="false" outlineLevel="0" collapsed="false">
      <c r="B491" s="36" t="n">
        <v>39787</v>
      </c>
      <c r="C491" s="37" t="n">
        <v>2.4996</v>
      </c>
    </row>
    <row r="492" customFormat="false" ht="15" hidden="false" customHeight="false" outlineLevel="0" collapsed="false">
      <c r="B492" s="36" t="n">
        <v>39790</v>
      </c>
      <c r="C492" s="37" t="n">
        <v>2.4681</v>
      </c>
    </row>
    <row r="493" customFormat="false" ht="15" hidden="false" customHeight="false" outlineLevel="0" collapsed="false">
      <c r="B493" s="36" t="n">
        <v>39791</v>
      </c>
      <c r="C493" s="37" t="n">
        <v>2.4821</v>
      </c>
    </row>
    <row r="494" customFormat="false" ht="15" hidden="false" customHeight="false" outlineLevel="0" collapsed="false">
      <c r="B494" s="36" t="n">
        <v>39792</v>
      </c>
      <c r="C494" s="37" t="n">
        <v>2.4675</v>
      </c>
    </row>
    <row r="495" customFormat="false" ht="15" hidden="false" customHeight="false" outlineLevel="0" collapsed="false">
      <c r="B495" s="36" t="n">
        <v>39793</v>
      </c>
      <c r="C495" s="37" t="n">
        <v>2.3389</v>
      </c>
    </row>
    <row r="496" customFormat="false" ht="15" hidden="false" customHeight="false" outlineLevel="0" collapsed="false">
      <c r="B496" s="36" t="n">
        <v>39794</v>
      </c>
      <c r="C496" s="37" t="n">
        <v>2.3912</v>
      </c>
    </row>
    <row r="497" customFormat="false" ht="15" hidden="false" customHeight="false" outlineLevel="0" collapsed="false">
      <c r="B497" s="36" t="n">
        <v>39797</v>
      </c>
      <c r="C497" s="37" t="n">
        <v>2.3682</v>
      </c>
    </row>
    <row r="498" customFormat="false" ht="15" hidden="false" customHeight="false" outlineLevel="0" collapsed="false">
      <c r="B498" s="36" t="n">
        <v>39798</v>
      </c>
      <c r="C498" s="37" t="n">
        <v>2.3775</v>
      </c>
    </row>
    <row r="499" customFormat="false" ht="15" hidden="false" customHeight="false" outlineLevel="0" collapsed="false">
      <c r="B499" s="36" t="n">
        <v>39799</v>
      </c>
      <c r="C499" s="37" t="n">
        <v>2.3568</v>
      </c>
    </row>
    <row r="500" customFormat="false" ht="15" hidden="false" customHeight="false" outlineLevel="0" collapsed="false">
      <c r="B500" s="36" t="n">
        <v>39800</v>
      </c>
      <c r="C500" s="37" t="n">
        <v>2.3564</v>
      </c>
    </row>
    <row r="501" customFormat="false" ht="15" hidden="false" customHeight="false" outlineLevel="0" collapsed="false">
      <c r="B501" s="36" t="n">
        <v>39801</v>
      </c>
      <c r="C501" s="37" t="n">
        <v>2.3851</v>
      </c>
    </row>
    <row r="502" customFormat="false" ht="15" hidden="false" customHeight="false" outlineLevel="0" collapsed="false">
      <c r="B502" s="36" t="n">
        <v>39804</v>
      </c>
      <c r="C502" s="37" t="n">
        <v>2.3732</v>
      </c>
    </row>
    <row r="503" customFormat="false" ht="15" hidden="false" customHeight="false" outlineLevel="0" collapsed="false">
      <c r="B503" s="36" t="n">
        <v>39805</v>
      </c>
      <c r="C503" s="37" t="n">
        <v>2.3821</v>
      </c>
    </row>
    <row r="504" customFormat="false" ht="15" hidden="false" customHeight="false" outlineLevel="0" collapsed="false">
      <c r="B504" s="36" t="n">
        <v>39806</v>
      </c>
      <c r="C504" s="37" t="n">
        <v>2.3743</v>
      </c>
    </row>
    <row r="505" customFormat="false" ht="15" hidden="false" customHeight="false" outlineLevel="0" collapsed="false">
      <c r="B505" s="36" t="n">
        <v>39808</v>
      </c>
      <c r="C505" s="37" t="n">
        <v>2.3605</v>
      </c>
    </row>
    <row r="506" customFormat="false" ht="15" hidden="false" customHeight="false" outlineLevel="0" collapsed="false">
      <c r="B506" s="36" t="n">
        <v>39811</v>
      </c>
      <c r="C506" s="37" t="n">
        <v>2.3948</v>
      </c>
    </row>
    <row r="507" customFormat="false" ht="15" hidden="false" customHeight="false" outlineLevel="0" collapsed="false">
      <c r="B507" s="36" t="n">
        <v>39812</v>
      </c>
      <c r="C507" s="37" t="n">
        <v>2.3362</v>
      </c>
    </row>
    <row r="508" customFormat="false" ht="15" hidden="false" customHeight="false" outlineLevel="0" collapsed="false">
      <c r="B508" s="36" t="n">
        <v>39813</v>
      </c>
      <c r="C508" s="37" t="n">
        <v>2.3362</v>
      </c>
    </row>
    <row r="509" customFormat="false" ht="15" hidden="false" customHeight="false" outlineLevel="0" collapsed="false">
      <c r="B509" s="36" t="n">
        <v>39815</v>
      </c>
      <c r="C509" s="37" t="n">
        <v>2.329</v>
      </c>
    </row>
    <row r="510" customFormat="false" ht="15" hidden="false" customHeight="false" outlineLevel="0" collapsed="false">
      <c r="B510" s="36" t="n">
        <v>39818</v>
      </c>
      <c r="C510" s="37" t="n">
        <v>2.2772</v>
      </c>
    </row>
    <row r="511" customFormat="false" ht="15" hidden="false" customHeight="false" outlineLevel="0" collapsed="false">
      <c r="B511" s="36" t="n">
        <v>39819</v>
      </c>
      <c r="C511" s="37" t="n">
        <v>2.1881</v>
      </c>
    </row>
    <row r="512" customFormat="false" ht="15" hidden="false" customHeight="false" outlineLevel="0" collapsed="false">
      <c r="B512" s="36" t="n">
        <v>39820</v>
      </c>
      <c r="C512" s="37" t="n">
        <v>2.2166</v>
      </c>
    </row>
    <row r="513" customFormat="false" ht="15" hidden="false" customHeight="false" outlineLevel="0" collapsed="false">
      <c r="B513" s="36" t="n">
        <v>39821</v>
      </c>
      <c r="C513" s="37" t="n">
        <v>2.2675</v>
      </c>
    </row>
    <row r="514" customFormat="false" ht="15" hidden="false" customHeight="false" outlineLevel="0" collapsed="false">
      <c r="B514" s="36" t="n">
        <v>39822</v>
      </c>
      <c r="C514" s="37" t="n">
        <v>2.2859</v>
      </c>
    </row>
    <row r="515" customFormat="false" ht="15" hidden="false" customHeight="false" outlineLevel="0" collapsed="false">
      <c r="B515" s="36" t="n">
        <v>39825</v>
      </c>
      <c r="C515" s="37" t="n">
        <v>2.2961</v>
      </c>
    </row>
    <row r="516" customFormat="false" ht="15" hidden="false" customHeight="false" outlineLevel="0" collapsed="false">
      <c r="B516" s="36" t="n">
        <v>39826</v>
      </c>
      <c r="C516" s="37" t="n">
        <v>2.3075</v>
      </c>
    </row>
    <row r="517" customFormat="false" ht="15" hidden="false" customHeight="false" outlineLevel="0" collapsed="false">
      <c r="B517" s="36" t="n">
        <v>39827</v>
      </c>
      <c r="C517" s="37" t="n">
        <v>2.3333</v>
      </c>
    </row>
    <row r="518" customFormat="false" ht="15" hidden="false" customHeight="false" outlineLevel="0" collapsed="false">
      <c r="B518" s="36" t="n">
        <v>39828</v>
      </c>
      <c r="C518" s="37" t="n">
        <v>2.3795</v>
      </c>
    </row>
    <row r="519" customFormat="false" ht="15" hidden="false" customHeight="false" outlineLevel="0" collapsed="false">
      <c r="B519" s="36" t="n">
        <v>39829</v>
      </c>
      <c r="C519" s="37" t="n">
        <v>2.324</v>
      </c>
    </row>
    <row r="520" customFormat="false" ht="15" hidden="false" customHeight="false" outlineLevel="0" collapsed="false">
      <c r="B520" s="36" t="n">
        <v>39832</v>
      </c>
      <c r="C520" s="37" t="n">
        <v>2.3298</v>
      </c>
    </row>
    <row r="521" customFormat="false" ht="15" hidden="false" customHeight="false" outlineLevel="0" collapsed="false">
      <c r="B521" s="36" t="n">
        <v>39833</v>
      </c>
      <c r="C521" s="37" t="n">
        <v>2.354</v>
      </c>
    </row>
    <row r="522" customFormat="false" ht="15" hidden="false" customHeight="false" outlineLevel="0" collapsed="false">
      <c r="B522" s="36" t="n">
        <v>39834</v>
      </c>
      <c r="C522" s="37" t="n">
        <v>2.3536</v>
      </c>
    </row>
    <row r="523" customFormat="false" ht="15" hidden="false" customHeight="false" outlineLevel="0" collapsed="false">
      <c r="B523" s="36" t="n">
        <v>39835</v>
      </c>
      <c r="C523" s="37" t="n">
        <v>2.3291</v>
      </c>
    </row>
    <row r="524" customFormat="false" ht="15" hidden="false" customHeight="false" outlineLevel="0" collapsed="false">
      <c r="B524" s="36" t="n">
        <v>39836</v>
      </c>
      <c r="C524" s="37" t="n">
        <v>2.356</v>
      </c>
    </row>
    <row r="525" customFormat="false" ht="15" hidden="false" customHeight="false" outlineLevel="0" collapsed="false">
      <c r="B525" s="36" t="n">
        <v>39839</v>
      </c>
      <c r="C525" s="37" t="n">
        <v>2.3141</v>
      </c>
    </row>
    <row r="526" customFormat="false" ht="15" hidden="false" customHeight="false" outlineLevel="0" collapsed="false">
      <c r="B526" s="36" t="n">
        <v>39840</v>
      </c>
      <c r="C526" s="37" t="n">
        <v>2.3101</v>
      </c>
    </row>
    <row r="527" customFormat="false" ht="15" hidden="false" customHeight="false" outlineLevel="0" collapsed="false">
      <c r="B527" s="36" t="n">
        <v>39841</v>
      </c>
      <c r="C527" s="37" t="n">
        <v>2.2974</v>
      </c>
    </row>
    <row r="528" customFormat="false" ht="15" hidden="false" customHeight="false" outlineLevel="0" collapsed="false">
      <c r="B528" s="36" t="n">
        <v>39842</v>
      </c>
      <c r="C528" s="37" t="n">
        <v>2.2753</v>
      </c>
    </row>
    <row r="529" customFormat="false" ht="15" hidden="false" customHeight="false" outlineLevel="0" collapsed="false">
      <c r="B529" s="36" t="n">
        <v>39843</v>
      </c>
      <c r="C529" s="37" t="n">
        <v>2.3154</v>
      </c>
    </row>
    <row r="530" customFormat="false" ht="15" hidden="false" customHeight="false" outlineLevel="0" collapsed="false">
      <c r="B530" s="36" t="n">
        <v>39846</v>
      </c>
      <c r="C530" s="37" t="n">
        <v>2.3467</v>
      </c>
    </row>
    <row r="531" customFormat="false" ht="15" hidden="false" customHeight="false" outlineLevel="0" collapsed="false">
      <c r="B531" s="36" t="n">
        <v>39847</v>
      </c>
      <c r="C531" s="37" t="n">
        <v>2.3136</v>
      </c>
    </row>
    <row r="532" customFormat="false" ht="15" hidden="false" customHeight="false" outlineLevel="0" collapsed="false">
      <c r="B532" s="36" t="n">
        <v>39848</v>
      </c>
      <c r="C532" s="37" t="n">
        <v>2.2986</v>
      </c>
    </row>
    <row r="533" customFormat="false" ht="15" hidden="false" customHeight="false" outlineLevel="0" collapsed="false">
      <c r="B533" s="36" t="n">
        <v>39849</v>
      </c>
      <c r="C533" s="37" t="n">
        <v>2.3057</v>
      </c>
    </row>
    <row r="534" customFormat="false" ht="15" hidden="false" customHeight="false" outlineLevel="0" collapsed="false">
      <c r="B534" s="36" t="n">
        <v>39850</v>
      </c>
      <c r="C534" s="37" t="n">
        <v>2.265</v>
      </c>
    </row>
    <row r="535" customFormat="false" ht="15" hidden="false" customHeight="false" outlineLevel="0" collapsed="false">
      <c r="B535" s="36" t="n">
        <v>39853</v>
      </c>
      <c r="C535" s="37" t="n">
        <v>2.2438</v>
      </c>
    </row>
    <row r="536" customFormat="false" ht="15" hidden="false" customHeight="false" outlineLevel="0" collapsed="false">
      <c r="B536" s="36" t="n">
        <v>39854</v>
      </c>
      <c r="C536" s="37" t="n">
        <v>2.252</v>
      </c>
    </row>
    <row r="537" customFormat="false" ht="15" hidden="false" customHeight="false" outlineLevel="0" collapsed="false">
      <c r="B537" s="36" t="n">
        <v>39855</v>
      </c>
      <c r="C537" s="37" t="n">
        <v>2.2862</v>
      </c>
    </row>
    <row r="538" customFormat="false" ht="15" hidden="false" customHeight="false" outlineLevel="0" collapsed="false">
      <c r="B538" s="36" t="n">
        <v>39856</v>
      </c>
      <c r="C538" s="37" t="n">
        <v>2.2901</v>
      </c>
    </row>
    <row r="539" customFormat="false" ht="15" hidden="false" customHeight="false" outlineLevel="0" collapsed="false">
      <c r="B539" s="36" t="n">
        <v>39857</v>
      </c>
      <c r="C539" s="37" t="n">
        <v>2.2672</v>
      </c>
    </row>
    <row r="540" customFormat="false" ht="15" hidden="false" customHeight="false" outlineLevel="0" collapsed="false">
      <c r="B540" s="36" t="n">
        <v>39860</v>
      </c>
      <c r="C540" s="37" t="n">
        <v>2.2711</v>
      </c>
    </row>
    <row r="541" customFormat="false" ht="15" hidden="false" customHeight="false" outlineLevel="0" collapsed="false">
      <c r="B541" s="36" t="n">
        <v>39861</v>
      </c>
      <c r="C541" s="37" t="n">
        <v>2.3123</v>
      </c>
    </row>
    <row r="542" customFormat="false" ht="15" hidden="false" customHeight="false" outlineLevel="0" collapsed="false">
      <c r="B542" s="36" t="n">
        <v>39862</v>
      </c>
      <c r="C542" s="37" t="n">
        <v>2.3388</v>
      </c>
    </row>
    <row r="543" customFormat="false" ht="15" hidden="false" customHeight="false" outlineLevel="0" collapsed="false">
      <c r="B543" s="36" t="n">
        <v>39863</v>
      </c>
      <c r="C543" s="37" t="n">
        <v>2.3241</v>
      </c>
    </row>
    <row r="544" customFormat="false" ht="15" hidden="false" customHeight="false" outlineLevel="0" collapsed="false">
      <c r="B544" s="36" t="n">
        <v>39864</v>
      </c>
      <c r="C544" s="37" t="n">
        <v>2.3908</v>
      </c>
    </row>
    <row r="545" customFormat="false" ht="15" hidden="false" customHeight="false" outlineLevel="0" collapsed="false">
      <c r="B545" s="36" t="n">
        <v>39869</v>
      </c>
      <c r="C545" s="37" t="n">
        <v>2.3806</v>
      </c>
    </row>
    <row r="546" customFormat="false" ht="15" hidden="false" customHeight="false" outlineLevel="0" collapsed="false">
      <c r="B546" s="36" t="n">
        <v>39870</v>
      </c>
      <c r="C546" s="37" t="n">
        <v>2.3495</v>
      </c>
    </row>
    <row r="547" customFormat="false" ht="15" hidden="false" customHeight="false" outlineLevel="0" collapsed="false">
      <c r="B547" s="36" t="n">
        <v>39871</v>
      </c>
      <c r="C547" s="37" t="n">
        <v>2.3776</v>
      </c>
    </row>
    <row r="548" customFormat="false" ht="15" hidden="false" customHeight="false" outlineLevel="0" collapsed="false">
      <c r="B548" s="36" t="n">
        <v>39874</v>
      </c>
      <c r="C548" s="37" t="n">
        <v>2.4113</v>
      </c>
    </row>
    <row r="549" customFormat="false" ht="15" hidden="false" customHeight="false" outlineLevel="0" collapsed="false">
      <c r="B549" s="36" t="n">
        <v>39875</v>
      </c>
      <c r="C549" s="37" t="n">
        <v>2.421</v>
      </c>
    </row>
    <row r="550" customFormat="false" ht="15" hidden="false" customHeight="false" outlineLevel="0" collapsed="false">
      <c r="B550" s="36" t="n">
        <v>39876</v>
      </c>
      <c r="C550" s="37" t="n">
        <v>2.3909</v>
      </c>
    </row>
    <row r="551" customFormat="false" ht="15" hidden="false" customHeight="false" outlineLevel="0" collapsed="false">
      <c r="B551" s="36" t="n">
        <v>39877</v>
      </c>
      <c r="C551" s="37" t="n">
        <v>2.3814</v>
      </c>
    </row>
    <row r="552" customFormat="false" ht="15" hidden="false" customHeight="false" outlineLevel="0" collapsed="false">
      <c r="B552" s="36" t="n">
        <v>39878</v>
      </c>
      <c r="C552" s="37" t="n">
        <v>2.376</v>
      </c>
    </row>
    <row r="553" customFormat="false" ht="15" hidden="false" customHeight="false" outlineLevel="0" collapsed="false">
      <c r="B553" s="36" t="n">
        <v>39881</v>
      </c>
      <c r="C553" s="37" t="n">
        <v>2.3773</v>
      </c>
    </row>
    <row r="554" customFormat="false" ht="15" hidden="false" customHeight="false" outlineLevel="0" collapsed="false">
      <c r="B554" s="36" t="n">
        <v>39882</v>
      </c>
      <c r="C554" s="37" t="n">
        <v>2.3507</v>
      </c>
    </row>
    <row r="555" customFormat="false" ht="15" hidden="false" customHeight="false" outlineLevel="0" collapsed="false">
      <c r="B555" s="36" t="n">
        <v>39883</v>
      </c>
      <c r="C555" s="37" t="n">
        <v>2.3358</v>
      </c>
    </row>
    <row r="556" customFormat="false" ht="15" hidden="false" customHeight="false" outlineLevel="0" collapsed="false">
      <c r="B556" s="36" t="n">
        <v>39884</v>
      </c>
      <c r="C556" s="37" t="n">
        <v>2.315</v>
      </c>
    </row>
    <row r="557" customFormat="false" ht="15" hidden="false" customHeight="false" outlineLevel="0" collapsed="false">
      <c r="B557" s="36" t="n">
        <v>39885</v>
      </c>
      <c r="C557" s="37" t="n">
        <v>2.3004</v>
      </c>
    </row>
    <row r="558" customFormat="false" ht="15" hidden="false" customHeight="false" outlineLevel="0" collapsed="false">
      <c r="B558" s="36" t="n">
        <v>39888</v>
      </c>
      <c r="C558" s="37" t="n">
        <v>2.2697</v>
      </c>
    </row>
    <row r="559" customFormat="false" ht="15" hidden="false" customHeight="false" outlineLevel="0" collapsed="false">
      <c r="B559" s="36" t="n">
        <v>39889</v>
      </c>
      <c r="C559" s="37" t="n">
        <v>2.2825</v>
      </c>
    </row>
    <row r="560" customFormat="false" ht="15" hidden="false" customHeight="false" outlineLevel="0" collapsed="false">
      <c r="B560" s="36" t="n">
        <v>39890</v>
      </c>
      <c r="C560" s="37" t="n">
        <v>2.2798</v>
      </c>
    </row>
    <row r="561" customFormat="false" ht="15" hidden="false" customHeight="false" outlineLevel="0" collapsed="false">
      <c r="B561" s="36" t="n">
        <v>39891</v>
      </c>
      <c r="C561" s="37" t="n">
        <v>2.2371</v>
      </c>
    </row>
    <row r="562" customFormat="false" ht="15" hidden="false" customHeight="false" outlineLevel="0" collapsed="false">
      <c r="B562" s="36" t="n">
        <v>39892</v>
      </c>
      <c r="C562" s="37" t="n">
        <v>2.2559</v>
      </c>
    </row>
    <row r="563" customFormat="false" ht="15" hidden="false" customHeight="false" outlineLevel="0" collapsed="false">
      <c r="B563" s="36" t="n">
        <v>39895</v>
      </c>
      <c r="C563" s="37" t="n">
        <v>2.2497</v>
      </c>
    </row>
    <row r="564" customFormat="false" ht="15" hidden="false" customHeight="false" outlineLevel="0" collapsed="false">
      <c r="B564" s="36" t="n">
        <v>39896</v>
      </c>
      <c r="C564" s="37" t="n">
        <v>2.2559</v>
      </c>
    </row>
    <row r="565" customFormat="false" ht="15" hidden="false" customHeight="false" outlineLevel="0" collapsed="false">
      <c r="B565" s="36" t="n">
        <v>39897</v>
      </c>
      <c r="C565" s="37" t="n">
        <v>2.2427</v>
      </c>
    </row>
    <row r="566" customFormat="false" ht="15" hidden="false" customHeight="false" outlineLevel="0" collapsed="false">
      <c r="B566" s="36" t="n">
        <v>39898</v>
      </c>
      <c r="C566" s="37" t="n">
        <v>2.2367</v>
      </c>
    </row>
    <row r="567" customFormat="false" ht="15" hidden="false" customHeight="false" outlineLevel="0" collapsed="false">
      <c r="B567" s="36" t="n">
        <v>39899</v>
      </c>
      <c r="C567" s="37" t="n">
        <v>2.2737</v>
      </c>
    </row>
    <row r="568" customFormat="false" ht="15" hidden="false" customHeight="false" outlineLevel="0" collapsed="false">
      <c r="B568" s="36" t="n">
        <v>39902</v>
      </c>
      <c r="C568" s="37" t="n">
        <v>2.3289</v>
      </c>
    </row>
    <row r="569" customFormat="false" ht="15" hidden="false" customHeight="false" outlineLevel="0" collapsed="false">
      <c r="B569" s="36" t="n">
        <v>39903</v>
      </c>
      <c r="C569" s="37" t="n">
        <v>2.3144</v>
      </c>
    </row>
    <row r="570" customFormat="false" ht="15" hidden="false" customHeight="false" outlineLevel="0" collapsed="false">
      <c r="B570" s="36" t="n">
        <v>39904</v>
      </c>
      <c r="C570" s="37" t="n">
        <v>2.2891</v>
      </c>
    </row>
    <row r="571" customFormat="false" ht="15" hidden="false" customHeight="false" outlineLevel="0" collapsed="false">
      <c r="B571" s="36" t="n">
        <v>39905</v>
      </c>
      <c r="C571" s="37" t="n">
        <v>2.2347</v>
      </c>
    </row>
    <row r="572" customFormat="false" ht="15" hidden="false" customHeight="false" outlineLevel="0" collapsed="false">
      <c r="B572" s="36" t="n">
        <v>39906</v>
      </c>
      <c r="C572" s="37" t="n">
        <v>2.2064</v>
      </c>
    </row>
    <row r="573" customFormat="false" ht="15" hidden="false" customHeight="false" outlineLevel="0" collapsed="false">
      <c r="B573" s="36" t="n">
        <v>39909</v>
      </c>
      <c r="C573" s="37" t="n">
        <v>2.2244</v>
      </c>
    </row>
    <row r="574" customFormat="false" ht="15" hidden="false" customHeight="false" outlineLevel="0" collapsed="false">
      <c r="B574" s="36" t="n">
        <v>39910</v>
      </c>
      <c r="C574" s="37" t="n">
        <v>2.2241</v>
      </c>
    </row>
    <row r="575" customFormat="false" ht="15" hidden="false" customHeight="false" outlineLevel="0" collapsed="false">
      <c r="B575" s="36" t="n">
        <v>39911</v>
      </c>
      <c r="C575" s="37" t="n">
        <v>2.2006</v>
      </c>
    </row>
    <row r="576" customFormat="false" ht="15" hidden="false" customHeight="false" outlineLevel="0" collapsed="false">
      <c r="B576" s="36" t="n">
        <v>39912</v>
      </c>
      <c r="C576" s="37" t="n">
        <v>2.1758</v>
      </c>
    </row>
    <row r="577" customFormat="false" ht="15" hidden="false" customHeight="false" outlineLevel="0" collapsed="false">
      <c r="B577" s="36" t="n">
        <v>39916</v>
      </c>
      <c r="C577" s="37" t="n">
        <v>2.1691</v>
      </c>
    </row>
    <row r="578" customFormat="false" ht="15" hidden="false" customHeight="false" outlineLevel="0" collapsed="false">
      <c r="B578" s="36" t="n">
        <v>39917</v>
      </c>
      <c r="C578" s="37" t="n">
        <v>2.1868</v>
      </c>
    </row>
    <row r="579" customFormat="false" ht="15" hidden="false" customHeight="false" outlineLevel="0" collapsed="false">
      <c r="B579" s="36" t="n">
        <v>39918</v>
      </c>
      <c r="C579" s="37" t="n">
        <v>2.1984</v>
      </c>
    </row>
    <row r="580" customFormat="false" ht="15" hidden="false" customHeight="false" outlineLevel="0" collapsed="false">
      <c r="B580" s="36" t="n">
        <v>39919</v>
      </c>
      <c r="C580" s="37" t="n">
        <v>2.1783</v>
      </c>
    </row>
    <row r="581" customFormat="false" ht="15" hidden="false" customHeight="false" outlineLevel="0" collapsed="false">
      <c r="B581" s="36" t="n">
        <v>39920</v>
      </c>
      <c r="C581" s="37" t="n">
        <v>2.1856</v>
      </c>
    </row>
    <row r="582" customFormat="false" ht="15" hidden="false" customHeight="false" outlineLevel="0" collapsed="false">
      <c r="B582" s="36" t="n">
        <v>39923</v>
      </c>
      <c r="C582" s="37" t="n">
        <v>2.2342</v>
      </c>
    </row>
    <row r="583" customFormat="false" ht="15" hidden="false" customHeight="false" outlineLevel="0" collapsed="false">
      <c r="B583" s="36" t="n">
        <v>39925</v>
      </c>
      <c r="C583" s="37" t="n">
        <v>2.212</v>
      </c>
    </row>
    <row r="584" customFormat="false" ht="15" hidden="false" customHeight="false" outlineLevel="0" collapsed="false">
      <c r="B584" s="36" t="n">
        <v>39926</v>
      </c>
      <c r="C584" s="37" t="n">
        <v>2.2099</v>
      </c>
    </row>
    <row r="585" customFormat="false" ht="15" hidden="false" customHeight="false" outlineLevel="0" collapsed="false">
      <c r="B585" s="36" t="n">
        <v>39927</v>
      </c>
      <c r="C585" s="37" t="n">
        <v>2.1925</v>
      </c>
    </row>
    <row r="586" customFormat="false" ht="15" hidden="false" customHeight="false" outlineLevel="0" collapsed="false">
      <c r="B586" s="36" t="n">
        <v>39930</v>
      </c>
      <c r="C586" s="37" t="n">
        <v>2.2157</v>
      </c>
    </row>
    <row r="587" customFormat="false" ht="15" hidden="false" customHeight="false" outlineLevel="0" collapsed="false">
      <c r="B587" s="36" t="n">
        <v>39931</v>
      </c>
      <c r="C587" s="37" t="n">
        <v>2.2029</v>
      </c>
    </row>
    <row r="588" customFormat="false" ht="15" hidden="false" customHeight="false" outlineLevel="0" collapsed="false">
      <c r="B588" s="36" t="n">
        <v>39932</v>
      </c>
      <c r="C588" s="37" t="n">
        <v>2.183</v>
      </c>
    </row>
    <row r="589" customFormat="false" ht="15" hidden="false" customHeight="false" outlineLevel="0" collapsed="false">
      <c r="B589" s="36" t="n">
        <v>39933</v>
      </c>
      <c r="C589" s="37" t="n">
        <v>2.1775</v>
      </c>
    </row>
    <row r="590" customFormat="false" ht="15" hidden="false" customHeight="false" outlineLevel="0" collapsed="false">
      <c r="B590" s="36" t="n">
        <v>39937</v>
      </c>
      <c r="C590" s="37" t="n">
        <v>2.1361</v>
      </c>
    </row>
    <row r="591" customFormat="false" ht="15" hidden="false" customHeight="false" outlineLevel="0" collapsed="false">
      <c r="B591" s="36" t="n">
        <v>39938</v>
      </c>
      <c r="C591" s="37" t="n">
        <v>2.1468</v>
      </c>
    </row>
    <row r="592" customFormat="false" ht="15" hidden="false" customHeight="false" outlineLevel="0" collapsed="false">
      <c r="B592" s="36" t="n">
        <v>39939</v>
      </c>
      <c r="C592" s="37" t="n">
        <v>2.1205</v>
      </c>
    </row>
    <row r="593" customFormat="false" ht="15" hidden="false" customHeight="false" outlineLevel="0" collapsed="false">
      <c r="B593" s="36" t="n">
        <v>39940</v>
      </c>
      <c r="C593" s="37" t="n">
        <v>2.0976</v>
      </c>
    </row>
    <row r="594" customFormat="false" ht="15" hidden="false" customHeight="false" outlineLevel="0" collapsed="false">
      <c r="B594" s="36" t="n">
        <v>39941</v>
      </c>
      <c r="C594" s="37" t="n">
        <v>2.0742</v>
      </c>
    </row>
    <row r="595" customFormat="false" ht="15" hidden="false" customHeight="false" outlineLevel="0" collapsed="false">
      <c r="B595" s="36" t="n">
        <v>39944</v>
      </c>
      <c r="C595" s="37" t="n">
        <v>2.0571</v>
      </c>
    </row>
    <row r="596" customFormat="false" ht="15" hidden="false" customHeight="false" outlineLevel="0" collapsed="false">
      <c r="B596" s="36" t="n">
        <v>39945</v>
      </c>
      <c r="C596" s="37" t="n">
        <v>2.0641</v>
      </c>
    </row>
    <row r="597" customFormat="false" ht="15" hidden="false" customHeight="false" outlineLevel="0" collapsed="false">
      <c r="B597" s="36" t="n">
        <v>39946</v>
      </c>
      <c r="C597" s="37" t="n">
        <v>2.0984</v>
      </c>
    </row>
    <row r="598" customFormat="false" ht="15" hidden="false" customHeight="false" outlineLevel="0" collapsed="false">
      <c r="B598" s="36" t="n">
        <v>39947</v>
      </c>
      <c r="C598" s="37" t="n">
        <v>2.0921</v>
      </c>
    </row>
    <row r="599" customFormat="false" ht="15" hidden="false" customHeight="false" outlineLevel="0" collapsed="false">
      <c r="B599" s="36" t="n">
        <v>39948</v>
      </c>
      <c r="C599" s="37" t="n">
        <v>2.0754</v>
      </c>
    </row>
    <row r="600" customFormat="false" ht="15" hidden="false" customHeight="false" outlineLevel="0" collapsed="false">
      <c r="B600" s="36" t="n">
        <v>39951</v>
      </c>
      <c r="C600" s="37" t="n">
        <v>2.0776</v>
      </c>
    </row>
    <row r="601" customFormat="false" ht="15" hidden="false" customHeight="false" outlineLevel="0" collapsed="false">
      <c r="B601" s="36" t="n">
        <v>39952</v>
      </c>
      <c r="C601" s="37" t="n">
        <v>2.048</v>
      </c>
    </row>
    <row r="602" customFormat="false" ht="15" hidden="false" customHeight="false" outlineLevel="0" collapsed="false">
      <c r="B602" s="36" t="n">
        <v>39953</v>
      </c>
      <c r="C602" s="37" t="n">
        <v>2.0191</v>
      </c>
    </row>
    <row r="603" customFormat="false" ht="15" hidden="false" customHeight="false" outlineLevel="0" collapsed="false">
      <c r="B603" s="36" t="n">
        <v>39954</v>
      </c>
      <c r="C603" s="37" t="n">
        <v>2.0256</v>
      </c>
    </row>
    <row r="604" customFormat="false" ht="15" hidden="false" customHeight="false" outlineLevel="0" collapsed="false">
      <c r="B604" s="36" t="n">
        <v>39955</v>
      </c>
      <c r="C604" s="37" t="n">
        <v>2.0271</v>
      </c>
    </row>
    <row r="605" customFormat="false" ht="15" hidden="false" customHeight="false" outlineLevel="0" collapsed="false">
      <c r="B605" s="36" t="n">
        <v>39958</v>
      </c>
      <c r="C605" s="37" t="n">
        <v>2.0226</v>
      </c>
    </row>
    <row r="606" customFormat="false" ht="15" hidden="false" customHeight="false" outlineLevel="0" collapsed="false">
      <c r="B606" s="36" t="n">
        <v>39959</v>
      </c>
      <c r="C606" s="37" t="n">
        <v>2.0253</v>
      </c>
    </row>
    <row r="607" customFormat="false" ht="15" hidden="false" customHeight="false" outlineLevel="0" collapsed="false">
      <c r="B607" s="36" t="n">
        <v>39960</v>
      </c>
      <c r="C607" s="37" t="n">
        <v>2.0087</v>
      </c>
    </row>
    <row r="608" customFormat="false" ht="15" hidden="false" customHeight="false" outlineLevel="0" collapsed="false">
      <c r="B608" s="36" t="n">
        <v>39961</v>
      </c>
      <c r="C608" s="37" t="n">
        <v>2.0136</v>
      </c>
    </row>
    <row r="609" customFormat="false" ht="15" hidden="false" customHeight="false" outlineLevel="0" collapsed="false">
      <c r="B609" s="36" t="n">
        <v>39962</v>
      </c>
      <c r="C609" s="37" t="n">
        <v>1.9722</v>
      </c>
    </row>
    <row r="610" customFormat="false" ht="15" hidden="false" customHeight="false" outlineLevel="0" collapsed="false">
      <c r="B610" s="36" t="n">
        <v>39965</v>
      </c>
      <c r="C610" s="37" t="n">
        <v>1.9432</v>
      </c>
    </row>
    <row r="611" customFormat="false" ht="15" hidden="false" customHeight="false" outlineLevel="0" collapsed="false">
      <c r="B611" s="36" t="n">
        <v>39966</v>
      </c>
      <c r="C611" s="37" t="n">
        <v>1.9362</v>
      </c>
    </row>
    <row r="612" customFormat="false" ht="15" hidden="false" customHeight="false" outlineLevel="0" collapsed="false">
      <c r="B612" s="36" t="n">
        <v>39967</v>
      </c>
      <c r="C612" s="37" t="n">
        <v>1.9592</v>
      </c>
    </row>
    <row r="613" customFormat="false" ht="15" hidden="false" customHeight="false" outlineLevel="0" collapsed="false">
      <c r="B613" s="36" t="n">
        <v>39968</v>
      </c>
      <c r="C613" s="37" t="n">
        <v>1.9489</v>
      </c>
    </row>
    <row r="614" customFormat="false" ht="15" hidden="false" customHeight="false" outlineLevel="0" collapsed="false">
      <c r="B614" s="36" t="n">
        <v>39969</v>
      </c>
      <c r="C614" s="37" t="n">
        <v>1.9526</v>
      </c>
    </row>
    <row r="615" customFormat="false" ht="15" hidden="false" customHeight="false" outlineLevel="0" collapsed="false">
      <c r="B615" s="36" t="n">
        <v>39972</v>
      </c>
      <c r="C615" s="37" t="n">
        <v>1.9696</v>
      </c>
    </row>
    <row r="616" customFormat="false" ht="15" hidden="false" customHeight="false" outlineLevel="0" collapsed="false">
      <c r="B616" s="36" t="n">
        <v>39973</v>
      </c>
      <c r="C616" s="37" t="n">
        <v>1.9377</v>
      </c>
    </row>
    <row r="617" customFormat="false" ht="15" hidden="false" customHeight="false" outlineLevel="0" collapsed="false">
      <c r="B617" s="36" t="n">
        <v>39974</v>
      </c>
      <c r="C617" s="37" t="n">
        <v>1.9466</v>
      </c>
    </row>
    <row r="618" customFormat="false" ht="15" hidden="false" customHeight="false" outlineLevel="0" collapsed="false">
      <c r="B618" s="36" t="n">
        <v>39976</v>
      </c>
      <c r="C618" s="37" t="n">
        <v>1.9293</v>
      </c>
    </row>
    <row r="619" customFormat="false" ht="15" hidden="false" customHeight="false" outlineLevel="0" collapsed="false">
      <c r="B619" s="36" t="n">
        <v>39979</v>
      </c>
      <c r="C619" s="37" t="n">
        <v>1.945</v>
      </c>
    </row>
    <row r="620" customFormat="false" ht="15" hidden="false" customHeight="false" outlineLevel="0" collapsed="false">
      <c r="B620" s="36" t="n">
        <v>39980</v>
      </c>
      <c r="C620" s="37" t="n">
        <v>1.9453</v>
      </c>
    </row>
    <row r="621" customFormat="false" ht="15" hidden="false" customHeight="false" outlineLevel="0" collapsed="false">
      <c r="B621" s="36" t="n">
        <v>39981</v>
      </c>
      <c r="C621" s="37" t="n">
        <v>1.9776</v>
      </c>
    </row>
    <row r="622" customFormat="false" ht="15" hidden="false" customHeight="false" outlineLevel="0" collapsed="false">
      <c r="B622" s="36" t="n">
        <v>39982</v>
      </c>
      <c r="C622" s="37" t="n">
        <v>1.9701</v>
      </c>
    </row>
    <row r="623" customFormat="false" ht="15" hidden="false" customHeight="false" outlineLevel="0" collapsed="false">
      <c r="B623" s="36" t="n">
        <v>39983</v>
      </c>
      <c r="C623" s="37" t="n">
        <v>1.9584</v>
      </c>
    </row>
    <row r="624" customFormat="false" ht="15" hidden="false" customHeight="false" outlineLevel="0" collapsed="false">
      <c r="B624" s="36" t="n">
        <v>39986</v>
      </c>
      <c r="C624" s="37" t="n">
        <v>2.0066</v>
      </c>
    </row>
    <row r="625" customFormat="false" ht="15" hidden="false" customHeight="false" outlineLevel="0" collapsed="false">
      <c r="B625" s="36" t="n">
        <v>39987</v>
      </c>
      <c r="C625" s="37" t="n">
        <v>2.0011</v>
      </c>
    </row>
    <row r="626" customFormat="false" ht="15" hidden="false" customHeight="false" outlineLevel="0" collapsed="false">
      <c r="B626" s="36" t="n">
        <v>39988</v>
      </c>
      <c r="C626" s="37" t="n">
        <v>1.9716</v>
      </c>
    </row>
    <row r="627" customFormat="false" ht="15" hidden="false" customHeight="false" outlineLevel="0" collapsed="false">
      <c r="B627" s="36" t="n">
        <v>39989</v>
      </c>
      <c r="C627" s="37" t="n">
        <v>1.9554</v>
      </c>
    </row>
    <row r="628" customFormat="false" ht="15" hidden="false" customHeight="false" outlineLevel="0" collapsed="false">
      <c r="B628" s="36" t="n">
        <v>39990</v>
      </c>
      <c r="C628" s="37" t="n">
        <v>1.9388</v>
      </c>
    </row>
    <row r="629" customFormat="false" ht="15" hidden="false" customHeight="false" outlineLevel="0" collapsed="false">
      <c r="B629" s="36" t="n">
        <v>39993</v>
      </c>
      <c r="C629" s="37" t="n">
        <v>1.9479</v>
      </c>
    </row>
    <row r="630" customFormat="false" ht="15" hidden="false" customHeight="false" outlineLevel="0" collapsed="false">
      <c r="B630" s="36" t="n">
        <v>39994</v>
      </c>
      <c r="C630" s="37" t="n">
        <v>1.9508</v>
      </c>
    </row>
    <row r="631" customFormat="false" ht="15" hidden="false" customHeight="false" outlineLevel="0" collapsed="false">
      <c r="B631" s="36" t="n">
        <v>39995</v>
      </c>
      <c r="C631" s="37" t="n">
        <v>1.9334</v>
      </c>
    </row>
    <row r="632" customFormat="false" ht="15" hidden="false" customHeight="false" outlineLevel="0" collapsed="false">
      <c r="B632" s="36" t="n">
        <v>39996</v>
      </c>
      <c r="C632" s="37" t="n">
        <v>1.9461</v>
      </c>
    </row>
    <row r="633" customFormat="false" ht="15" hidden="false" customHeight="false" outlineLevel="0" collapsed="false">
      <c r="B633" s="36" t="n">
        <v>39997</v>
      </c>
      <c r="C633" s="37" t="n">
        <v>1.9466</v>
      </c>
    </row>
    <row r="634" customFormat="false" ht="15" hidden="false" customHeight="false" outlineLevel="0" collapsed="false">
      <c r="B634" s="36" t="n">
        <v>40000</v>
      </c>
      <c r="C634" s="37" t="n">
        <v>1.9703</v>
      </c>
    </row>
    <row r="635" customFormat="false" ht="15" hidden="false" customHeight="false" outlineLevel="0" collapsed="false">
      <c r="B635" s="36" t="n">
        <v>40001</v>
      </c>
      <c r="C635" s="37" t="n">
        <v>1.9633</v>
      </c>
    </row>
    <row r="636" customFormat="false" ht="15" hidden="false" customHeight="false" outlineLevel="0" collapsed="false">
      <c r="B636" s="36" t="n">
        <v>40002</v>
      </c>
      <c r="C636" s="37" t="n">
        <v>1.9974</v>
      </c>
    </row>
    <row r="637" customFormat="false" ht="15" hidden="false" customHeight="false" outlineLevel="0" collapsed="false">
      <c r="B637" s="36" t="n">
        <v>40003</v>
      </c>
      <c r="C637" s="37" t="n">
        <v>1.9913</v>
      </c>
    </row>
    <row r="638" customFormat="false" ht="15" hidden="false" customHeight="false" outlineLevel="0" collapsed="false">
      <c r="B638" s="36" t="n">
        <v>40004</v>
      </c>
      <c r="C638" s="37" t="n">
        <v>2.0139</v>
      </c>
    </row>
    <row r="639" customFormat="false" ht="15" hidden="false" customHeight="false" outlineLevel="0" collapsed="false">
      <c r="B639" s="36" t="n">
        <v>40007</v>
      </c>
      <c r="C639" s="37" t="n">
        <v>1.9887</v>
      </c>
    </row>
    <row r="640" customFormat="false" ht="15" hidden="false" customHeight="false" outlineLevel="0" collapsed="false">
      <c r="B640" s="36" t="n">
        <v>40008</v>
      </c>
      <c r="C640" s="37" t="n">
        <v>1.9696</v>
      </c>
    </row>
    <row r="641" customFormat="false" ht="15" hidden="false" customHeight="false" outlineLevel="0" collapsed="false">
      <c r="B641" s="36" t="n">
        <v>40009</v>
      </c>
      <c r="C641" s="37" t="n">
        <v>1.9412</v>
      </c>
    </row>
    <row r="642" customFormat="false" ht="15" hidden="false" customHeight="false" outlineLevel="0" collapsed="false">
      <c r="B642" s="36" t="n">
        <v>40010</v>
      </c>
      <c r="C642" s="37" t="n">
        <v>1.9332</v>
      </c>
    </row>
    <row r="643" customFormat="false" ht="15" hidden="false" customHeight="false" outlineLevel="0" collapsed="false">
      <c r="B643" s="36" t="n">
        <v>40011</v>
      </c>
      <c r="C643" s="37" t="n">
        <v>1.9282</v>
      </c>
    </row>
    <row r="644" customFormat="false" ht="15" hidden="false" customHeight="false" outlineLevel="0" collapsed="false">
      <c r="B644" s="36" t="n">
        <v>40014</v>
      </c>
      <c r="C644" s="37" t="n">
        <v>1.906</v>
      </c>
    </row>
    <row r="645" customFormat="false" ht="15" hidden="false" customHeight="false" outlineLevel="0" collapsed="false">
      <c r="B645" s="36" t="n">
        <v>40015</v>
      </c>
      <c r="C645" s="37" t="n">
        <v>1.9035</v>
      </c>
    </row>
    <row r="646" customFormat="false" ht="15" hidden="false" customHeight="false" outlineLevel="0" collapsed="false">
      <c r="B646" s="36" t="n">
        <v>40016</v>
      </c>
      <c r="C646" s="37" t="n">
        <v>1.9021</v>
      </c>
    </row>
    <row r="647" customFormat="false" ht="15" hidden="false" customHeight="false" outlineLevel="0" collapsed="false">
      <c r="B647" s="36" t="n">
        <v>40017</v>
      </c>
      <c r="C647" s="37" t="n">
        <v>1.8914</v>
      </c>
    </row>
    <row r="648" customFormat="false" ht="15" hidden="false" customHeight="false" outlineLevel="0" collapsed="false">
      <c r="B648" s="36" t="n">
        <v>40018</v>
      </c>
      <c r="C648" s="37" t="n">
        <v>1.8952</v>
      </c>
    </row>
    <row r="649" customFormat="false" ht="15" hidden="false" customHeight="false" outlineLevel="0" collapsed="false">
      <c r="B649" s="36" t="n">
        <v>40021</v>
      </c>
      <c r="C649" s="37" t="n">
        <v>1.8829</v>
      </c>
    </row>
    <row r="650" customFormat="false" ht="15" hidden="false" customHeight="false" outlineLevel="0" collapsed="false">
      <c r="B650" s="36" t="n">
        <v>40022</v>
      </c>
      <c r="C650" s="37" t="n">
        <v>1.8811</v>
      </c>
    </row>
    <row r="651" customFormat="false" ht="15" hidden="false" customHeight="false" outlineLevel="0" collapsed="false">
      <c r="B651" s="36" t="n">
        <v>40023</v>
      </c>
      <c r="C651" s="37" t="n">
        <v>1.8974</v>
      </c>
    </row>
    <row r="652" customFormat="false" ht="15" hidden="false" customHeight="false" outlineLevel="0" collapsed="false">
      <c r="B652" s="36" t="n">
        <v>40024</v>
      </c>
      <c r="C652" s="37" t="n">
        <v>1.8803</v>
      </c>
    </row>
    <row r="653" customFormat="false" ht="15" hidden="false" customHeight="false" outlineLevel="0" collapsed="false">
      <c r="B653" s="36" t="n">
        <v>40025</v>
      </c>
      <c r="C653" s="37" t="n">
        <v>1.8718</v>
      </c>
    </row>
    <row r="654" customFormat="false" ht="15" hidden="false" customHeight="false" outlineLevel="0" collapsed="false">
      <c r="B654" s="36" t="n">
        <v>40028</v>
      </c>
      <c r="C654" s="37" t="n">
        <v>1.8361</v>
      </c>
    </row>
    <row r="655" customFormat="false" ht="15" hidden="false" customHeight="false" outlineLevel="0" collapsed="false">
      <c r="B655" s="36" t="n">
        <v>40029</v>
      </c>
      <c r="C655" s="37" t="n">
        <v>1.8264</v>
      </c>
    </row>
    <row r="656" customFormat="false" ht="15" hidden="false" customHeight="false" outlineLevel="0" collapsed="false">
      <c r="B656" s="36" t="n">
        <v>40030</v>
      </c>
      <c r="C656" s="37" t="n">
        <v>1.8173</v>
      </c>
    </row>
    <row r="657" customFormat="false" ht="15" hidden="false" customHeight="false" outlineLevel="0" collapsed="false">
      <c r="B657" s="36" t="n">
        <v>40031</v>
      </c>
      <c r="C657" s="37" t="n">
        <v>1.834</v>
      </c>
    </row>
    <row r="658" customFormat="false" ht="15" hidden="false" customHeight="false" outlineLevel="0" collapsed="false">
      <c r="B658" s="36" t="n">
        <v>40032</v>
      </c>
      <c r="C658" s="37" t="n">
        <v>1.8224</v>
      </c>
    </row>
    <row r="659" customFormat="false" ht="15" hidden="false" customHeight="false" outlineLevel="0" collapsed="false">
      <c r="B659" s="36" t="n">
        <v>40035</v>
      </c>
      <c r="C659" s="37" t="n">
        <v>1.8404</v>
      </c>
    </row>
    <row r="660" customFormat="false" ht="15" hidden="false" customHeight="false" outlineLevel="0" collapsed="false">
      <c r="B660" s="36" t="n">
        <v>40036</v>
      </c>
      <c r="C660" s="37" t="n">
        <v>1.8449</v>
      </c>
    </row>
    <row r="661" customFormat="false" ht="15" hidden="false" customHeight="false" outlineLevel="0" collapsed="false">
      <c r="B661" s="36" t="n">
        <v>40037</v>
      </c>
      <c r="C661" s="37" t="n">
        <v>1.8378</v>
      </c>
    </row>
    <row r="662" customFormat="false" ht="15" hidden="false" customHeight="false" outlineLevel="0" collapsed="false">
      <c r="B662" s="36" t="n">
        <v>40038</v>
      </c>
      <c r="C662" s="37" t="n">
        <v>1.8317</v>
      </c>
    </row>
    <row r="663" customFormat="false" ht="15" hidden="false" customHeight="false" outlineLevel="0" collapsed="false">
      <c r="B663" s="36" t="n">
        <v>40039</v>
      </c>
      <c r="C663" s="37" t="n">
        <v>1.8377</v>
      </c>
    </row>
    <row r="664" customFormat="false" ht="15" hidden="false" customHeight="false" outlineLevel="0" collapsed="false">
      <c r="B664" s="36" t="n">
        <v>40042</v>
      </c>
      <c r="C664" s="37" t="n">
        <v>1.8674</v>
      </c>
    </row>
    <row r="665" customFormat="false" ht="15" hidden="false" customHeight="false" outlineLevel="0" collapsed="false">
      <c r="B665" s="36" t="n">
        <v>40043</v>
      </c>
      <c r="C665" s="37" t="n">
        <v>1.8566</v>
      </c>
    </row>
    <row r="666" customFormat="false" ht="15" hidden="false" customHeight="false" outlineLevel="0" collapsed="false">
      <c r="B666" s="36" t="n">
        <v>40044</v>
      </c>
      <c r="C666" s="37" t="n">
        <v>1.8425</v>
      </c>
    </row>
    <row r="667" customFormat="false" ht="15" hidden="false" customHeight="false" outlineLevel="0" collapsed="false">
      <c r="B667" s="36" t="n">
        <v>40045</v>
      </c>
      <c r="C667" s="37" t="n">
        <v>1.8426</v>
      </c>
    </row>
    <row r="668" customFormat="false" ht="15" hidden="false" customHeight="false" outlineLevel="0" collapsed="false">
      <c r="B668" s="36" t="n">
        <v>40046</v>
      </c>
      <c r="C668" s="37" t="n">
        <v>1.8289</v>
      </c>
    </row>
    <row r="669" customFormat="false" ht="15" hidden="false" customHeight="false" outlineLevel="0" collapsed="false">
      <c r="B669" s="36" t="n">
        <v>40049</v>
      </c>
      <c r="C669" s="37" t="n">
        <v>1.8331</v>
      </c>
    </row>
    <row r="670" customFormat="false" ht="15" hidden="false" customHeight="false" outlineLevel="0" collapsed="false">
      <c r="B670" s="36" t="n">
        <v>40050</v>
      </c>
      <c r="C670" s="37" t="n">
        <v>1.8411</v>
      </c>
    </row>
    <row r="671" customFormat="false" ht="15" hidden="false" customHeight="false" outlineLevel="0" collapsed="false">
      <c r="B671" s="36" t="n">
        <v>40051</v>
      </c>
      <c r="C671" s="37" t="n">
        <v>1.8662</v>
      </c>
    </row>
    <row r="672" customFormat="false" ht="15" hidden="false" customHeight="false" outlineLevel="0" collapsed="false">
      <c r="B672" s="36" t="n">
        <v>40052</v>
      </c>
      <c r="C672" s="37" t="n">
        <v>1.8661</v>
      </c>
    </row>
    <row r="673" customFormat="false" ht="15" hidden="false" customHeight="false" outlineLevel="0" collapsed="false">
      <c r="B673" s="36" t="n">
        <v>40053</v>
      </c>
      <c r="C673" s="37" t="n">
        <v>1.8732</v>
      </c>
    </row>
    <row r="674" customFormat="false" ht="15" hidden="false" customHeight="false" outlineLevel="0" collapsed="false">
      <c r="B674" s="36" t="n">
        <v>40056</v>
      </c>
      <c r="C674" s="37" t="n">
        <v>1.8856</v>
      </c>
    </row>
    <row r="675" customFormat="false" ht="15" hidden="false" customHeight="false" outlineLevel="0" collapsed="false">
      <c r="B675" s="36" t="n">
        <v>40057</v>
      </c>
      <c r="C675" s="37" t="n">
        <v>1.8821</v>
      </c>
    </row>
    <row r="676" customFormat="false" ht="15" hidden="false" customHeight="false" outlineLevel="0" collapsed="false">
      <c r="B676" s="36" t="n">
        <v>40058</v>
      </c>
      <c r="C676" s="37" t="n">
        <v>1.903</v>
      </c>
    </row>
    <row r="677" customFormat="false" ht="15" hidden="false" customHeight="false" outlineLevel="0" collapsed="false">
      <c r="B677" s="36" t="n">
        <v>40059</v>
      </c>
      <c r="C677" s="37" t="n">
        <v>1.8694</v>
      </c>
    </row>
    <row r="678" customFormat="false" ht="15" hidden="false" customHeight="false" outlineLevel="0" collapsed="false">
      <c r="B678" s="36" t="n">
        <v>40060</v>
      </c>
      <c r="C678" s="37" t="n">
        <v>1.8493</v>
      </c>
    </row>
    <row r="679" customFormat="false" ht="15" hidden="false" customHeight="false" outlineLevel="0" collapsed="false">
      <c r="B679" s="36" t="n">
        <v>40064</v>
      </c>
      <c r="C679" s="37" t="n">
        <v>1.8246</v>
      </c>
    </row>
    <row r="680" customFormat="false" ht="15" hidden="false" customHeight="false" outlineLevel="0" collapsed="false">
      <c r="B680" s="36" t="n">
        <v>40065</v>
      </c>
      <c r="C680" s="37" t="n">
        <v>1.8272</v>
      </c>
    </row>
    <row r="681" customFormat="false" ht="15" hidden="false" customHeight="false" outlineLevel="0" collapsed="false">
      <c r="B681" s="36" t="n">
        <v>40066</v>
      </c>
      <c r="C681" s="37" t="n">
        <v>1.8253</v>
      </c>
    </row>
    <row r="682" customFormat="false" ht="15" hidden="false" customHeight="false" outlineLevel="0" collapsed="false">
      <c r="B682" s="36" t="n">
        <v>40067</v>
      </c>
      <c r="C682" s="37" t="n">
        <v>1.8171</v>
      </c>
    </row>
    <row r="683" customFormat="false" ht="15" hidden="false" customHeight="false" outlineLevel="0" collapsed="false">
      <c r="B683" s="36" t="n">
        <v>40070</v>
      </c>
      <c r="C683" s="37" t="n">
        <v>1.8189</v>
      </c>
    </row>
    <row r="684" customFormat="false" ht="15" hidden="false" customHeight="false" outlineLevel="0" collapsed="false">
      <c r="B684" s="36" t="n">
        <v>40071</v>
      </c>
      <c r="C684" s="37" t="n">
        <v>1.8079</v>
      </c>
    </row>
    <row r="685" customFormat="false" ht="15" hidden="false" customHeight="false" outlineLevel="0" collapsed="false">
      <c r="B685" s="36" t="n">
        <v>40072</v>
      </c>
      <c r="C685" s="37" t="n">
        <v>1.7976</v>
      </c>
    </row>
    <row r="686" customFormat="false" ht="15" hidden="false" customHeight="false" outlineLevel="0" collapsed="false">
      <c r="B686" s="36" t="n">
        <v>40073</v>
      </c>
      <c r="C686" s="37" t="n">
        <v>1.8086</v>
      </c>
    </row>
    <row r="687" customFormat="false" ht="15" hidden="false" customHeight="false" outlineLevel="0" collapsed="false">
      <c r="B687" s="36" t="n">
        <v>40074</v>
      </c>
      <c r="C687" s="37" t="n">
        <v>1.8041</v>
      </c>
    </row>
    <row r="688" customFormat="false" ht="15" hidden="false" customHeight="false" outlineLevel="0" collapsed="false">
      <c r="B688" s="36" t="n">
        <v>40077</v>
      </c>
      <c r="C688" s="37" t="n">
        <v>1.8164</v>
      </c>
    </row>
    <row r="689" customFormat="false" ht="15" hidden="false" customHeight="false" outlineLevel="0" collapsed="false">
      <c r="B689" s="36" t="n">
        <v>40078</v>
      </c>
      <c r="C689" s="37" t="n">
        <v>1.8053</v>
      </c>
    </row>
    <row r="690" customFormat="false" ht="15" hidden="false" customHeight="false" outlineLevel="0" collapsed="false">
      <c r="B690" s="36" t="n">
        <v>40079</v>
      </c>
      <c r="C690" s="37" t="n">
        <v>1.7908</v>
      </c>
    </row>
    <row r="691" customFormat="false" ht="15" hidden="false" customHeight="false" outlineLevel="0" collapsed="false">
      <c r="B691" s="36" t="n">
        <v>40080</v>
      </c>
      <c r="C691" s="37" t="n">
        <v>1.7909</v>
      </c>
    </row>
    <row r="692" customFormat="false" ht="15" hidden="false" customHeight="false" outlineLevel="0" collapsed="false">
      <c r="B692" s="36" t="n">
        <v>40081</v>
      </c>
      <c r="C692" s="37" t="n">
        <v>1.8009</v>
      </c>
    </row>
    <row r="693" customFormat="false" ht="15" hidden="false" customHeight="false" outlineLevel="0" collapsed="false">
      <c r="B693" s="36" t="n">
        <v>40084</v>
      </c>
      <c r="C693" s="37" t="n">
        <v>1.7902</v>
      </c>
    </row>
    <row r="694" customFormat="false" ht="15" hidden="false" customHeight="false" outlineLevel="0" collapsed="false">
      <c r="B694" s="36" t="n">
        <v>40085</v>
      </c>
      <c r="C694" s="37" t="n">
        <v>1.792</v>
      </c>
    </row>
    <row r="695" customFormat="false" ht="15" hidden="false" customHeight="false" outlineLevel="0" collapsed="false">
      <c r="B695" s="36" t="n">
        <v>40086</v>
      </c>
      <c r="C695" s="37" t="n">
        <v>1.7773</v>
      </c>
    </row>
    <row r="696" customFormat="false" ht="15" hidden="false" customHeight="false" outlineLevel="0" collapsed="false">
      <c r="B696" s="36" t="n">
        <v>40087</v>
      </c>
      <c r="C696" s="37" t="n">
        <v>1.7786</v>
      </c>
    </row>
    <row r="697" customFormat="false" ht="15" hidden="false" customHeight="false" outlineLevel="0" collapsed="false">
      <c r="B697" s="36" t="n">
        <v>40088</v>
      </c>
      <c r="C697" s="37" t="n">
        <v>1.7836</v>
      </c>
    </row>
    <row r="698" customFormat="false" ht="15" hidden="false" customHeight="false" outlineLevel="0" collapsed="false">
      <c r="B698" s="36" t="n">
        <v>40091</v>
      </c>
      <c r="C698" s="37" t="n">
        <v>1.7665</v>
      </c>
    </row>
    <row r="699" customFormat="false" ht="15" hidden="false" customHeight="false" outlineLevel="0" collapsed="false">
      <c r="B699" s="36" t="n">
        <v>40092</v>
      </c>
      <c r="C699" s="37" t="n">
        <v>1.7525</v>
      </c>
    </row>
    <row r="700" customFormat="false" ht="15" hidden="false" customHeight="false" outlineLevel="0" collapsed="false">
      <c r="B700" s="36" t="n">
        <v>40093</v>
      </c>
      <c r="C700" s="37" t="n">
        <v>1.7587</v>
      </c>
    </row>
    <row r="701" customFormat="false" ht="15" hidden="false" customHeight="false" outlineLevel="0" collapsed="false">
      <c r="B701" s="36" t="n">
        <v>40094</v>
      </c>
      <c r="C701" s="37" t="n">
        <v>1.7404</v>
      </c>
    </row>
    <row r="702" customFormat="false" ht="15" hidden="false" customHeight="false" outlineLevel="0" collapsed="false">
      <c r="B702" s="36" t="n">
        <v>40095</v>
      </c>
      <c r="C702" s="37" t="n">
        <v>1.7381</v>
      </c>
    </row>
    <row r="703" customFormat="false" ht="15" hidden="false" customHeight="false" outlineLevel="0" collapsed="false">
      <c r="B703" s="36" t="n">
        <v>40099</v>
      </c>
      <c r="C703" s="37" t="n">
        <v>1.729</v>
      </c>
    </row>
    <row r="704" customFormat="false" ht="15" hidden="false" customHeight="false" outlineLevel="0" collapsed="false">
      <c r="B704" s="36" t="n">
        <v>40100</v>
      </c>
      <c r="C704" s="37" t="n">
        <v>1.7091</v>
      </c>
    </row>
    <row r="705" customFormat="false" ht="15" hidden="false" customHeight="false" outlineLevel="0" collapsed="false">
      <c r="B705" s="36" t="n">
        <v>40101</v>
      </c>
      <c r="C705" s="37" t="n">
        <v>1.7029</v>
      </c>
    </row>
    <row r="706" customFormat="false" ht="15" hidden="false" customHeight="false" outlineLevel="0" collapsed="false">
      <c r="B706" s="36" t="n">
        <v>40102</v>
      </c>
      <c r="C706" s="37" t="n">
        <v>1.7127</v>
      </c>
    </row>
    <row r="707" customFormat="false" ht="15" hidden="false" customHeight="false" outlineLevel="0" collapsed="false">
      <c r="B707" s="36" t="n">
        <v>40105</v>
      </c>
      <c r="C707" s="37" t="n">
        <v>1.7122</v>
      </c>
    </row>
    <row r="708" customFormat="false" ht="15" hidden="false" customHeight="false" outlineLevel="0" collapsed="false">
      <c r="B708" s="36" t="n">
        <v>40106</v>
      </c>
      <c r="C708" s="37" t="n">
        <v>1.7442</v>
      </c>
    </row>
    <row r="709" customFormat="false" ht="15" hidden="false" customHeight="false" outlineLevel="0" collapsed="false">
      <c r="B709" s="36" t="n">
        <v>40107</v>
      </c>
      <c r="C709" s="37" t="n">
        <v>1.7432</v>
      </c>
    </row>
    <row r="710" customFormat="false" ht="15" hidden="false" customHeight="false" outlineLevel="0" collapsed="false">
      <c r="B710" s="36" t="n">
        <v>40108</v>
      </c>
      <c r="C710" s="37" t="n">
        <v>1.7296</v>
      </c>
    </row>
    <row r="711" customFormat="false" ht="15" hidden="false" customHeight="false" outlineLevel="0" collapsed="false">
      <c r="B711" s="36" t="n">
        <v>40109</v>
      </c>
      <c r="C711" s="37" t="n">
        <v>1.7105</v>
      </c>
    </row>
    <row r="712" customFormat="false" ht="15" hidden="false" customHeight="false" outlineLevel="0" collapsed="false">
      <c r="B712" s="36" t="n">
        <v>40112</v>
      </c>
      <c r="C712" s="37" t="n">
        <v>1.7149</v>
      </c>
    </row>
    <row r="713" customFormat="false" ht="15" hidden="false" customHeight="false" outlineLevel="0" collapsed="false">
      <c r="B713" s="36" t="n">
        <v>40113</v>
      </c>
      <c r="C713" s="37" t="n">
        <v>1.7334</v>
      </c>
    </row>
    <row r="714" customFormat="false" ht="15" hidden="false" customHeight="false" outlineLevel="0" collapsed="false">
      <c r="B714" s="36" t="n">
        <v>40114</v>
      </c>
      <c r="C714" s="37" t="n">
        <v>1.7439</v>
      </c>
    </row>
    <row r="715" customFormat="false" ht="15" hidden="false" customHeight="false" outlineLevel="0" collapsed="false">
      <c r="B715" s="36" t="n">
        <v>40115</v>
      </c>
      <c r="C715" s="37" t="n">
        <v>1.7428</v>
      </c>
    </row>
    <row r="716" customFormat="false" ht="15" hidden="false" customHeight="false" outlineLevel="0" collapsed="false">
      <c r="B716" s="36" t="n">
        <v>40116</v>
      </c>
      <c r="C716" s="37" t="n">
        <v>1.7432</v>
      </c>
    </row>
    <row r="717" customFormat="false" ht="15" hidden="false" customHeight="false" outlineLevel="0" collapsed="false">
      <c r="B717" s="36" t="n">
        <v>40120</v>
      </c>
      <c r="C717" s="37" t="n">
        <v>1.758</v>
      </c>
    </row>
    <row r="718" customFormat="false" ht="15" hidden="false" customHeight="false" outlineLevel="0" collapsed="false">
      <c r="B718" s="36" t="n">
        <v>40121</v>
      </c>
      <c r="C718" s="37" t="n">
        <v>1.7263</v>
      </c>
    </row>
    <row r="719" customFormat="false" ht="15" hidden="false" customHeight="false" outlineLevel="0" collapsed="false">
      <c r="B719" s="36" t="n">
        <v>40122</v>
      </c>
      <c r="C719" s="37" t="n">
        <v>1.7232</v>
      </c>
    </row>
    <row r="720" customFormat="false" ht="15" hidden="false" customHeight="false" outlineLevel="0" collapsed="false">
      <c r="B720" s="36" t="n">
        <v>40123</v>
      </c>
      <c r="C720" s="37" t="n">
        <v>1.7171</v>
      </c>
    </row>
    <row r="721" customFormat="false" ht="15" hidden="false" customHeight="false" outlineLevel="0" collapsed="false">
      <c r="B721" s="36" t="n">
        <v>40126</v>
      </c>
      <c r="C721" s="37" t="n">
        <v>1.7016</v>
      </c>
    </row>
    <row r="722" customFormat="false" ht="15" hidden="false" customHeight="false" outlineLevel="0" collapsed="false">
      <c r="B722" s="36" t="n">
        <v>40127</v>
      </c>
      <c r="C722" s="37" t="n">
        <v>1.7088</v>
      </c>
    </row>
    <row r="723" customFormat="false" ht="15" hidden="false" customHeight="false" outlineLevel="0" collapsed="false">
      <c r="B723" s="36" t="n">
        <v>40128</v>
      </c>
      <c r="C723" s="37" t="n">
        <v>1.7104</v>
      </c>
    </row>
    <row r="724" customFormat="false" ht="15" hidden="false" customHeight="false" outlineLevel="0" collapsed="false">
      <c r="B724" s="36" t="n">
        <v>40129</v>
      </c>
      <c r="C724" s="37" t="n">
        <v>1.7242</v>
      </c>
    </row>
    <row r="725" customFormat="false" ht="15" hidden="false" customHeight="false" outlineLevel="0" collapsed="false">
      <c r="B725" s="36" t="n">
        <v>40130</v>
      </c>
      <c r="C725" s="37" t="n">
        <v>1.7282</v>
      </c>
    </row>
    <row r="726" customFormat="false" ht="15" hidden="false" customHeight="false" outlineLevel="0" collapsed="false">
      <c r="B726" s="36" t="n">
        <v>40133</v>
      </c>
      <c r="C726" s="37" t="n">
        <v>1.7119</v>
      </c>
    </row>
    <row r="727" customFormat="false" ht="15" hidden="false" customHeight="false" outlineLevel="0" collapsed="false">
      <c r="B727" s="36" t="n">
        <v>40134</v>
      </c>
      <c r="C727" s="37" t="n">
        <v>1.7145</v>
      </c>
    </row>
    <row r="728" customFormat="false" ht="15" hidden="false" customHeight="false" outlineLevel="0" collapsed="false">
      <c r="B728" s="36" t="n">
        <v>40135</v>
      </c>
      <c r="C728" s="37" t="n">
        <v>1.7095</v>
      </c>
    </row>
    <row r="729" customFormat="false" ht="15" hidden="false" customHeight="false" outlineLevel="0" collapsed="false">
      <c r="B729" s="36" t="n">
        <v>40136</v>
      </c>
      <c r="C729" s="37" t="n">
        <v>1.7279</v>
      </c>
    </row>
    <row r="730" customFormat="false" ht="15" hidden="false" customHeight="false" outlineLevel="0" collapsed="false">
      <c r="B730" s="36" t="n">
        <v>40137</v>
      </c>
      <c r="C730" s="37" t="n">
        <v>1.7348</v>
      </c>
    </row>
    <row r="731" customFormat="false" ht="15" hidden="false" customHeight="false" outlineLevel="0" collapsed="false">
      <c r="B731" s="36" t="n">
        <v>40140</v>
      </c>
      <c r="C731" s="37" t="n">
        <v>1.7237</v>
      </c>
    </row>
    <row r="732" customFormat="false" ht="15" hidden="false" customHeight="false" outlineLevel="0" collapsed="false">
      <c r="B732" s="36" t="n">
        <v>40141</v>
      </c>
      <c r="C732" s="37" t="n">
        <v>1.7274</v>
      </c>
    </row>
    <row r="733" customFormat="false" ht="15" hidden="false" customHeight="false" outlineLevel="0" collapsed="false">
      <c r="B733" s="36" t="n">
        <v>40142</v>
      </c>
      <c r="C733" s="37" t="n">
        <v>1.7264</v>
      </c>
    </row>
    <row r="734" customFormat="false" ht="15" hidden="false" customHeight="false" outlineLevel="0" collapsed="false">
      <c r="B734" s="36" t="n">
        <v>40143</v>
      </c>
      <c r="C734" s="37" t="n">
        <v>1.7401</v>
      </c>
    </row>
    <row r="735" customFormat="false" ht="15" hidden="false" customHeight="false" outlineLevel="0" collapsed="false">
      <c r="B735" s="36" t="n">
        <v>40144</v>
      </c>
      <c r="C735" s="37" t="n">
        <v>1.7435</v>
      </c>
    </row>
    <row r="736" customFormat="false" ht="15" hidden="false" customHeight="false" outlineLevel="0" collapsed="false">
      <c r="B736" s="36" t="n">
        <v>40147</v>
      </c>
      <c r="C736" s="37" t="n">
        <v>1.7497</v>
      </c>
    </row>
    <row r="737" customFormat="false" ht="15" hidden="false" customHeight="false" outlineLevel="0" collapsed="false">
      <c r="B737" s="36" t="n">
        <v>40148</v>
      </c>
      <c r="C737" s="37" t="n">
        <v>1.7285</v>
      </c>
    </row>
    <row r="738" customFormat="false" ht="15" hidden="false" customHeight="false" outlineLevel="0" collapsed="false">
      <c r="B738" s="36" t="n">
        <v>40149</v>
      </c>
      <c r="C738" s="37" t="n">
        <v>1.7193</v>
      </c>
    </row>
    <row r="739" customFormat="false" ht="15" hidden="false" customHeight="false" outlineLevel="0" collapsed="false">
      <c r="B739" s="36" t="n">
        <v>40150</v>
      </c>
      <c r="C739" s="37" t="n">
        <v>1.7088</v>
      </c>
    </row>
    <row r="740" customFormat="false" ht="15" hidden="false" customHeight="false" outlineLevel="0" collapsed="false">
      <c r="B740" s="36" t="n">
        <v>40151</v>
      </c>
      <c r="C740" s="37" t="n">
        <v>1.7123</v>
      </c>
    </row>
    <row r="741" customFormat="false" ht="15" hidden="false" customHeight="false" outlineLevel="0" collapsed="false">
      <c r="B741" s="36" t="n">
        <v>40154</v>
      </c>
      <c r="C741" s="37" t="n">
        <v>1.7294</v>
      </c>
    </row>
    <row r="742" customFormat="false" ht="15" hidden="false" customHeight="false" outlineLevel="0" collapsed="false">
      <c r="B742" s="36" t="n">
        <v>40155</v>
      </c>
      <c r="C742" s="37" t="n">
        <v>1.7474</v>
      </c>
    </row>
    <row r="743" customFormat="false" ht="15" hidden="false" customHeight="false" outlineLevel="0" collapsed="false">
      <c r="B743" s="36" t="n">
        <v>40156</v>
      </c>
      <c r="C743" s="37" t="n">
        <v>1.7603</v>
      </c>
    </row>
    <row r="744" customFormat="false" ht="15" hidden="false" customHeight="false" outlineLevel="0" collapsed="false">
      <c r="B744" s="36" t="n">
        <v>40157</v>
      </c>
      <c r="C744" s="37" t="n">
        <v>1.7619</v>
      </c>
    </row>
    <row r="745" customFormat="false" ht="15" hidden="false" customHeight="false" outlineLevel="0" collapsed="false">
      <c r="B745" s="36" t="n">
        <v>40158</v>
      </c>
      <c r="C745" s="37" t="n">
        <v>1.7513</v>
      </c>
    </row>
    <row r="746" customFormat="false" ht="15" hidden="false" customHeight="false" outlineLevel="0" collapsed="false">
      <c r="B746" s="36" t="n">
        <v>40161</v>
      </c>
      <c r="C746" s="37" t="n">
        <v>1.7475</v>
      </c>
    </row>
    <row r="747" customFormat="false" ht="15" hidden="false" customHeight="false" outlineLevel="0" collapsed="false">
      <c r="B747" s="36" t="n">
        <v>40162</v>
      </c>
      <c r="C747" s="37" t="n">
        <v>1.7549</v>
      </c>
    </row>
    <row r="748" customFormat="false" ht="15" hidden="false" customHeight="false" outlineLevel="0" collapsed="false">
      <c r="B748" s="36" t="n">
        <v>40163</v>
      </c>
      <c r="C748" s="37" t="n">
        <v>1.751</v>
      </c>
    </row>
    <row r="749" customFormat="false" ht="15" hidden="false" customHeight="false" outlineLevel="0" collapsed="false">
      <c r="B749" s="36" t="n">
        <v>40164</v>
      </c>
      <c r="C749" s="37" t="n">
        <v>1.7815</v>
      </c>
    </row>
    <row r="750" customFormat="false" ht="15" hidden="false" customHeight="false" outlineLevel="0" collapsed="false">
      <c r="B750" s="36" t="n">
        <v>40165</v>
      </c>
      <c r="C750" s="37" t="n">
        <v>1.7871</v>
      </c>
    </row>
    <row r="751" customFormat="false" ht="15" hidden="false" customHeight="false" outlineLevel="0" collapsed="false">
      <c r="B751" s="36" t="n">
        <v>40168</v>
      </c>
      <c r="C751" s="37" t="n">
        <v>1.7779</v>
      </c>
    </row>
    <row r="752" customFormat="false" ht="15" hidden="false" customHeight="false" outlineLevel="0" collapsed="false">
      <c r="B752" s="36" t="n">
        <v>40169</v>
      </c>
      <c r="C752" s="37" t="n">
        <v>1.7817</v>
      </c>
    </row>
    <row r="753" customFormat="false" ht="15" hidden="false" customHeight="false" outlineLevel="0" collapsed="false">
      <c r="B753" s="36" t="n">
        <v>40170</v>
      </c>
      <c r="C753" s="37" t="n">
        <v>1.7755</v>
      </c>
    </row>
    <row r="754" customFormat="false" ht="15" hidden="false" customHeight="false" outlineLevel="0" collapsed="false">
      <c r="B754" s="36" t="n">
        <v>40171</v>
      </c>
      <c r="C754" s="37" t="n">
        <v>1.7519</v>
      </c>
    </row>
    <row r="755" customFormat="false" ht="15" hidden="false" customHeight="false" outlineLevel="0" collapsed="false">
      <c r="B755" s="36" t="n">
        <v>40175</v>
      </c>
      <c r="C755" s="37" t="n">
        <v>1.739</v>
      </c>
    </row>
    <row r="756" customFormat="false" ht="15" hidden="false" customHeight="false" outlineLevel="0" collapsed="false">
      <c r="B756" s="36" t="n">
        <v>40176</v>
      </c>
      <c r="C756" s="37" t="n">
        <v>1.7413</v>
      </c>
    </row>
    <row r="757" customFormat="false" ht="15" hidden="false" customHeight="false" outlineLevel="0" collapsed="false">
      <c r="B757" s="36" t="n">
        <v>40177</v>
      </c>
      <c r="C757" s="37" t="n">
        <v>1.7404</v>
      </c>
    </row>
    <row r="758" customFormat="false" ht="15" hidden="false" customHeight="false" outlineLevel="0" collapsed="false">
      <c r="B758" s="36" t="n">
        <v>40178</v>
      </c>
      <c r="C758" s="37" t="n">
        <v>1.7404</v>
      </c>
    </row>
    <row r="759" customFormat="false" ht="15" hidden="false" customHeight="false" outlineLevel="0" collapsed="false">
      <c r="B759" s="36" t="n">
        <v>40182</v>
      </c>
      <c r="C759" s="37" t="n">
        <v>1.7232</v>
      </c>
    </row>
    <row r="760" customFormat="false" ht="15" hidden="false" customHeight="false" outlineLevel="0" collapsed="false">
      <c r="B760" s="36" t="n">
        <v>40183</v>
      </c>
      <c r="C760" s="37" t="n">
        <v>1.7219</v>
      </c>
    </row>
    <row r="761" customFormat="false" ht="15" hidden="false" customHeight="false" outlineLevel="0" collapsed="false">
      <c r="B761" s="36" t="n">
        <v>40184</v>
      </c>
      <c r="C761" s="37" t="n">
        <v>1.7329</v>
      </c>
    </row>
    <row r="762" customFormat="false" ht="15" hidden="false" customHeight="false" outlineLevel="0" collapsed="false">
      <c r="B762" s="36" t="n">
        <v>40185</v>
      </c>
      <c r="C762" s="37" t="n">
        <v>1.7405</v>
      </c>
    </row>
    <row r="763" customFormat="false" ht="15" hidden="false" customHeight="false" outlineLevel="0" collapsed="false">
      <c r="B763" s="36" t="n">
        <v>40186</v>
      </c>
      <c r="C763" s="37" t="n">
        <v>1.7382</v>
      </c>
    </row>
    <row r="764" customFormat="false" ht="15" hidden="false" customHeight="false" outlineLevel="0" collapsed="false">
      <c r="B764" s="36" t="n">
        <v>40189</v>
      </c>
      <c r="C764" s="37" t="n">
        <v>1.7315</v>
      </c>
    </row>
    <row r="765" customFormat="false" ht="15" hidden="false" customHeight="false" outlineLevel="0" collapsed="false">
      <c r="B765" s="36" t="n">
        <v>40190</v>
      </c>
      <c r="C765" s="37" t="n">
        <v>1.7431</v>
      </c>
    </row>
    <row r="766" customFormat="false" ht="15" hidden="false" customHeight="false" outlineLevel="0" collapsed="false">
      <c r="B766" s="36" t="n">
        <v>40191</v>
      </c>
      <c r="C766" s="37" t="n">
        <v>1.7434</v>
      </c>
    </row>
    <row r="767" customFormat="false" ht="15" hidden="false" customHeight="false" outlineLevel="0" collapsed="false">
      <c r="B767" s="36" t="n">
        <v>40192</v>
      </c>
      <c r="C767" s="37" t="n">
        <v>1.764</v>
      </c>
    </row>
    <row r="768" customFormat="false" ht="15" hidden="false" customHeight="false" outlineLevel="0" collapsed="false">
      <c r="B768" s="36" t="n">
        <v>40193</v>
      </c>
      <c r="C768" s="37" t="n">
        <v>1.7703</v>
      </c>
    </row>
    <row r="769" customFormat="false" ht="15" hidden="false" customHeight="false" outlineLevel="0" collapsed="false">
      <c r="B769" s="36" t="n">
        <v>40196</v>
      </c>
      <c r="C769" s="37" t="n">
        <v>1.7713</v>
      </c>
    </row>
    <row r="770" customFormat="false" ht="15" hidden="false" customHeight="false" outlineLevel="0" collapsed="false">
      <c r="B770" s="36" t="n">
        <v>40197</v>
      </c>
      <c r="C770" s="37" t="n">
        <v>1.7739</v>
      </c>
    </row>
    <row r="771" customFormat="false" ht="15" hidden="false" customHeight="false" outlineLevel="0" collapsed="false">
      <c r="B771" s="36" t="n">
        <v>40198</v>
      </c>
      <c r="C771" s="37" t="n">
        <v>1.7846</v>
      </c>
    </row>
    <row r="772" customFormat="false" ht="15" hidden="false" customHeight="false" outlineLevel="0" collapsed="false">
      <c r="B772" s="36" t="n">
        <v>40199</v>
      </c>
      <c r="C772" s="37" t="n">
        <v>1.7895</v>
      </c>
    </row>
    <row r="773" customFormat="false" ht="15" hidden="false" customHeight="false" outlineLevel="0" collapsed="false">
      <c r="B773" s="36" t="n">
        <v>40200</v>
      </c>
      <c r="C773" s="37" t="n">
        <v>1.8179</v>
      </c>
    </row>
    <row r="774" customFormat="false" ht="15" hidden="false" customHeight="false" outlineLevel="0" collapsed="false">
      <c r="B774" s="36" t="n">
        <v>40203</v>
      </c>
      <c r="C774" s="37" t="n">
        <v>1.8186</v>
      </c>
    </row>
    <row r="775" customFormat="false" ht="15" hidden="false" customHeight="false" outlineLevel="0" collapsed="false">
      <c r="B775" s="36" t="n">
        <v>40204</v>
      </c>
      <c r="C775" s="37" t="n">
        <v>1.8359</v>
      </c>
    </row>
    <row r="776" customFormat="false" ht="15" hidden="false" customHeight="false" outlineLevel="0" collapsed="false">
      <c r="B776" s="36" t="n">
        <v>40205</v>
      </c>
      <c r="C776" s="37" t="n">
        <v>1.8505</v>
      </c>
    </row>
    <row r="777" customFormat="false" ht="15" hidden="false" customHeight="false" outlineLevel="0" collapsed="false">
      <c r="B777" s="36" t="n">
        <v>40206</v>
      </c>
      <c r="C777" s="37" t="n">
        <v>1.8552</v>
      </c>
    </row>
    <row r="778" customFormat="false" ht="15" hidden="false" customHeight="false" outlineLevel="0" collapsed="false">
      <c r="B778" s="36" t="n">
        <v>40207</v>
      </c>
      <c r="C778" s="37" t="n">
        <v>1.874</v>
      </c>
    </row>
    <row r="779" customFormat="false" ht="15" hidden="false" customHeight="false" outlineLevel="0" collapsed="false">
      <c r="B779" s="36" t="n">
        <v>40210</v>
      </c>
      <c r="C779" s="37" t="n">
        <v>1.8765</v>
      </c>
    </row>
    <row r="780" customFormat="false" ht="15" hidden="false" customHeight="false" outlineLevel="0" collapsed="false">
      <c r="B780" s="36" t="n">
        <v>40211</v>
      </c>
      <c r="C780" s="37" t="n">
        <v>1.8355</v>
      </c>
    </row>
    <row r="781" customFormat="false" ht="15" hidden="false" customHeight="false" outlineLevel="0" collapsed="false">
      <c r="B781" s="36" t="n">
        <v>40212</v>
      </c>
      <c r="C781" s="37" t="n">
        <v>1.8329</v>
      </c>
    </row>
    <row r="782" customFormat="false" ht="15" hidden="false" customHeight="false" outlineLevel="0" collapsed="false">
      <c r="B782" s="36" t="n">
        <v>40213</v>
      </c>
      <c r="C782" s="37" t="n">
        <v>1.8707</v>
      </c>
    </row>
    <row r="783" customFormat="false" ht="15" hidden="false" customHeight="false" outlineLevel="0" collapsed="false">
      <c r="B783" s="36" t="n">
        <v>40214</v>
      </c>
      <c r="C783" s="37" t="n">
        <v>1.8745</v>
      </c>
    </row>
    <row r="784" customFormat="false" ht="15" hidden="false" customHeight="false" outlineLevel="0" collapsed="false">
      <c r="B784" s="36" t="n">
        <v>40217</v>
      </c>
      <c r="C784" s="37" t="n">
        <v>1.8722</v>
      </c>
    </row>
    <row r="785" customFormat="false" ht="15" hidden="false" customHeight="false" outlineLevel="0" collapsed="false">
      <c r="B785" s="36" t="n">
        <v>40218</v>
      </c>
      <c r="C785" s="37" t="n">
        <v>1.8542</v>
      </c>
    </row>
    <row r="786" customFormat="false" ht="15" hidden="false" customHeight="false" outlineLevel="0" collapsed="false">
      <c r="B786" s="36" t="n">
        <v>40219</v>
      </c>
      <c r="C786" s="37" t="n">
        <v>1.8475</v>
      </c>
    </row>
    <row r="787" customFormat="false" ht="15" hidden="false" customHeight="false" outlineLevel="0" collapsed="false">
      <c r="B787" s="36" t="n">
        <v>40220</v>
      </c>
      <c r="C787" s="37" t="n">
        <v>1.8508</v>
      </c>
    </row>
    <row r="788" customFormat="false" ht="15" hidden="false" customHeight="false" outlineLevel="0" collapsed="false">
      <c r="B788" s="36" t="n">
        <v>40221</v>
      </c>
      <c r="C788" s="37" t="n">
        <v>1.8662</v>
      </c>
    </row>
    <row r="789" customFormat="false" ht="15" hidden="false" customHeight="false" outlineLevel="0" collapsed="false">
      <c r="B789" s="36" t="n">
        <v>40226</v>
      </c>
      <c r="C789" s="37" t="n">
        <v>1.8305</v>
      </c>
    </row>
    <row r="790" customFormat="false" ht="15" hidden="false" customHeight="false" outlineLevel="0" collapsed="false">
      <c r="B790" s="36" t="n">
        <v>40227</v>
      </c>
      <c r="C790" s="37" t="n">
        <v>1.8258</v>
      </c>
    </row>
    <row r="791" customFormat="false" ht="15" hidden="false" customHeight="false" outlineLevel="0" collapsed="false">
      <c r="B791" s="36" t="n">
        <v>40228</v>
      </c>
      <c r="C791" s="37" t="n">
        <v>1.8108</v>
      </c>
    </row>
    <row r="792" customFormat="false" ht="15" hidden="false" customHeight="false" outlineLevel="0" collapsed="false">
      <c r="B792" s="36" t="n">
        <v>40231</v>
      </c>
      <c r="C792" s="37" t="n">
        <v>1.8038</v>
      </c>
    </row>
    <row r="793" customFormat="false" ht="15" hidden="false" customHeight="false" outlineLevel="0" collapsed="false">
      <c r="B793" s="36" t="n">
        <v>40232</v>
      </c>
      <c r="C793" s="37" t="n">
        <v>1.8178</v>
      </c>
    </row>
    <row r="794" customFormat="false" ht="15" hidden="false" customHeight="false" outlineLevel="0" collapsed="false">
      <c r="B794" s="36" t="n">
        <v>40233</v>
      </c>
      <c r="C794" s="37" t="n">
        <v>1.8195</v>
      </c>
    </row>
    <row r="795" customFormat="false" ht="15" hidden="false" customHeight="false" outlineLevel="0" collapsed="false">
      <c r="B795" s="36" t="n">
        <v>40234</v>
      </c>
      <c r="C795" s="37" t="n">
        <v>1.8356</v>
      </c>
    </row>
    <row r="796" customFormat="false" ht="15" hidden="false" customHeight="false" outlineLevel="0" collapsed="false">
      <c r="B796" s="36" t="n">
        <v>40235</v>
      </c>
      <c r="C796" s="37" t="n">
        <v>1.8102</v>
      </c>
    </row>
    <row r="797" customFormat="false" ht="15" hidden="false" customHeight="false" outlineLevel="0" collapsed="false">
      <c r="B797" s="36" t="n">
        <v>40238</v>
      </c>
      <c r="C797" s="37" t="n">
        <v>1.7992</v>
      </c>
    </row>
    <row r="798" customFormat="false" ht="15" hidden="false" customHeight="false" outlineLevel="0" collapsed="false">
      <c r="B798" s="36" t="n">
        <v>40239</v>
      </c>
      <c r="C798" s="37" t="n">
        <v>1.7843</v>
      </c>
    </row>
    <row r="799" customFormat="false" ht="15" hidden="false" customHeight="false" outlineLevel="0" collapsed="false">
      <c r="B799" s="36" t="n">
        <v>40240</v>
      </c>
      <c r="C799" s="37" t="n">
        <v>1.7838</v>
      </c>
    </row>
    <row r="800" customFormat="false" ht="15" hidden="false" customHeight="false" outlineLevel="0" collapsed="false">
      <c r="B800" s="36" t="n">
        <v>40241</v>
      </c>
      <c r="C800" s="37" t="n">
        <v>1.788</v>
      </c>
    </row>
    <row r="801" customFormat="false" ht="15" hidden="false" customHeight="false" outlineLevel="0" collapsed="false">
      <c r="B801" s="36" t="n">
        <v>40242</v>
      </c>
      <c r="C801" s="37" t="n">
        <v>1.7816</v>
      </c>
    </row>
    <row r="802" customFormat="false" ht="15" hidden="false" customHeight="false" outlineLevel="0" collapsed="false">
      <c r="B802" s="36" t="n">
        <v>40245</v>
      </c>
      <c r="C802" s="37" t="n">
        <v>1.7818</v>
      </c>
    </row>
    <row r="803" customFormat="false" ht="15" hidden="false" customHeight="false" outlineLevel="0" collapsed="false">
      <c r="B803" s="36" t="n">
        <v>40246</v>
      </c>
      <c r="C803" s="37" t="n">
        <v>1.7891</v>
      </c>
    </row>
    <row r="804" customFormat="false" ht="15" hidden="false" customHeight="false" outlineLevel="0" collapsed="false">
      <c r="B804" s="36" t="n">
        <v>40247</v>
      </c>
      <c r="C804" s="37" t="n">
        <v>1.7708</v>
      </c>
    </row>
    <row r="805" customFormat="false" ht="15" hidden="false" customHeight="false" outlineLevel="0" collapsed="false">
      <c r="B805" s="36" t="n">
        <v>40248</v>
      </c>
      <c r="C805" s="37" t="n">
        <v>1.7685</v>
      </c>
    </row>
    <row r="806" customFormat="false" ht="15" hidden="false" customHeight="false" outlineLevel="0" collapsed="false">
      <c r="B806" s="36" t="n">
        <v>40249</v>
      </c>
      <c r="C806" s="37" t="n">
        <v>1.7629</v>
      </c>
    </row>
    <row r="807" customFormat="false" ht="15" hidden="false" customHeight="false" outlineLevel="0" collapsed="false">
      <c r="B807" s="36" t="n">
        <v>40252</v>
      </c>
      <c r="C807" s="37" t="n">
        <v>1.7636</v>
      </c>
    </row>
    <row r="808" customFormat="false" ht="15" hidden="false" customHeight="false" outlineLevel="0" collapsed="false">
      <c r="B808" s="36" t="n">
        <v>40253</v>
      </c>
      <c r="C808" s="37" t="n">
        <v>1.7658</v>
      </c>
    </row>
    <row r="809" customFormat="false" ht="15" hidden="false" customHeight="false" outlineLevel="0" collapsed="false">
      <c r="B809" s="36" t="n">
        <v>40254</v>
      </c>
      <c r="C809" s="37" t="n">
        <v>1.7632</v>
      </c>
    </row>
    <row r="810" customFormat="false" ht="15" hidden="false" customHeight="false" outlineLevel="0" collapsed="false">
      <c r="B810" s="36" t="n">
        <v>40255</v>
      </c>
      <c r="C810" s="37" t="n">
        <v>1.784</v>
      </c>
    </row>
    <row r="811" customFormat="false" ht="15" hidden="false" customHeight="false" outlineLevel="0" collapsed="false">
      <c r="B811" s="36" t="n">
        <v>40256</v>
      </c>
      <c r="C811" s="37" t="n">
        <v>1.7946</v>
      </c>
    </row>
    <row r="812" customFormat="false" ht="15" hidden="false" customHeight="false" outlineLevel="0" collapsed="false">
      <c r="B812" s="36" t="n">
        <v>40259</v>
      </c>
      <c r="C812" s="37" t="n">
        <v>1.8022</v>
      </c>
    </row>
    <row r="813" customFormat="false" ht="15" hidden="false" customHeight="false" outlineLevel="0" collapsed="false">
      <c r="B813" s="36" t="n">
        <v>40260</v>
      </c>
      <c r="C813" s="37" t="n">
        <v>1.7805</v>
      </c>
    </row>
    <row r="814" customFormat="false" ht="15" hidden="false" customHeight="false" outlineLevel="0" collapsed="false">
      <c r="B814" s="36" t="n">
        <v>40261</v>
      </c>
      <c r="C814" s="37" t="n">
        <v>1.7896</v>
      </c>
    </row>
    <row r="815" customFormat="false" ht="15" hidden="false" customHeight="false" outlineLevel="0" collapsed="false">
      <c r="B815" s="36" t="n">
        <v>40262</v>
      </c>
      <c r="C815" s="37" t="n">
        <v>1.8</v>
      </c>
    </row>
    <row r="816" customFormat="false" ht="15" hidden="false" customHeight="false" outlineLevel="0" collapsed="false">
      <c r="B816" s="36" t="n">
        <v>40263</v>
      </c>
      <c r="C816" s="37" t="n">
        <v>1.8223</v>
      </c>
    </row>
    <row r="817" customFormat="false" ht="15" hidden="false" customHeight="false" outlineLevel="0" collapsed="false">
      <c r="B817" s="36" t="n">
        <v>40266</v>
      </c>
      <c r="C817" s="37" t="n">
        <v>1.8056</v>
      </c>
    </row>
    <row r="818" customFormat="false" ht="15" hidden="false" customHeight="false" outlineLevel="0" collapsed="false">
      <c r="B818" s="36" t="n">
        <v>40267</v>
      </c>
      <c r="C818" s="37" t="n">
        <v>1.7944</v>
      </c>
    </row>
    <row r="819" customFormat="false" ht="15" hidden="false" customHeight="false" outlineLevel="0" collapsed="false">
      <c r="B819" s="36" t="n">
        <v>40268</v>
      </c>
      <c r="C819" s="37" t="n">
        <v>1.7802</v>
      </c>
    </row>
    <row r="820" customFormat="false" ht="15" hidden="false" customHeight="false" outlineLevel="0" collapsed="false">
      <c r="B820" s="36" t="n">
        <v>40269</v>
      </c>
      <c r="C820" s="37" t="n">
        <v>1.7693</v>
      </c>
    </row>
    <row r="821" customFormat="false" ht="15" hidden="false" customHeight="false" outlineLevel="0" collapsed="false">
      <c r="B821" s="36" t="n">
        <v>40273</v>
      </c>
      <c r="C821" s="37" t="n">
        <v>1.7565</v>
      </c>
    </row>
    <row r="822" customFormat="false" ht="15" hidden="false" customHeight="false" outlineLevel="0" collapsed="false">
      <c r="B822" s="36" t="n">
        <v>40274</v>
      </c>
      <c r="C822" s="37" t="n">
        <v>1.7597</v>
      </c>
    </row>
    <row r="823" customFormat="false" ht="15" hidden="false" customHeight="false" outlineLevel="0" collapsed="false">
      <c r="B823" s="36" t="n">
        <v>40275</v>
      </c>
      <c r="C823" s="37" t="n">
        <v>1.7654</v>
      </c>
    </row>
    <row r="824" customFormat="false" ht="15" hidden="false" customHeight="false" outlineLevel="0" collapsed="false">
      <c r="B824" s="36" t="n">
        <v>40276</v>
      </c>
      <c r="C824" s="37" t="n">
        <v>1.7798</v>
      </c>
    </row>
    <row r="825" customFormat="false" ht="15" hidden="false" customHeight="false" outlineLevel="0" collapsed="false">
      <c r="B825" s="36" t="n">
        <v>40277</v>
      </c>
      <c r="C825" s="37" t="n">
        <v>1.7722</v>
      </c>
    </row>
    <row r="826" customFormat="false" ht="15" hidden="false" customHeight="false" outlineLevel="0" collapsed="false">
      <c r="B826" s="36" t="n">
        <v>40280</v>
      </c>
      <c r="C826" s="37" t="n">
        <v>1.76</v>
      </c>
    </row>
    <row r="827" customFormat="false" ht="15" hidden="false" customHeight="false" outlineLevel="0" collapsed="false">
      <c r="B827" s="36" t="n">
        <v>40281</v>
      </c>
      <c r="C827" s="37" t="n">
        <v>1.7576</v>
      </c>
    </row>
    <row r="828" customFormat="false" ht="15" hidden="false" customHeight="false" outlineLevel="0" collapsed="false">
      <c r="B828" s="36" t="n">
        <v>40282</v>
      </c>
      <c r="C828" s="37" t="n">
        <v>1.7438</v>
      </c>
    </row>
    <row r="829" customFormat="false" ht="15" hidden="false" customHeight="false" outlineLevel="0" collapsed="false">
      <c r="B829" s="36" t="n">
        <v>40283</v>
      </c>
      <c r="C829" s="37" t="n">
        <v>1.7475</v>
      </c>
    </row>
    <row r="830" customFormat="false" ht="15" hidden="false" customHeight="false" outlineLevel="0" collapsed="false">
      <c r="B830" s="36" t="n">
        <v>40284</v>
      </c>
      <c r="C830" s="37" t="n">
        <v>1.755</v>
      </c>
    </row>
    <row r="831" customFormat="false" ht="15" hidden="false" customHeight="false" outlineLevel="0" collapsed="false">
      <c r="B831" s="36" t="n">
        <v>40287</v>
      </c>
      <c r="C831" s="37" t="n">
        <v>1.758</v>
      </c>
    </row>
    <row r="832" customFormat="false" ht="15" hidden="false" customHeight="false" outlineLevel="0" collapsed="false">
      <c r="B832" s="36" t="n">
        <v>40288</v>
      </c>
      <c r="C832" s="37" t="n">
        <v>1.7489</v>
      </c>
    </row>
    <row r="833" customFormat="false" ht="15" hidden="false" customHeight="false" outlineLevel="0" collapsed="false">
      <c r="B833" s="36" t="n">
        <v>40290</v>
      </c>
      <c r="C833" s="37" t="n">
        <v>1.7618</v>
      </c>
    </row>
    <row r="834" customFormat="false" ht="15" hidden="false" customHeight="false" outlineLevel="0" collapsed="false">
      <c r="B834" s="36" t="n">
        <v>40291</v>
      </c>
      <c r="C834" s="37" t="n">
        <v>1.7616</v>
      </c>
    </row>
    <row r="835" customFormat="false" ht="15" hidden="false" customHeight="false" outlineLevel="0" collapsed="false">
      <c r="B835" s="36" t="n">
        <v>40294</v>
      </c>
      <c r="C835" s="37" t="n">
        <v>1.7438</v>
      </c>
    </row>
    <row r="836" customFormat="false" ht="15" hidden="false" customHeight="false" outlineLevel="0" collapsed="false">
      <c r="B836" s="36" t="n">
        <v>40295</v>
      </c>
      <c r="C836" s="37" t="n">
        <v>1.7584</v>
      </c>
    </row>
    <row r="837" customFormat="false" ht="15" hidden="false" customHeight="false" outlineLevel="0" collapsed="false">
      <c r="B837" s="36" t="n">
        <v>40296</v>
      </c>
      <c r="C837" s="37" t="n">
        <v>1.755</v>
      </c>
    </row>
    <row r="838" customFormat="false" ht="15" hidden="false" customHeight="false" outlineLevel="0" collapsed="false">
      <c r="B838" s="36" t="n">
        <v>40297</v>
      </c>
      <c r="C838" s="37" t="n">
        <v>1.7313</v>
      </c>
    </row>
    <row r="839" customFormat="false" ht="15" hidden="false" customHeight="false" outlineLevel="0" collapsed="false">
      <c r="B839" s="36" t="n">
        <v>40298</v>
      </c>
      <c r="C839" s="37" t="n">
        <v>1.7298</v>
      </c>
    </row>
    <row r="840" customFormat="false" ht="15" hidden="false" customHeight="false" outlineLevel="0" collapsed="false">
      <c r="B840" s="36" t="n">
        <v>40301</v>
      </c>
      <c r="C840" s="37" t="n">
        <v>1.7307</v>
      </c>
    </row>
    <row r="841" customFormat="false" ht="15" hidden="false" customHeight="false" outlineLevel="0" collapsed="false">
      <c r="B841" s="36" t="n">
        <v>40302</v>
      </c>
      <c r="C841" s="37" t="n">
        <v>1.7549</v>
      </c>
    </row>
    <row r="842" customFormat="false" ht="15" hidden="false" customHeight="false" outlineLevel="0" collapsed="false">
      <c r="B842" s="36" t="n">
        <v>40303</v>
      </c>
      <c r="C842" s="37" t="n">
        <v>1.7854</v>
      </c>
    </row>
    <row r="843" customFormat="false" ht="15" hidden="false" customHeight="false" outlineLevel="0" collapsed="false">
      <c r="B843" s="36" t="n">
        <v>40304</v>
      </c>
      <c r="C843" s="37" t="n">
        <v>1.8345</v>
      </c>
    </row>
    <row r="844" customFormat="false" ht="15" hidden="false" customHeight="false" outlineLevel="0" collapsed="false">
      <c r="B844" s="36" t="n">
        <v>40305</v>
      </c>
      <c r="C844" s="37" t="n">
        <v>1.8335</v>
      </c>
    </row>
    <row r="845" customFormat="false" ht="15" hidden="false" customHeight="false" outlineLevel="0" collapsed="false">
      <c r="B845" s="36" t="n">
        <v>40308</v>
      </c>
      <c r="C845" s="37" t="n">
        <v>1.7825</v>
      </c>
    </row>
    <row r="846" customFormat="false" ht="15" hidden="false" customHeight="false" outlineLevel="0" collapsed="false">
      <c r="B846" s="36" t="n">
        <v>40309</v>
      </c>
      <c r="C846" s="37" t="n">
        <v>1.7835</v>
      </c>
    </row>
    <row r="847" customFormat="false" ht="15" hidden="false" customHeight="false" outlineLevel="0" collapsed="false">
      <c r="B847" s="36" t="n">
        <v>40310</v>
      </c>
      <c r="C847" s="37" t="n">
        <v>1.7715</v>
      </c>
    </row>
    <row r="848" customFormat="false" ht="15" hidden="false" customHeight="false" outlineLevel="0" collapsed="false">
      <c r="B848" s="36" t="n">
        <v>40311</v>
      </c>
      <c r="C848" s="37" t="n">
        <v>1.7729</v>
      </c>
    </row>
    <row r="849" customFormat="false" ht="15" hidden="false" customHeight="false" outlineLevel="0" collapsed="false">
      <c r="B849" s="36" t="n">
        <v>40312</v>
      </c>
      <c r="C849" s="37" t="n">
        <v>1.7959</v>
      </c>
    </row>
    <row r="850" customFormat="false" ht="15" hidden="false" customHeight="false" outlineLevel="0" collapsed="false">
      <c r="B850" s="36" t="n">
        <v>40315</v>
      </c>
      <c r="C850" s="37" t="n">
        <v>1.8037</v>
      </c>
    </row>
    <row r="851" customFormat="false" ht="15" hidden="false" customHeight="false" outlineLevel="0" collapsed="false">
      <c r="B851" s="36" t="n">
        <v>40316</v>
      </c>
      <c r="C851" s="37" t="n">
        <v>1.7913</v>
      </c>
    </row>
    <row r="852" customFormat="false" ht="15" hidden="false" customHeight="false" outlineLevel="0" collapsed="false">
      <c r="B852" s="36" t="n">
        <v>40317</v>
      </c>
      <c r="C852" s="37" t="n">
        <v>1.8358</v>
      </c>
    </row>
    <row r="853" customFormat="false" ht="15" hidden="false" customHeight="false" outlineLevel="0" collapsed="false">
      <c r="B853" s="36" t="n">
        <v>40318</v>
      </c>
      <c r="C853" s="37" t="n">
        <v>1.8669</v>
      </c>
    </row>
    <row r="854" customFormat="false" ht="15" hidden="false" customHeight="false" outlineLevel="0" collapsed="false">
      <c r="B854" s="36" t="n">
        <v>40319</v>
      </c>
      <c r="C854" s="37" t="n">
        <v>1.8702</v>
      </c>
    </row>
    <row r="855" customFormat="false" ht="15" hidden="false" customHeight="false" outlineLevel="0" collapsed="false">
      <c r="B855" s="36" t="n">
        <v>40322</v>
      </c>
      <c r="C855" s="37" t="n">
        <v>1.8514</v>
      </c>
    </row>
    <row r="856" customFormat="false" ht="15" hidden="false" customHeight="false" outlineLevel="0" collapsed="false">
      <c r="B856" s="36" t="n">
        <v>40323</v>
      </c>
      <c r="C856" s="37" t="n">
        <v>1.8803</v>
      </c>
    </row>
    <row r="857" customFormat="false" ht="15" hidden="false" customHeight="false" outlineLevel="0" collapsed="false">
      <c r="B857" s="36" t="n">
        <v>40324</v>
      </c>
      <c r="C857" s="37" t="n">
        <v>1.8453</v>
      </c>
    </row>
    <row r="858" customFormat="false" ht="15" hidden="false" customHeight="false" outlineLevel="0" collapsed="false">
      <c r="B858" s="36" t="n">
        <v>40325</v>
      </c>
      <c r="C858" s="37" t="n">
        <v>1.832</v>
      </c>
    </row>
    <row r="859" customFormat="false" ht="15" hidden="false" customHeight="false" outlineLevel="0" collapsed="false">
      <c r="B859" s="36" t="n">
        <v>40326</v>
      </c>
      <c r="C859" s="37" t="n">
        <v>1.8221</v>
      </c>
    </row>
    <row r="860" customFormat="false" ht="15" hidden="false" customHeight="false" outlineLevel="0" collapsed="false">
      <c r="B860" s="36" t="n">
        <v>40329</v>
      </c>
      <c r="C860" s="37" t="n">
        <v>1.8159</v>
      </c>
    </row>
    <row r="861" customFormat="false" ht="15" hidden="false" customHeight="false" outlineLevel="0" collapsed="false">
      <c r="B861" s="36" t="n">
        <v>40330</v>
      </c>
      <c r="C861" s="37" t="n">
        <v>1.8247</v>
      </c>
    </row>
    <row r="862" customFormat="false" ht="15" hidden="false" customHeight="false" outlineLevel="0" collapsed="false">
      <c r="B862" s="36" t="n">
        <v>40331</v>
      </c>
      <c r="C862" s="37" t="n">
        <v>1.8354</v>
      </c>
    </row>
    <row r="863" customFormat="false" ht="15" hidden="false" customHeight="false" outlineLevel="0" collapsed="false">
      <c r="B863" s="36" t="n">
        <v>40333</v>
      </c>
      <c r="C863" s="37" t="n">
        <v>1.8393</v>
      </c>
    </row>
    <row r="864" customFormat="false" ht="15" hidden="false" customHeight="false" outlineLevel="0" collapsed="false">
      <c r="B864" s="36" t="n">
        <v>40336</v>
      </c>
      <c r="C864" s="37" t="n">
        <v>1.8626</v>
      </c>
    </row>
    <row r="865" customFormat="false" ht="15" hidden="false" customHeight="false" outlineLevel="0" collapsed="false">
      <c r="B865" s="36" t="n">
        <v>40337</v>
      </c>
      <c r="C865" s="37" t="n">
        <v>1.865</v>
      </c>
    </row>
    <row r="866" customFormat="false" ht="15" hidden="false" customHeight="false" outlineLevel="0" collapsed="false">
      <c r="B866" s="36" t="n">
        <v>40338</v>
      </c>
      <c r="C866" s="37" t="n">
        <v>1.8415</v>
      </c>
    </row>
    <row r="867" customFormat="false" ht="15" hidden="false" customHeight="false" outlineLevel="0" collapsed="false">
      <c r="B867" s="36" t="n">
        <v>40339</v>
      </c>
      <c r="C867" s="37" t="n">
        <v>1.8177</v>
      </c>
    </row>
    <row r="868" customFormat="false" ht="15" hidden="false" customHeight="false" outlineLevel="0" collapsed="false">
      <c r="B868" s="36" t="n">
        <v>40340</v>
      </c>
      <c r="C868" s="37" t="n">
        <v>1.8117</v>
      </c>
    </row>
    <row r="869" customFormat="false" ht="15" hidden="false" customHeight="false" outlineLevel="0" collapsed="false">
      <c r="B869" s="36" t="n">
        <v>40343</v>
      </c>
      <c r="C869" s="37" t="n">
        <v>1.8022</v>
      </c>
    </row>
    <row r="870" customFormat="false" ht="15" hidden="false" customHeight="false" outlineLevel="0" collapsed="false">
      <c r="B870" s="36" t="n">
        <v>40344</v>
      </c>
      <c r="C870" s="37" t="n">
        <v>1.7963</v>
      </c>
    </row>
    <row r="871" customFormat="false" ht="15" hidden="false" customHeight="false" outlineLevel="0" collapsed="false">
      <c r="B871" s="36" t="n">
        <v>40345</v>
      </c>
      <c r="C871" s="37" t="n">
        <v>1.7885</v>
      </c>
    </row>
    <row r="872" customFormat="false" ht="15" hidden="false" customHeight="false" outlineLevel="0" collapsed="false">
      <c r="B872" s="36" t="n">
        <v>40346</v>
      </c>
      <c r="C872" s="37" t="n">
        <v>1.7809</v>
      </c>
    </row>
    <row r="873" customFormat="false" ht="15" hidden="false" customHeight="false" outlineLevel="0" collapsed="false">
      <c r="B873" s="36" t="n">
        <v>40347</v>
      </c>
      <c r="C873" s="37" t="n">
        <v>1.7753</v>
      </c>
    </row>
    <row r="874" customFormat="false" ht="15" hidden="false" customHeight="false" outlineLevel="0" collapsed="false">
      <c r="B874" s="36" t="n">
        <v>40350</v>
      </c>
      <c r="C874" s="37" t="n">
        <v>1.7655</v>
      </c>
    </row>
    <row r="875" customFormat="false" ht="15" hidden="false" customHeight="false" outlineLevel="0" collapsed="false">
      <c r="B875" s="36" t="n">
        <v>40351</v>
      </c>
      <c r="C875" s="37" t="n">
        <v>1.7672</v>
      </c>
    </row>
    <row r="876" customFormat="false" ht="15" hidden="false" customHeight="false" outlineLevel="0" collapsed="false">
      <c r="B876" s="36" t="n">
        <v>40352</v>
      </c>
      <c r="C876" s="37" t="n">
        <v>1.79</v>
      </c>
    </row>
    <row r="877" customFormat="false" ht="15" hidden="false" customHeight="false" outlineLevel="0" collapsed="false">
      <c r="B877" s="36" t="n">
        <v>40353</v>
      </c>
      <c r="C877" s="37" t="n">
        <v>1.7899</v>
      </c>
    </row>
    <row r="878" customFormat="false" ht="15" hidden="false" customHeight="false" outlineLevel="0" collapsed="false">
      <c r="B878" s="36" t="n">
        <v>40354</v>
      </c>
      <c r="C878" s="37" t="n">
        <v>1.7773</v>
      </c>
    </row>
    <row r="879" customFormat="false" ht="15" hidden="false" customHeight="false" outlineLevel="0" collapsed="false">
      <c r="B879" s="36" t="n">
        <v>40357</v>
      </c>
      <c r="C879" s="37" t="n">
        <v>1.7818</v>
      </c>
    </row>
    <row r="880" customFormat="false" ht="15" hidden="false" customHeight="false" outlineLevel="0" collapsed="false">
      <c r="B880" s="36" t="n">
        <v>40358</v>
      </c>
      <c r="C880" s="37" t="n">
        <v>1.8068</v>
      </c>
    </row>
    <row r="881" customFormat="false" ht="15" hidden="false" customHeight="false" outlineLevel="0" collapsed="false">
      <c r="B881" s="36" t="n">
        <v>40359</v>
      </c>
      <c r="C881" s="37" t="n">
        <v>1.8007</v>
      </c>
    </row>
    <row r="882" customFormat="false" ht="15" hidden="false" customHeight="false" outlineLevel="0" collapsed="false">
      <c r="B882" s="36" t="n">
        <v>40360</v>
      </c>
      <c r="C882" s="37" t="n">
        <v>1.7998</v>
      </c>
    </row>
    <row r="883" customFormat="false" ht="15" hidden="false" customHeight="false" outlineLevel="0" collapsed="false">
      <c r="B883" s="36" t="n">
        <v>40361</v>
      </c>
      <c r="C883" s="37" t="n">
        <v>1.7777</v>
      </c>
    </row>
    <row r="884" customFormat="false" ht="15" hidden="false" customHeight="false" outlineLevel="0" collapsed="false">
      <c r="B884" s="36" t="n">
        <v>40364</v>
      </c>
      <c r="C884" s="37" t="n">
        <v>1.7747</v>
      </c>
    </row>
    <row r="885" customFormat="false" ht="15" hidden="false" customHeight="false" outlineLevel="0" collapsed="false">
      <c r="B885" s="36" t="n">
        <v>40365</v>
      </c>
      <c r="C885" s="37" t="n">
        <v>1.7657</v>
      </c>
    </row>
    <row r="886" customFormat="false" ht="15" hidden="false" customHeight="false" outlineLevel="0" collapsed="false">
      <c r="B886" s="36" t="n">
        <v>40366</v>
      </c>
      <c r="C886" s="37" t="n">
        <v>1.7711</v>
      </c>
    </row>
    <row r="887" customFormat="false" ht="15" hidden="false" customHeight="false" outlineLevel="0" collapsed="false">
      <c r="B887" s="36" t="n">
        <v>40367</v>
      </c>
      <c r="C887" s="37" t="n">
        <v>1.7644</v>
      </c>
    </row>
    <row r="888" customFormat="false" ht="15" hidden="false" customHeight="false" outlineLevel="0" collapsed="false">
      <c r="B888" s="36" t="n">
        <v>40368</v>
      </c>
      <c r="C888" s="37" t="n">
        <v>1.7564</v>
      </c>
    </row>
    <row r="889" customFormat="false" ht="15" hidden="false" customHeight="false" outlineLevel="0" collapsed="false">
      <c r="B889" s="36" t="n">
        <v>40371</v>
      </c>
      <c r="C889" s="37" t="n">
        <v>1.7636</v>
      </c>
    </row>
    <row r="890" customFormat="false" ht="15" hidden="false" customHeight="false" outlineLevel="0" collapsed="false">
      <c r="B890" s="36" t="n">
        <v>40372</v>
      </c>
      <c r="C890" s="37" t="n">
        <v>1.7517</v>
      </c>
    </row>
    <row r="891" customFormat="false" ht="15" hidden="false" customHeight="false" outlineLevel="0" collapsed="false">
      <c r="B891" s="36" t="n">
        <v>40373</v>
      </c>
      <c r="C891" s="37" t="n">
        <v>1.7649</v>
      </c>
    </row>
    <row r="892" customFormat="false" ht="15" hidden="false" customHeight="false" outlineLevel="0" collapsed="false">
      <c r="B892" s="36" t="n">
        <v>40374</v>
      </c>
      <c r="C892" s="37" t="n">
        <v>1.7682</v>
      </c>
    </row>
    <row r="893" customFormat="false" ht="15" hidden="false" customHeight="false" outlineLevel="0" collapsed="false">
      <c r="B893" s="36" t="n">
        <v>40375</v>
      </c>
      <c r="C893" s="37" t="n">
        <v>1.7784</v>
      </c>
    </row>
    <row r="894" customFormat="false" ht="15" hidden="false" customHeight="false" outlineLevel="0" collapsed="false">
      <c r="B894" s="36" t="n">
        <v>40378</v>
      </c>
      <c r="C894" s="37" t="n">
        <v>1.7846</v>
      </c>
    </row>
    <row r="895" customFormat="false" ht="15" hidden="false" customHeight="false" outlineLevel="0" collapsed="false">
      <c r="B895" s="36" t="n">
        <v>40379</v>
      </c>
      <c r="C895" s="37" t="n">
        <v>1.7792</v>
      </c>
    </row>
    <row r="896" customFormat="false" ht="15" hidden="false" customHeight="false" outlineLevel="0" collapsed="false">
      <c r="B896" s="36" t="n">
        <v>40380</v>
      </c>
      <c r="C896" s="37" t="n">
        <v>1.7758</v>
      </c>
    </row>
    <row r="897" customFormat="false" ht="15" hidden="false" customHeight="false" outlineLevel="0" collapsed="false">
      <c r="B897" s="36" t="n">
        <v>40381</v>
      </c>
      <c r="C897" s="37" t="n">
        <v>1.7621</v>
      </c>
    </row>
    <row r="898" customFormat="false" ht="15" hidden="false" customHeight="false" outlineLevel="0" collapsed="false">
      <c r="B898" s="36" t="n">
        <v>40382</v>
      </c>
      <c r="C898" s="37" t="n">
        <v>1.7609</v>
      </c>
    </row>
    <row r="899" customFormat="false" ht="15" hidden="false" customHeight="false" outlineLevel="0" collapsed="false">
      <c r="B899" s="36" t="n">
        <v>40385</v>
      </c>
      <c r="C899" s="37" t="n">
        <v>1.7661</v>
      </c>
    </row>
    <row r="900" customFormat="false" ht="15" hidden="false" customHeight="false" outlineLevel="0" collapsed="false">
      <c r="B900" s="36" t="n">
        <v>40386</v>
      </c>
      <c r="C900" s="37" t="n">
        <v>1.765</v>
      </c>
    </row>
    <row r="901" customFormat="false" ht="15" hidden="false" customHeight="false" outlineLevel="0" collapsed="false">
      <c r="B901" s="36" t="n">
        <v>40387</v>
      </c>
      <c r="C901" s="37" t="n">
        <v>1.7642</v>
      </c>
    </row>
    <row r="902" customFormat="false" ht="15" hidden="false" customHeight="false" outlineLevel="0" collapsed="false">
      <c r="B902" s="36" t="n">
        <v>40388</v>
      </c>
      <c r="C902" s="37" t="n">
        <v>1.7635</v>
      </c>
    </row>
    <row r="903" customFormat="false" ht="15" hidden="false" customHeight="false" outlineLevel="0" collapsed="false">
      <c r="B903" s="36" t="n">
        <v>40389</v>
      </c>
      <c r="C903" s="37" t="n">
        <v>1.7564</v>
      </c>
    </row>
    <row r="904" customFormat="false" ht="15" hidden="false" customHeight="false" outlineLevel="0" collapsed="false">
      <c r="B904" s="36" t="n">
        <v>40392</v>
      </c>
      <c r="C904" s="37" t="n">
        <v>1.7481</v>
      </c>
    </row>
    <row r="905" customFormat="false" ht="15" hidden="false" customHeight="false" outlineLevel="0" collapsed="false">
      <c r="B905" s="36" t="n">
        <v>40393</v>
      </c>
      <c r="C905" s="37" t="n">
        <v>1.7586</v>
      </c>
    </row>
    <row r="906" customFormat="false" ht="15" hidden="false" customHeight="false" outlineLevel="0" collapsed="false">
      <c r="B906" s="36" t="n">
        <v>40394</v>
      </c>
      <c r="C906" s="37" t="n">
        <v>1.7555</v>
      </c>
    </row>
    <row r="907" customFormat="false" ht="15" hidden="false" customHeight="false" outlineLevel="0" collapsed="false">
      <c r="B907" s="36" t="n">
        <v>40395</v>
      </c>
      <c r="C907" s="37" t="n">
        <v>1.7527</v>
      </c>
    </row>
    <row r="908" customFormat="false" ht="15" hidden="false" customHeight="false" outlineLevel="0" collapsed="false">
      <c r="B908" s="36" t="n">
        <v>40396</v>
      </c>
      <c r="C908" s="37" t="n">
        <v>1.7558</v>
      </c>
    </row>
    <row r="909" customFormat="false" ht="15" hidden="false" customHeight="false" outlineLevel="0" collapsed="false">
      <c r="B909" s="36" t="n">
        <v>40399</v>
      </c>
      <c r="C909" s="37" t="n">
        <v>1.7529</v>
      </c>
    </row>
    <row r="910" customFormat="false" ht="15" hidden="false" customHeight="false" outlineLevel="0" collapsed="false">
      <c r="B910" s="36" t="n">
        <v>40400</v>
      </c>
      <c r="C910" s="37" t="n">
        <v>1.7568</v>
      </c>
    </row>
    <row r="911" customFormat="false" ht="15" hidden="false" customHeight="false" outlineLevel="0" collapsed="false">
      <c r="B911" s="36" t="n">
        <v>40401</v>
      </c>
      <c r="C911" s="37" t="n">
        <v>1.7655</v>
      </c>
    </row>
    <row r="912" customFormat="false" ht="15" hidden="false" customHeight="false" outlineLevel="0" collapsed="false">
      <c r="B912" s="36" t="n">
        <v>40402</v>
      </c>
      <c r="C912" s="37" t="n">
        <v>1.7723</v>
      </c>
    </row>
    <row r="913" customFormat="false" ht="15" hidden="false" customHeight="false" outlineLevel="0" collapsed="false">
      <c r="B913" s="36" t="n">
        <v>40403</v>
      </c>
      <c r="C913" s="37" t="n">
        <v>1.7708</v>
      </c>
    </row>
    <row r="914" customFormat="false" ht="15" hidden="false" customHeight="false" outlineLevel="0" collapsed="false">
      <c r="B914" s="36" t="n">
        <v>40406</v>
      </c>
      <c r="C914" s="37" t="n">
        <v>1.7631</v>
      </c>
    </row>
    <row r="915" customFormat="false" ht="15" hidden="false" customHeight="false" outlineLevel="0" collapsed="false">
      <c r="B915" s="36" t="n">
        <v>40407</v>
      </c>
      <c r="C915" s="37" t="n">
        <v>1.752</v>
      </c>
    </row>
    <row r="916" customFormat="false" ht="15" hidden="false" customHeight="false" outlineLevel="0" collapsed="false">
      <c r="B916" s="36" t="n">
        <v>40408</v>
      </c>
      <c r="C916" s="37" t="n">
        <v>1.7505</v>
      </c>
    </row>
    <row r="917" customFormat="false" ht="15" hidden="false" customHeight="false" outlineLevel="0" collapsed="false">
      <c r="B917" s="36" t="n">
        <v>40409</v>
      </c>
      <c r="C917" s="37" t="n">
        <v>1.7576</v>
      </c>
    </row>
    <row r="918" customFormat="false" ht="15" hidden="false" customHeight="false" outlineLevel="0" collapsed="false">
      <c r="B918" s="36" t="n">
        <v>40410</v>
      </c>
      <c r="C918" s="37" t="n">
        <v>1.7589</v>
      </c>
    </row>
    <row r="919" customFormat="false" ht="15" hidden="false" customHeight="false" outlineLevel="0" collapsed="false">
      <c r="B919" s="36" t="n">
        <v>40413</v>
      </c>
      <c r="C919" s="37" t="n">
        <v>1.7579</v>
      </c>
    </row>
    <row r="920" customFormat="false" ht="15" hidden="false" customHeight="false" outlineLevel="0" collapsed="false">
      <c r="B920" s="36" t="n">
        <v>40414</v>
      </c>
      <c r="C920" s="37" t="n">
        <v>1.7719</v>
      </c>
    </row>
    <row r="921" customFormat="false" ht="15" hidden="false" customHeight="false" outlineLevel="0" collapsed="false">
      <c r="B921" s="36" t="n">
        <v>40415</v>
      </c>
      <c r="C921" s="37" t="n">
        <v>1.766</v>
      </c>
    </row>
    <row r="922" customFormat="false" ht="15" hidden="false" customHeight="false" outlineLevel="0" collapsed="false">
      <c r="B922" s="36" t="n">
        <v>40416</v>
      </c>
      <c r="C922" s="37" t="n">
        <v>1.7588</v>
      </c>
    </row>
    <row r="923" customFormat="false" ht="15" hidden="false" customHeight="false" outlineLevel="0" collapsed="false">
      <c r="B923" s="36" t="n">
        <v>40417</v>
      </c>
      <c r="C923" s="37" t="n">
        <v>1.7536</v>
      </c>
    </row>
    <row r="924" customFormat="false" ht="15" hidden="false" customHeight="false" outlineLevel="0" collapsed="false">
      <c r="B924" s="36" t="n">
        <v>40420</v>
      </c>
      <c r="C924" s="37" t="n">
        <v>1.7583</v>
      </c>
    </row>
    <row r="925" customFormat="false" ht="15" hidden="false" customHeight="false" outlineLevel="0" collapsed="false">
      <c r="B925" s="36" t="n">
        <v>40421</v>
      </c>
      <c r="C925" s="37" t="n">
        <v>1.7552</v>
      </c>
    </row>
    <row r="926" customFormat="false" ht="15" hidden="false" customHeight="false" outlineLevel="0" collapsed="false">
      <c r="B926" s="36" t="n">
        <v>40422</v>
      </c>
      <c r="C926" s="37" t="n">
        <v>1.7433</v>
      </c>
    </row>
    <row r="927" customFormat="false" ht="15" hidden="false" customHeight="false" outlineLevel="0" collapsed="false">
      <c r="B927" s="36" t="n">
        <v>40423</v>
      </c>
      <c r="C927" s="37" t="n">
        <v>1.7359</v>
      </c>
    </row>
    <row r="928" customFormat="false" ht="15" hidden="false" customHeight="false" outlineLevel="0" collapsed="false">
      <c r="B928" s="36" t="n">
        <v>40424</v>
      </c>
      <c r="C928" s="37" t="n">
        <v>1.7273</v>
      </c>
    </row>
    <row r="929" customFormat="false" ht="15" hidden="false" customHeight="false" outlineLevel="0" collapsed="false">
      <c r="B929" s="36" t="n">
        <v>40427</v>
      </c>
      <c r="C929" s="37" t="n">
        <v>1.7251</v>
      </c>
    </row>
    <row r="930" customFormat="false" ht="15" hidden="false" customHeight="false" outlineLevel="0" collapsed="false">
      <c r="B930" s="36" t="n">
        <v>40429</v>
      </c>
      <c r="C930" s="37" t="n">
        <v>1.7223</v>
      </c>
    </row>
    <row r="931" customFormat="false" ht="15" hidden="false" customHeight="false" outlineLevel="0" collapsed="false">
      <c r="B931" s="36" t="n">
        <v>40430</v>
      </c>
      <c r="C931" s="37" t="n">
        <v>1.723</v>
      </c>
    </row>
    <row r="932" customFormat="false" ht="15" hidden="false" customHeight="false" outlineLevel="0" collapsed="false">
      <c r="B932" s="36" t="n">
        <v>40431</v>
      </c>
      <c r="C932" s="37" t="n">
        <v>1.7178</v>
      </c>
    </row>
    <row r="933" customFormat="false" ht="15" hidden="false" customHeight="false" outlineLevel="0" collapsed="false">
      <c r="B933" s="36" t="n">
        <v>40434</v>
      </c>
      <c r="C933" s="37" t="n">
        <v>1.7166</v>
      </c>
    </row>
    <row r="934" customFormat="false" ht="15" hidden="false" customHeight="false" outlineLevel="0" collapsed="false">
      <c r="B934" s="36" t="n">
        <v>40435</v>
      </c>
      <c r="C934" s="37" t="n">
        <v>1.7068</v>
      </c>
    </row>
    <row r="935" customFormat="false" ht="15" hidden="false" customHeight="false" outlineLevel="0" collapsed="false">
      <c r="B935" s="36" t="n">
        <v>40436</v>
      </c>
      <c r="C935" s="37" t="n">
        <v>1.7161</v>
      </c>
    </row>
    <row r="936" customFormat="false" ht="15" hidden="false" customHeight="false" outlineLevel="0" collapsed="false">
      <c r="B936" s="36" t="n">
        <v>40437</v>
      </c>
      <c r="C936" s="37" t="n">
        <v>1.7176</v>
      </c>
    </row>
    <row r="937" customFormat="false" ht="15" hidden="false" customHeight="false" outlineLevel="0" collapsed="false">
      <c r="B937" s="36" t="n">
        <v>40438</v>
      </c>
      <c r="C937" s="37" t="n">
        <v>1.7158</v>
      </c>
    </row>
    <row r="938" customFormat="false" ht="15" hidden="false" customHeight="false" outlineLevel="0" collapsed="false">
      <c r="B938" s="36" t="n">
        <v>40441</v>
      </c>
      <c r="C938" s="37" t="n">
        <v>1.7208</v>
      </c>
    </row>
    <row r="939" customFormat="false" ht="15" hidden="false" customHeight="false" outlineLevel="0" collapsed="false">
      <c r="B939" s="36" t="n">
        <v>40442</v>
      </c>
      <c r="C939" s="37" t="n">
        <v>1.7247</v>
      </c>
    </row>
    <row r="940" customFormat="false" ht="15" hidden="false" customHeight="false" outlineLevel="0" collapsed="false">
      <c r="B940" s="36" t="n">
        <v>40443</v>
      </c>
      <c r="C940" s="37" t="n">
        <v>1.7176</v>
      </c>
    </row>
    <row r="941" customFormat="false" ht="15" hidden="false" customHeight="false" outlineLevel="0" collapsed="false">
      <c r="B941" s="36" t="n">
        <v>40444</v>
      </c>
      <c r="C941" s="37" t="n">
        <v>1.7186</v>
      </c>
    </row>
    <row r="942" customFormat="false" ht="15" hidden="false" customHeight="false" outlineLevel="0" collapsed="false">
      <c r="B942" s="36" t="n">
        <v>40445</v>
      </c>
      <c r="C942" s="37" t="n">
        <v>1.7112</v>
      </c>
    </row>
    <row r="943" customFormat="false" ht="15" hidden="false" customHeight="false" outlineLevel="0" collapsed="false">
      <c r="B943" s="36" t="n">
        <v>40448</v>
      </c>
      <c r="C943" s="37" t="n">
        <v>1.7092</v>
      </c>
    </row>
    <row r="944" customFormat="false" ht="15" hidden="false" customHeight="false" outlineLevel="0" collapsed="false">
      <c r="B944" s="36" t="n">
        <v>40449</v>
      </c>
      <c r="C944" s="37" t="n">
        <v>1.7085</v>
      </c>
    </row>
    <row r="945" customFormat="false" ht="15" hidden="false" customHeight="false" outlineLevel="0" collapsed="false">
      <c r="B945" s="36" t="n">
        <v>40450</v>
      </c>
      <c r="C945" s="37" t="n">
        <v>1.7045</v>
      </c>
    </row>
    <row r="946" customFormat="false" ht="15" hidden="false" customHeight="false" outlineLevel="0" collapsed="false">
      <c r="B946" s="36" t="n">
        <v>40451</v>
      </c>
      <c r="C946" s="37" t="n">
        <v>1.6934</v>
      </c>
    </row>
    <row r="947" customFormat="false" ht="15" hidden="false" customHeight="false" outlineLevel="0" collapsed="false">
      <c r="B947" s="36" t="n">
        <v>40452</v>
      </c>
      <c r="C947" s="37" t="n">
        <v>1.6804</v>
      </c>
    </row>
    <row r="948" customFormat="false" ht="15" hidden="false" customHeight="false" outlineLevel="0" collapsed="false">
      <c r="B948" s="36" t="n">
        <v>40455</v>
      </c>
      <c r="C948" s="37" t="n">
        <v>1.6874</v>
      </c>
    </row>
    <row r="949" customFormat="false" ht="15" hidden="false" customHeight="false" outlineLevel="0" collapsed="false">
      <c r="B949" s="36" t="n">
        <v>40456</v>
      </c>
      <c r="C949" s="37" t="n">
        <v>1.68</v>
      </c>
    </row>
    <row r="950" customFormat="false" ht="15" hidden="false" customHeight="false" outlineLevel="0" collapsed="false">
      <c r="B950" s="36" t="n">
        <v>40457</v>
      </c>
      <c r="C950" s="37" t="n">
        <v>1.675</v>
      </c>
    </row>
    <row r="951" customFormat="false" ht="15" hidden="false" customHeight="false" outlineLevel="0" collapsed="false">
      <c r="B951" s="36" t="n">
        <v>40458</v>
      </c>
      <c r="C951" s="37" t="n">
        <v>1.6769</v>
      </c>
    </row>
    <row r="952" customFormat="false" ht="15" hidden="false" customHeight="false" outlineLevel="0" collapsed="false">
      <c r="B952" s="36" t="n">
        <v>40459</v>
      </c>
      <c r="C952" s="37" t="n">
        <v>1.6796</v>
      </c>
    </row>
    <row r="953" customFormat="false" ht="15" hidden="false" customHeight="false" outlineLevel="0" collapsed="false">
      <c r="B953" s="36" t="n">
        <v>40462</v>
      </c>
      <c r="C953" s="37" t="n">
        <v>1.664</v>
      </c>
    </row>
    <row r="954" customFormat="false" ht="15" hidden="false" customHeight="false" outlineLevel="0" collapsed="false">
      <c r="B954" s="36" t="n">
        <v>40464</v>
      </c>
      <c r="C954" s="37" t="n">
        <v>1.6546</v>
      </c>
    </row>
    <row r="955" customFormat="false" ht="15" hidden="false" customHeight="false" outlineLevel="0" collapsed="false">
      <c r="B955" s="36" t="n">
        <v>40465</v>
      </c>
      <c r="C955" s="37" t="n">
        <v>1.6588</v>
      </c>
    </row>
    <row r="956" customFormat="false" ht="15" hidden="false" customHeight="false" outlineLevel="0" collapsed="false">
      <c r="B956" s="36" t="n">
        <v>40466</v>
      </c>
      <c r="C956" s="37" t="n">
        <v>1.6596</v>
      </c>
    </row>
    <row r="957" customFormat="false" ht="15" hidden="false" customHeight="false" outlineLevel="0" collapsed="false">
      <c r="B957" s="36" t="n">
        <v>40469</v>
      </c>
      <c r="C957" s="37" t="n">
        <v>1.6678</v>
      </c>
    </row>
    <row r="958" customFormat="false" ht="15" hidden="false" customHeight="false" outlineLevel="0" collapsed="false">
      <c r="B958" s="36" t="n">
        <v>40470</v>
      </c>
      <c r="C958" s="37" t="n">
        <v>1.686</v>
      </c>
    </row>
    <row r="959" customFormat="false" ht="15" hidden="false" customHeight="false" outlineLevel="0" collapsed="false">
      <c r="B959" s="36" t="n">
        <v>40471</v>
      </c>
      <c r="C959" s="37" t="n">
        <v>1.6727</v>
      </c>
    </row>
    <row r="960" customFormat="false" ht="15" hidden="false" customHeight="false" outlineLevel="0" collapsed="false">
      <c r="B960" s="36" t="n">
        <v>40472</v>
      </c>
      <c r="C960" s="37" t="n">
        <v>1.6889</v>
      </c>
    </row>
    <row r="961" customFormat="false" ht="15" hidden="false" customHeight="false" outlineLevel="0" collapsed="false">
      <c r="B961" s="36" t="n">
        <v>40473</v>
      </c>
      <c r="C961" s="37" t="n">
        <v>1.6989</v>
      </c>
    </row>
    <row r="962" customFormat="false" ht="15" hidden="false" customHeight="false" outlineLevel="0" collapsed="false">
      <c r="B962" s="36" t="n">
        <v>40476</v>
      </c>
      <c r="C962" s="37" t="n">
        <v>1.7018</v>
      </c>
    </row>
    <row r="963" customFormat="false" ht="15" hidden="false" customHeight="false" outlineLevel="0" collapsed="false">
      <c r="B963" s="36" t="n">
        <v>40477</v>
      </c>
      <c r="C963" s="37" t="n">
        <v>1.7037</v>
      </c>
    </row>
    <row r="964" customFormat="false" ht="15" hidden="false" customHeight="false" outlineLevel="0" collapsed="false">
      <c r="B964" s="36" t="n">
        <v>40478</v>
      </c>
      <c r="C964" s="37" t="n">
        <v>1.7069</v>
      </c>
    </row>
    <row r="965" customFormat="false" ht="15" hidden="false" customHeight="false" outlineLevel="0" collapsed="false">
      <c r="B965" s="36" t="n">
        <v>40479</v>
      </c>
      <c r="C965" s="37" t="n">
        <v>1.7104</v>
      </c>
    </row>
    <row r="966" customFormat="false" ht="15" hidden="false" customHeight="false" outlineLevel="0" collapsed="false">
      <c r="B966" s="36" t="n">
        <v>40480</v>
      </c>
      <c r="C966" s="37" t="n">
        <v>1.7006</v>
      </c>
    </row>
    <row r="967" customFormat="false" ht="15" hidden="false" customHeight="false" outlineLevel="0" collapsed="false">
      <c r="B967" s="36" t="n">
        <v>40483</v>
      </c>
      <c r="C967" s="37" t="n">
        <v>1.7036</v>
      </c>
    </row>
    <row r="968" customFormat="false" ht="15" hidden="false" customHeight="false" outlineLevel="0" collapsed="false">
      <c r="B968" s="36" t="n">
        <v>40485</v>
      </c>
      <c r="C968" s="37" t="n">
        <v>1.6929</v>
      </c>
    </row>
    <row r="969" customFormat="false" ht="15" hidden="false" customHeight="false" outlineLevel="0" collapsed="false">
      <c r="B969" s="36" t="n">
        <v>40486</v>
      </c>
      <c r="C969" s="37" t="n">
        <v>1.6811</v>
      </c>
    </row>
    <row r="970" customFormat="false" ht="15" hidden="false" customHeight="false" outlineLevel="0" collapsed="false">
      <c r="B970" s="36" t="n">
        <v>40487</v>
      </c>
      <c r="C970" s="37" t="n">
        <v>1.6793</v>
      </c>
    </row>
    <row r="971" customFormat="false" ht="15" hidden="false" customHeight="false" outlineLevel="0" collapsed="false">
      <c r="B971" s="36" t="n">
        <v>40490</v>
      </c>
      <c r="C971" s="37" t="n">
        <v>1.6962</v>
      </c>
    </row>
    <row r="972" customFormat="false" ht="15" hidden="false" customHeight="false" outlineLevel="0" collapsed="false">
      <c r="B972" s="36" t="n">
        <v>40491</v>
      </c>
      <c r="C972" s="37" t="n">
        <v>1.6962</v>
      </c>
    </row>
    <row r="973" customFormat="false" ht="15" hidden="false" customHeight="false" outlineLevel="0" collapsed="false">
      <c r="B973" s="36" t="n">
        <v>40492</v>
      </c>
      <c r="C973" s="37" t="n">
        <v>1.7062</v>
      </c>
    </row>
    <row r="974" customFormat="false" ht="15" hidden="false" customHeight="false" outlineLevel="0" collapsed="false">
      <c r="B974" s="36" t="n">
        <v>40493</v>
      </c>
      <c r="C974" s="37" t="n">
        <v>1.717</v>
      </c>
    </row>
    <row r="975" customFormat="false" ht="15" hidden="false" customHeight="false" outlineLevel="0" collapsed="false">
      <c r="B975" s="36" t="n">
        <v>40494</v>
      </c>
      <c r="C975" s="37" t="n">
        <v>1.719</v>
      </c>
    </row>
    <row r="976" customFormat="false" ht="15" hidden="false" customHeight="false" outlineLevel="0" collapsed="false">
      <c r="B976" s="36" t="n">
        <v>40498</v>
      </c>
      <c r="C976" s="37" t="n">
        <v>1.7287</v>
      </c>
    </row>
    <row r="977" customFormat="false" ht="15" hidden="false" customHeight="false" outlineLevel="0" collapsed="false">
      <c r="B977" s="36" t="n">
        <v>40499</v>
      </c>
      <c r="C977" s="37" t="n">
        <v>1.729</v>
      </c>
    </row>
    <row r="978" customFormat="false" ht="15" hidden="false" customHeight="false" outlineLevel="0" collapsed="false">
      <c r="B978" s="36" t="n">
        <v>40500</v>
      </c>
      <c r="C978" s="37" t="n">
        <v>1.7135</v>
      </c>
    </row>
    <row r="979" customFormat="false" ht="15" hidden="false" customHeight="false" outlineLevel="0" collapsed="false">
      <c r="B979" s="36" t="n">
        <v>40501</v>
      </c>
      <c r="C979" s="37" t="n">
        <v>1.7181</v>
      </c>
    </row>
    <row r="980" customFormat="false" ht="15" hidden="false" customHeight="false" outlineLevel="0" collapsed="false">
      <c r="B980" s="36" t="n">
        <v>40504</v>
      </c>
      <c r="C980" s="37" t="n">
        <v>1.7227</v>
      </c>
    </row>
    <row r="981" customFormat="false" ht="15" hidden="false" customHeight="false" outlineLevel="0" collapsed="false">
      <c r="B981" s="36" t="n">
        <v>40505</v>
      </c>
      <c r="C981" s="37" t="n">
        <v>1.7328</v>
      </c>
    </row>
    <row r="982" customFormat="false" ht="15" hidden="false" customHeight="false" outlineLevel="0" collapsed="false">
      <c r="B982" s="36" t="n">
        <v>40506</v>
      </c>
      <c r="C982" s="37" t="n">
        <v>1.7239</v>
      </c>
    </row>
    <row r="983" customFormat="false" ht="15" hidden="false" customHeight="false" outlineLevel="0" collapsed="false">
      <c r="B983" s="36" t="n">
        <v>40507</v>
      </c>
      <c r="C983" s="37" t="n">
        <v>1.7198</v>
      </c>
    </row>
    <row r="984" customFormat="false" ht="15" hidden="false" customHeight="false" outlineLevel="0" collapsed="false">
      <c r="B984" s="36" t="n">
        <v>40508</v>
      </c>
      <c r="C984" s="37" t="n">
        <v>1.729</v>
      </c>
    </row>
    <row r="985" customFormat="false" ht="15" hidden="false" customHeight="false" outlineLevel="0" collapsed="false">
      <c r="B985" s="36" t="n">
        <v>40511</v>
      </c>
      <c r="C985" s="37" t="n">
        <v>1.7263</v>
      </c>
    </row>
    <row r="986" customFormat="false" ht="15" hidden="false" customHeight="false" outlineLevel="0" collapsed="false">
      <c r="B986" s="36" t="n">
        <v>40512</v>
      </c>
      <c r="C986" s="37" t="n">
        <v>1.7153</v>
      </c>
    </row>
    <row r="987" customFormat="false" ht="15" hidden="false" customHeight="false" outlineLevel="0" collapsed="false">
      <c r="B987" s="36" t="n">
        <v>40513</v>
      </c>
      <c r="C987" s="37" t="n">
        <v>1.7044</v>
      </c>
    </row>
    <row r="988" customFormat="false" ht="15" hidden="false" customHeight="false" outlineLevel="0" collapsed="false">
      <c r="B988" s="36" t="n">
        <v>40514</v>
      </c>
      <c r="C988" s="37" t="n">
        <v>1.7021</v>
      </c>
    </row>
    <row r="989" customFormat="false" ht="15" hidden="false" customHeight="false" outlineLevel="0" collapsed="false">
      <c r="B989" s="36" t="n">
        <v>40515</v>
      </c>
      <c r="C989" s="37" t="n">
        <v>1.6909</v>
      </c>
    </row>
    <row r="990" customFormat="false" ht="15" hidden="false" customHeight="false" outlineLevel="0" collapsed="false">
      <c r="B990" s="36" t="n">
        <v>40518</v>
      </c>
      <c r="C990" s="37" t="n">
        <v>1.6828</v>
      </c>
    </row>
    <row r="991" customFormat="false" ht="15" hidden="false" customHeight="false" outlineLevel="0" collapsed="false">
      <c r="B991" s="36" t="n">
        <v>40519</v>
      </c>
      <c r="C991" s="37" t="n">
        <v>1.6731</v>
      </c>
    </row>
    <row r="992" customFormat="false" ht="15" hidden="false" customHeight="false" outlineLevel="0" collapsed="false">
      <c r="B992" s="36" t="n">
        <v>40520</v>
      </c>
      <c r="C992" s="37" t="n">
        <v>1.6884</v>
      </c>
    </row>
    <row r="993" customFormat="false" ht="15" hidden="false" customHeight="false" outlineLevel="0" collapsed="false">
      <c r="B993" s="36" t="n">
        <v>40521</v>
      </c>
      <c r="C993" s="37" t="n">
        <v>1.7016</v>
      </c>
    </row>
    <row r="994" customFormat="false" ht="15" hidden="false" customHeight="false" outlineLevel="0" collapsed="false">
      <c r="B994" s="36" t="n">
        <v>40522</v>
      </c>
      <c r="C994" s="37" t="n">
        <v>1.7109</v>
      </c>
    </row>
    <row r="995" customFormat="false" ht="15" hidden="false" customHeight="false" outlineLevel="0" collapsed="false">
      <c r="B995" s="36" t="n">
        <v>40525</v>
      </c>
      <c r="C995" s="37" t="n">
        <v>1.7019</v>
      </c>
    </row>
    <row r="996" customFormat="false" ht="15" hidden="false" customHeight="false" outlineLevel="0" collapsed="false">
      <c r="B996" s="36" t="n">
        <v>40526</v>
      </c>
      <c r="C996" s="37" t="n">
        <v>1.6941</v>
      </c>
    </row>
    <row r="997" customFormat="false" ht="15" hidden="false" customHeight="false" outlineLevel="0" collapsed="false">
      <c r="B997" s="36" t="n">
        <v>40527</v>
      </c>
      <c r="C997" s="37" t="n">
        <v>1.698</v>
      </c>
    </row>
    <row r="998" customFormat="false" ht="15" hidden="false" customHeight="false" outlineLevel="0" collapsed="false">
      <c r="B998" s="36" t="n">
        <v>40528</v>
      </c>
      <c r="C998" s="37" t="n">
        <v>1.702</v>
      </c>
    </row>
    <row r="999" customFormat="false" ht="15" hidden="false" customHeight="false" outlineLevel="0" collapsed="false">
      <c r="B999" s="36" t="n">
        <v>40529</v>
      </c>
      <c r="C999" s="37" t="n">
        <v>1.709</v>
      </c>
    </row>
    <row r="1000" customFormat="false" ht="15" hidden="false" customHeight="false" outlineLevel="0" collapsed="false">
      <c r="B1000" s="36" t="n">
        <v>40532</v>
      </c>
      <c r="C1000" s="37" t="n">
        <v>1.7074</v>
      </c>
    </row>
    <row r="1001" customFormat="false" ht="15" hidden="false" customHeight="false" outlineLevel="0" collapsed="false">
      <c r="B1001" s="36" t="n">
        <v>40533</v>
      </c>
      <c r="C1001" s="37" t="n">
        <v>1.6966</v>
      </c>
    </row>
    <row r="1002" customFormat="false" ht="15" hidden="false" customHeight="false" outlineLevel="0" collapsed="false">
      <c r="B1002" s="36" t="n">
        <v>40534</v>
      </c>
      <c r="C1002" s="37" t="n">
        <v>1.6938</v>
      </c>
    </row>
    <row r="1003" customFormat="false" ht="15" hidden="false" customHeight="false" outlineLevel="0" collapsed="false">
      <c r="B1003" s="36" t="n">
        <v>40535</v>
      </c>
      <c r="C1003" s="37" t="n">
        <v>1.6976</v>
      </c>
    </row>
    <row r="1004" customFormat="false" ht="15" hidden="false" customHeight="false" outlineLevel="0" collapsed="false">
      <c r="B1004" s="36" t="n">
        <v>40536</v>
      </c>
      <c r="C1004" s="37" t="n">
        <v>1.6895</v>
      </c>
    </row>
    <row r="1005" customFormat="false" ht="15" hidden="false" customHeight="false" outlineLevel="0" collapsed="false">
      <c r="B1005" s="36" t="n">
        <v>40539</v>
      </c>
      <c r="C1005" s="37" t="n">
        <v>1.6914</v>
      </c>
    </row>
    <row r="1006" customFormat="false" ht="15" hidden="false" customHeight="false" outlineLevel="0" collapsed="false">
      <c r="B1006" s="36" t="n">
        <v>40540</v>
      </c>
      <c r="C1006" s="37" t="n">
        <v>1.6858</v>
      </c>
    </row>
    <row r="1007" customFormat="false" ht="15" hidden="false" customHeight="false" outlineLevel="0" collapsed="false">
      <c r="B1007" s="36" t="n">
        <v>40541</v>
      </c>
      <c r="C1007" s="37" t="n">
        <v>1.678</v>
      </c>
    </row>
    <row r="1008" customFormat="false" ht="15" hidden="false" customHeight="false" outlineLevel="0" collapsed="false">
      <c r="B1008" s="36" t="n">
        <v>40542</v>
      </c>
      <c r="C1008" s="37" t="n">
        <v>1.6654</v>
      </c>
    </row>
    <row r="1009" customFormat="false" ht="15" hidden="false" customHeight="false" outlineLevel="0" collapsed="false">
      <c r="B1009" s="36" t="n">
        <v>40543</v>
      </c>
      <c r="C1009" s="37" t="n">
        <v>1.6654</v>
      </c>
    </row>
    <row r="1010" customFormat="false" ht="15" hidden="false" customHeight="false" outlineLevel="0" collapsed="false">
      <c r="B1010" s="36" t="n">
        <v>40546</v>
      </c>
      <c r="C1010" s="37" t="n">
        <v>1.6502</v>
      </c>
    </row>
    <row r="1011" customFormat="false" ht="15" hidden="false" customHeight="false" outlineLevel="0" collapsed="false">
      <c r="B1011" s="36" t="n">
        <v>40547</v>
      </c>
      <c r="C1011" s="37" t="n">
        <v>1.6548</v>
      </c>
    </row>
    <row r="1012" customFormat="false" ht="15" hidden="false" customHeight="false" outlineLevel="0" collapsed="false">
      <c r="B1012" s="36" t="n">
        <v>40548</v>
      </c>
      <c r="C1012" s="37" t="n">
        <v>1.6705</v>
      </c>
    </row>
    <row r="1013" customFormat="false" ht="15" hidden="false" customHeight="false" outlineLevel="0" collapsed="false">
      <c r="B1013" s="36" t="n">
        <v>40549</v>
      </c>
      <c r="C1013" s="37" t="n">
        <v>1.6849</v>
      </c>
    </row>
    <row r="1014" customFormat="false" ht="15" hidden="false" customHeight="false" outlineLevel="0" collapsed="false">
      <c r="B1014" s="36" t="n">
        <v>40550</v>
      </c>
      <c r="C1014" s="37" t="n">
        <v>1.6853</v>
      </c>
    </row>
    <row r="1015" customFormat="false" ht="15" hidden="false" customHeight="false" outlineLevel="0" collapsed="false">
      <c r="B1015" s="36" t="n">
        <v>40553</v>
      </c>
      <c r="C1015" s="37" t="n">
        <v>1.6904</v>
      </c>
    </row>
    <row r="1016" customFormat="false" ht="15" hidden="false" customHeight="false" outlineLevel="0" collapsed="false">
      <c r="B1016" s="36" t="n">
        <v>40554</v>
      </c>
      <c r="C1016" s="37" t="n">
        <v>1.6879</v>
      </c>
    </row>
    <row r="1017" customFormat="false" ht="15" hidden="false" customHeight="false" outlineLevel="0" collapsed="false">
      <c r="B1017" s="36" t="n">
        <v>40555</v>
      </c>
      <c r="C1017" s="37" t="n">
        <v>1.6765</v>
      </c>
    </row>
    <row r="1018" customFormat="false" ht="15" hidden="false" customHeight="false" outlineLevel="0" collapsed="false">
      <c r="B1018" s="36" t="n">
        <v>40556</v>
      </c>
      <c r="C1018" s="37" t="n">
        <v>1.6693</v>
      </c>
    </row>
    <row r="1019" customFormat="false" ht="15" hidden="false" customHeight="false" outlineLevel="0" collapsed="false">
      <c r="B1019" s="36" t="n">
        <v>40557</v>
      </c>
      <c r="C1019" s="37" t="n">
        <v>1.6835</v>
      </c>
    </row>
    <row r="1020" customFormat="false" ht="15" hidden="false" customHeight="false" outlineLevel="0" collapsed="false">
      <c r="B1020" s="36" t="n">
        <v>40560</v>
      </c>
      <c r="C1020" s="37" t="n">
        <v>1.681</v>
      </c>
    </row>
    <row r="1021" customFormat="false" ht="15" hidden="false" customHeight="false" outlineLevel="0" collapsed="false">
      <c r="B1021" s="36" t="n">
        <v>40561</v>
      </c>
      <c r="C1021" s="37" t="n">
        <v>1.6737</v>
      </c>
    </row>
    <row r="1022" customFormat="false" ht="15" hidden="false" customHeight="false" outlineLevel="0" collapsed="false">
      <c r="B1022" s="36" t="n">
        <v>40562</v>
      </c>
      <c r="C1022" s="37" t="n">
        <v>1.6706</v>
      </c>
    </row>
    <row r="1023" customFormat="false" ht="15" hidden="false" customHeight="false" outlineLevel="0" collapsed="false">
      <c r="B1023" s="36" t="n">
        <v>40563</v>
      </c>
      <c r="C1023" s="37" t="n">
        <v>1.6707</v>
      </c>
    </row>
    <row r="1024" customFormat="false" ht="15" hidden="false" customHeight="false" outlineLevel="0" collapsed="false">
      <c r="B1024" s="36" t="n">
        <v>40564</v>
      </c>
      <c r="C1024" s="37" t="n">
        <v>1.6715</v>
      </c>
    </row>
    <row r="1025" customFormat="false" ht="15" hidden="false" customHeight="false" outlineLevel="0" collapsed="false">
      <c r="B1025" s="36" t="n">
        <v>40567</v>
      </c>
      <c r="C1025" s="37" t="n">
        <v>1.6723</v>
      </c>
    </row>
    <row r="1026" customFormat="false" ht="15" hidden="false" customHeight="false" outlineLevel="0" collapsed="false">
      <c r="B1026" s="36" t="n">
        <v>40568</v>
      </c>
      <c r="C1026" s="37" t="n">
        <v>1.6737</v>
      </c>
    </row>
    <row r="1027" customFormat="false" ht="15" hidden="false" customHeight="false" outlineLevel="0" collapsed="false">
      <c r="B1027" s="36" t="n">
        <v>40569</v>
      </c>
      <c r="C1027" s="37" t="n">
        <v>1.6684</v>
      </c>
    </row>
    <row r="1028" customFormat="false" ht="15" hidden="false" customHeight="false" outlineLevel="0" collapsed="false">
      <c r="B1028" s="36" t="n">
        <v>40570</v>
      </c>
      <c r="C1028" s="37" t="n">
        <v>1.6712</v>
      </c>
    </row>
    <row r="1029" customFormat="false" ht="15" hidden="false" customHeight="false" outlineLevel="0" collapsed="false">
      <c r="B1029" s="36" t="n">
        <v>40571</v>
      </c>
      <c r="C1029" s="37" t="n">
        <v>1.6774</v>
      </c>
    </row>
    <row r="1030" customFormat="false" ht="15" hidden="false" customHeight="false" outlineLevel="0" collapsed="false">
      <c r="B1030" s="36" t="n">
        <v>40574</v>
      </c>
      <c r="C1030" s="37" t="n">
        <v>1.6726</v>
      </c>
    </row>
    <row r="1031" customFormat="false" ht="15" hidden="false" customHeight="false" outlineLevel="0" collapsed="false">
      <c r="B1031" s="36" t="n">
        <v>40575</v>
      </c>
      <c r="C1031" s="37" t="n">
        <v>1.6623</v>
      </c>
    </row>
    <row r="1032" customFormat="false" ht="15" hidden="false" customHeight="false" outlineLevel="0" collapsed="false">
      <c r="B1032" s="36" t="n">
        <v>40576</v>
      </c>
      <c r="C1032" s="37" t="n">
        <v>1.6663</v>
      </c>
    </row>
    <row r="1033" customFormat="false" ht="15" hidden="false" customHeight="false" outlineLevel="0" collapsed="false">
      <c r="B1033" s="36" t="n">
        <v>40577</v>
      </c>
      <c r="C1033" s="37" t="n">
        <v>1.6689</v>
      </c>
    </row>
    <row r="1034" customFormat="false" ht="15" hidden="false" customHeight="false" outlineLevel="0" collapsed="false">
      <c r="B1034" s="36" t="n">
        <v>40578</v>
      </c>
      <c r="C1034" s="37" t="n">
        <v>1.673</v>
      </c>
    </row>
    <row r="1035" customFormat="false" ht="15" hidden="false" customHeight="false" outlineLevel="0" collapsed="false">
      <c r="B1035" s="36" t="n">
        <v>40581</v>
      </c>
      <c r="C1035" s="37" t="n">
        <v>1.6768</v>
      </c>
    </row>
    <row r="1036" customFormat="false" ht="15" hidden="false" customHeight="false" outlineLevel="0" collapsed="false">
      <c r="B1036" s="36" t="n">
        <v>40582</v>
      </c>
      <c r="C1036" s="37" t="n">
        <v>1.6703</v>
      </c>
    </row>
    <row r="1037" customFormat="false" ht="15" hidden="false" customHeight="false" outlineLevel="0" collapsed="false">
      <c r="B1037" s="36" t="n">
        <v>40583</v>
      </c>
      <c r="C1037" s="37" t="n">
        <v>1.6635</v>
      </c>
    </row>
    <row r="1038" customFormat="false" ht="15" hidden="false" customHeight="false" outlineLevel="0" collapsed="false">
      <c r="B1038" s="36" t="n">
        <v>40584</v>
      </c>
      <c r="C1038" s="37" t="n">
        <v>1.6672</v>
      </c>
    </row>
    <row r="1039" customFormat="false" ht="15" hidden="false" customHeight="false" outlineLevel="0" collapsed="false">
      <c r="B1039" s="36" t="n">
        <v>40585</v>
      </c>
      <c r="C1039" s="37" t="n">
        <v>1.6671</v>
      </c>
    </row>
    <row r="1040" customFormat="false" ht="15" hidden="false" customHeight="false" outlineLevel="0" collapsed="false">
      <c r="B1040" s="36" t="n">
        <v>40588</v>
      </c>
      <c r="C1040" s="37" t="n">
        <v>1.6673</v>
      </c>
    </row>
    <row r="1041" customFormat="false" ht="15" hidden="false" customHeight="false" outlineLevel="0" collapsed="false">
      <c r="B1041" s="36" t="n">
        <v>40589</v>
      </c>
      <c r="C1041" s="37" t="n">
        <v>1.6674</v>
      </c>
    </row>
    <row r="1042" customFormat="false" ht="15" hidden="false" customHeight="false" outlineLevel="0" collapsed="false">
      <c r="B1042" s="36" t="n">
        <v>40590</v>
      </c>
      <c r="C1042" s="37" t="n">
        <v>1.6696</v>
      </c>
    </row>
    <row r="1043" customFormat="false" ht="15" hidden="false" customHeight="false" outlineLevel="0" collapsed="false">
      <c r="B1043" s="36" t="n">
        <v>40591</v>
      </c>
      <c r="C1043" s="37" t="n">
        <v>1.6653</v>
      </c>
    </row>
    <row r="1044" customFormat="false" ht="15" hidden="false" customHeight="false" outlineLevel="0" collapsed="false">
      <c r="B1044" s="36" t="n">
        <v>40592</v>
      </c>
      <c r="C1044" s="37" t="n">
        <v>1.6669</v>
      </c>
    </row>
    <row r="1045" customFormat="false" ht="15" hidden="false" customHeight="false" outlineLevel="0" collapsed="false">
      <c r="B1045" s="36" t="n">
        <v>40595</v>
      </c>
      <c r="C1045" s="37" t="n">
        <v>1.6659</v>
      </c>
    </row>
    <row r="1046" customFormat="false" ht="15" hidden="false" customHeight="false" outlineLevel="0" collapsed="false">
      <c r="B1046" s="36" t="n">
        <v>40596</v>
      </c>
      <c r="C1046" s="37" t="n">
        <v>1.6686</v>
      </c>
    </row>
    <row r="1047" customFormat="false" ht="15" hidden="false" customHeight="false" outlineLevel="0" collapsed="false">
      <c r="B1047" s="36" t="n">
        <v>40597</v>
      </c>
      <c r="C1047" s="37" t="n">
        <v>1.6712</v>
      </c>
    </row>
    <row r="1048" customFormat="false" ht="15" hidden="false" customHeight="false" outlineLevel="0" collapsed="false">
      <c r="B1048" s="36" t="n">
        <v>40598</v>
      </c>
      <c r="C1048" s="37" t="n">
        <v>1.6641</v>
      </c>
    </row>
    <row r="1049" customFormat="false" ht="15" hidden="false" customHeight="false" outlineLevel="0" collapsed="false">
      <c r="B1049" s="36" t="n">
        <v>40599</v>
      </c>
      <c r="C1049" s="37" t="n">
        <v>1.6617</v>
      </c>
    </row>
    <row r="1050" customFormat="false" ht="15" hidden="false" customHeight="false" outlineLevel="0" collapsed="false">
      <c r="B1050" s="36" t="n">
        <v>40602</v>
      </c>
      <c r="C1050" s="37" t="n">
        <v>1.6604</v>
      </c>
    </row>
    <row r="1051" customFormat="false" ht="15" hidden="false" customHeight="false" outlineLevel="0" collapsed="false">
      <c r="B1051" s="36" t="n">
        <v>40603</v>
      </c>
      <c r="C1051" s="37" t="n">
        <v>1.6619</v>
      </c>
    </row>
    <row r="1052" customFormat="false" ht="15" hidden="false" customHeight="false" outlineLevel="0" collapsed="false">
      <c r="B1052" s="36" t="n">
        <v>40604</v>
      </c>
      <c r="C1052" s="37" t="n">
        <v>1.6602</v>
      </c>
    </row>
    <row r="1053" customFormat="false" ht="15" hidden="false" customHeight="false" outlineLevel="0" collapsed="false">
      <c r="B1053" s="36" t="n">
        <v>40605</v>
      </c>
      <c r="C1053" s="37" t="n">
        <v>1.6537</v>
      </c>
    </row>
    <row r="1054" customFormat="false" ht="15" hidden="false" customHeight="false" outlineLevel="0" collapsed="false">
      <c r="B1054" s="36" t="n">
        <v>40606</v>
      </c>
      <c r="C1054" s="37" t="n">
        <v>1.6454</v>
      </c>
    </row>
    <row r="1055" customFormat="false" ht="15" hidden="false" customHeight="false" outlineLevel="0" collapsed="false">
      <c r="B1055" s="36" t="n">
        <v>40611</v>
      </c>
      <c r="C1055" s="37" t="n">
        <v>1.6551</v>
      </c>
    </row>
    <row r="1056" customFormat="false" ht="15" hidden="false" customHeight="false" outlineLevel="0" collapsed="false">
      <c r="B1056" s="36" t="n">
        <v>40612</v>
      </c>
      <c r="C1056" s="37" t="n">
        <v>1.6604</v>
      </c>
    </row>
    <row r="1057" customFormat="false" ht="15" hidden="false" customHeight="false" outlineLevel="0" collapsed="false">
      <c r="B1057" s="36" t="n">
        <v>40613</v>
      </c>
      <c r="C1057" s="37" t="n">
        <v>1.6641</v>
      </c>
    </row>
    <row r="1058" customFormat="false" ht="15" hidden="false" customHeight="false" outlineLevel="0" collapsed="false">
      <c r="B1058" s="36" t="n">
        <v>40616</v>
      </c>
      <c r="C1058" s="37" t="n">
        <v>1.6623</v>
      </c>
    </row>
    <row r="1059" customFormat="false" ht="15" hidden="false" customHeight="false" outlineLevel="0" collapsed="false">
      <c r="B1059" s="36" t="n">
        <v>40617</v>
      </c>
      <c r="C1059" s="37" t="n">
        <v>1.6684</v>
      </c>
    </row>
    <row r="1060" customFormat="false" ht="15" hidden="false" customHeight="false" outlineLevel="0" collapsed="false">
      <c r="B1060" s="36" t="n">
        <v>40618</v>
      </c>
      <c r="C1060" s="37" t="n">
        <v>1.6666</v>
      </c>
    </row>
    <row r="1061" customFormat="false" ht="15" hidden="false" customHeight="false" outlineLevel="0" collapsed="false">
      <c r="B1061" s="36" t="n">
        <v>40619</v>
      </c>
      <c r="C1061" s="37" t="n">
        <v>1.6749</v>
      </c>
    </row>
    <row r="1062" customFormat="false" ht="15" hidden="false" customHeight="false" outlineLevel="0" collapsed="false">
      <c r="B1062" s="36" t="n">
        <v>40620</v>
      </c>
      <c r="C1062" s="37" t="n">
        <v>1.6712</v>
      </c>
    </row>
    <row r="1063" customFormat="false" ht="15" hidden="false" customHeight="false" outlineLevel="0" collapsed="false">
      <c r="B1063" s="36" t="n">
        <v>40623</v>
      </c>
      <c r="C1063" s="37" t="n">
        <v>1.6644</v>
      </c>
    </row>
    <row r="1064" customFormat="false" ht="15" hidden="false" customHeight="false" outlineLevel="0" collapsed="false">
      <c r="B1064" s="36" t="n">
        <v>40624</v>
      </c>
      <c r="C1064" s="37" t="n">
        <v>1.663</v>
      </c>
    </row>
    <row r="1065" customFormat="false" ht="15" hidden="false" customHeight="false" outlineLevel="0" collapsed="false">
      <c r="B1065" s="36" t="n">
        <v>40625</v>
      </c>
      <c r="C1065" s="37" t="n">
        <v>1.6594</v>
      </c>
    </row>
    <row r="1066" customFormat="false" ht="15" hidden="false" customHeight="false" outlineLevel="0" collapsed="false">
      <c r="B1066" s="36" t="n">
        <v>40626</v>
      </c>
      <c r="C1066" s="37" t="n">
        <v>1.6585</v>
      </c>
    </row>
    <row r="1067" customFormat="false" ht="15" hidden="false" customHeight="false" outlineLevel="0" collapsed="false">
      <c r="B1067" s="36" t="n">
        <v>40627</v>
      </c>
      <c r="C1067" s="37" t="n">
        <v>1.6573</v>
      </c>
    </row>
    <row r="1068" customFormat="false" ht="15" hidden="false" customHeight="false" outlineLevel="0" collapsed="false">
      <c r="B1068" s="36" t="n">
        <v>40630</v>
      </c>
      <c r="C1068" s="37" t="n">
        <v>1.6606</v>
      </c>
    </row>
    <row r="1069" customFormat="false" ht="15" hidden="false" customHeight="false" outlineLevel="0" collapsed="false">
      <c r="B1069" s="36" t="n">
        <v>40631</v>
      </c>
      <c r="C1069" s="37" t="n">
        <v>1.6538</v>
      </c>
    </row>
    <row r="1070" customFormat="false" ht="15" hidden="false" customHeight="false" outlineLevel="0" collapsed="false">
      <c r="B1070" s="36" t="n">
        <v>40632</v>
      </c>
      <c r="C1070" s="37" t="n">
        <v>1.6352</v>
      </c>
    </row>
    <row r="1071" customFormat="false" ht="15" hidden="false" customHeight="false" outlineLevel="0" collapsed="false">
      <c r="B1071" s="36" t="n">
        <v>40633</v>
      </c>
      <c r="C1071" s="37" t="n">
        <v>1.6279</v>
      </c>
    </row>
    <row r="1072" customFormat="false" ht="15" hidden="false" customHeight="false" outlineLevel="0" collapsed="false">
      <c r="B1072" s="36" t="n">
        <v>40634</v>
      </c>
      <c r="C1072" s="37" t="n">
        <v>1.6186</v>
      </c>
    </row>
    <row r="1073" customFormat="false" ht="15" hidden="false" customHeight="false" outlineLevel="0" collapsed="false">
      <c r="B1073" s="36" t="n">
        <v>40637</v>
      </c>
      <c r="C1073" s="37" t="n">
        <v>1.6102</v>
      </c>
    </row>
    <row r="1074" customFormat="false" ht="15" hidden="false" customHeight="false" outlineLevel="0" collapsed="false">
      <c r="B1074" s="36" t="n">
        <v>40638</v>
      </c>
      <c r="C1074" s="37" t="n">
        <v>1.6079</v>
      </c>
    </row>
    <row r="1075" customFormat="false" ht="15" hidden="false" customHeight="false" outlineLevel="0" collapsed="false">
      <c r="B1075" s="36" t="n">
        <v>40639</v>
      </c>
      <c r="C1075" s="37" t="n">
        <v>1.6089</v>
      </c>
    </row>
    <row r="1076" customFormat="false" ht="15" hidden="false" customHeight="false" outlineLevel="0" collapsed="false">
      <c r="B1076" s="36" t="n">
        <v>40640</v>
      </c>
      <c r="C1076" s="37" t="n">
        <v>1.5919</v>
      </c>
    </row>
    <row r="1077" customFormat="false" ht="15" hidden="false" customHeight="false" outlineLevel="0" collapsed="false">
      <c r="B1077" s="36" t="n">
        <v>40641</v>
      </c>
      <c r="C1077" s="37" t="n">
        <v>1.5754</v>
      </c>
    </row>
    <row r="1078" customFormat="false" ht="15" hidden="false" customHeight="false" outlineLevel="0" collapsed="false">
      <c r="B1078" s="36" t="n">
        <v>40644</v>
      </c>
      <c r="C1078" s="37" t="n">
        <v>1.5797</v>
      </c>
    </row>
    <row r="1079" customFormat="false" ht="15" hidden="false" customHeight="false" outlineLevel="0" collapsed="false">
      <c r="B1079" s="36" t="n">
        <v>40645</v>
      </c>
      <c r="C1079" s="37" t="n">
        <v>1.5862</v>
      </c>
    </row>
    <row r="1080" customFormat="false" ht="15" hidden="false" customHeight="false" outlineLevel="0" collapsed="false">
      <c r="B1080" s="36" t="n">
        <v>40646</v>
      </c>
      <c r="C1080" s="37" t="n">
        <v>1.5856</v>
      </c>
    </row>
    <row r="1081" customFormat="false" ht="15" hidden="false" customHeight="false" outlineLevel="0" collapsed="false">
      <c r="B1081" s="36" t="n">
        <v>40647</v>
      </c>
      <c r="C1081" s="37" t="n">
        <v>1.5834</v>
      </c>
    </row>
    <row r="1082" customFormat="false" ht="15" hidden="false" customHeight="false" outlineLevel="0" collapsed="false">
      <c r="B1082" s="36" t="n">
        <v>40648</v>
      </c>
      <c r="C1082" s="37" t="n">
        <v>1.5768</v>
      </c>
    </row>
    <row r="1083" customFormat="false" ht="15" hidden="false" customHeight="false" outlineLevel="0" collapsed="false">
      <c r="B1083" s="36" t="n">
        <v>40651</v>
      </c>
      <c r="C1083" s="37" t="n">
        <v>1.5904</v>
      </c>
    </row>
    <row r="1084" customFormat="false" ht="15" hidden="false" customHeight="false" outlineLevel="0" collapsed="false">
      <c r="B1084" s="36" t="n">
        <v>40652</v>
      </c>
      <c r="C1084" s="37" t="n">
        <v>1.5784</v>
      </c>
    </row>
    <row r="1085" customFormat="false" ht="15" hidden="false" customHeight="false" outlineLevel="0" collapsed="false">
      <c r="B1085" s="36" t="n">
        <v>40653</v>
      </c>
      <c r="C1085" s="37" t="n">
        <v>1.5714</v>
      </c>
    </row>
    <row r="1086" customFormat="false" ht="15" hidden="false" customHeight="false" outlineLevel="0" collapsed="false">
      <c r="B1086" s="36" t="n">
        <v>40658</v>
      </c>
      <c r="C1086" s="37" t="n">
        <v>1.5712</v>
      </c>
    </row>
    <row r="1087" customFormat="false" ht="15" hidden="false" customHeight="false" outlineLevel="0" collapsed="false">
      <c r="B1087" s="36" t="n">
        <v>40659</v>
      </c>
      <c r="C1087" s="37" t="n">
        <v>1.5646</v>
      </c>
    </row>
    <row r="1088" customFormat="false" ht="15" hidden="false" customHeight="false" outlineLevel="0" collapsed="false">
      <c r="B1088" s="36" t="n">
        <v>40660</v>
      </c>
      <c r="C1088" s="37" t="n">
        <v>1.5697</v>
      </c>
    </row>
    <row r="1089" customFormat="false" ht="15" hidden="false" customHeight="false" outlineLevel="0" collapsed="false">
      <c r="B1089" s="36" t="n">
        <v>40661</v>
      </c>
      <c r="C1089" s="37" t="n">
        <v>1.5845</v>
      </c>
    </row>
    <row r="1090" customFormat="false" ht="15" hidden="false" customHeight="false" outlineLevel="0" collapsed="false">
      <c r="B1090" s="36" t="n">
        <v>40662</v>
      </c>
      <c r="C1090" s="37" t="n">
        <v>1.5725</v>
      </c>
    </row>
    <row r="1091" customFormat="false" ht="15" hidden="false" customHeight="false" outlineLevel="0" collapsed="false">
      <c r="B1091" s="36" t="n">
        <v>40665</v>
      </c>
      <c r="C1091" s="37" t="n">
        <v>1.5739</v>
      </c>
    </row>
    <row r="1092" customFormat="false" ht="15" hidden="false" customHeight="false" outlineLevel="0" collapsed="false">
      <c r="B1092" s="36" t="n">
        <v>40666</v>
      </c>
      <c r="C1092" s="37" t="n">
        <v>1.5882</v>
      </c>
    </row>
    <row r="1093" customFormat="false" ht="15" hidden="false" customHeight="false" outlineLevel="0" collapsed="false">
      <c r="B1093" s="36" t="n">
        <v>40667</v>
      </c>
      <c r="C1093" s="37" t="n">
        <v>1.6022</v>
      </c>
    </row>
    <row r="1094" customFormat="false" ht="15" hidden="false" customHeight="false" outlineLevel="0" collapsed="false">
      <c r="B1094" s="36" t="n">
        <v>40668</v>
      </c>
      <c r="C1094" s="37" t="n">
        <v>1.6211</v>
      </c>
    </row>
    <row r="1095" customFormat="false" ht="15" hidden="false" customHeight="false" outlineLevel="0" collapsed="false">
      <c r="B1095" s="36" t="n">
        <v>40669</v>
      </c>
      <c r="C1095" s="37" t="n">
        <v>1.6103</v>
      </c>
    </row>
    <row r="1096" customFormat="false" ht="15" hidden="false" customHeight="false" outlineLevel="0" collapsed="false">
      <c r="B1096" s="36" t="n">
        <v>40672</v>
      </c>
      <c r="C1096" s="37" t="n">
        <v>1.6191</v>
      </c>
    </row>
    <row r="1097" customFormat="false" ht="15" hidden="false" customHeight="false" outlineLevel="0" collapsed="false">
      <c r="B1097" s="36" t="n">
        <v>40673</v>
      </c>
      <c r="C1097" s="37" t="n">
        <v>1.6061</v>
      </c>
    </row>
    <row r="1098" customFormat="false" ht="15" hidden="false" customHeight="false" outlineLevel="0" collapsed="false">
      <c r="B1098" s="36" t="n">
        <v>40674</v>
      </c>
      <c r="C1098" s="37" t="n">
        <v>1.617</v>
      </c>
    </row>
    <row r="1099" customFormat="false" ht="15" hidden="false" customHeight="false" outlineLevel="0" collapsed="false">
      <c r="B1099" s="36" t="n">
        <v>40675</v>
      </c>
      <c r="C1099" s="37" t="n">
        <v>1.6199</v>
      </c>
    </row>
    <row r="1100" customFormat="false" ht="15" hidden="false" customHeight="false" outlineLevel="0" collapsed="false">
      <c r="B1100" s="36" t="n">
        <v>40676</v>
      </c>
      <c r="C1100" s="37" t="n">
        <v>1.632</v>
      </c>
    </row>
    <row r="1101" customFormat="false" ht="15" hidden="false" customHeight="false" outlineLevel="0" collapsed="false">
      <c r="B1101" s="36" t="n">
        <v>40679</v>
      </c>
      <c r="C1101" s="37" t="n">
        <v>1.6309</v>
      </c>
    </row>
    <row r="1102" customFormat="false" ht="15" hidden="false" customHeight="false" outlineLevel="0" collapsed="false">
      <c r="B1102" s="36" t="n">
        <v>40680</v>
      </c>
      <c r="C1102" s="37" t="n">
        <v>1.6282</v>
      </c>
    </row>
    <row r="1103" customFormat="false" ht="15" hidden="false" customHeight="false" outlineLevel="0" collapsed="false">
      <c r="B1103" s="36" t="n">
        <v>40681</v>
      </c>
      <c r="C1103" s="37" t="n">
        <v>1.6158</v>
      </c>
    </row>
    <row r="1104" customFormat="false" ht="15" hidden="false" customHeight="false" outlineLevel="0" collapsed="false">
      <c r="B1104" s="36" t="n">
        <v>40682</v>
      </c>
      <c r="C1104" s="37" t="n">
        <v>1.6157</v>
      </c>
    </row>
    <row r="1105" customFormat="false" ht="15" hidden="false" customHeight="false" outlineLevel="0" collapsed="false">
      <c r="B1105" s="36" t="n">
        <v>40683</v>
      </c>
      <c r="C1105" s="37" t="n">
        <v>1.6161</v>
      </c>
    </row>
    <row r="1106" customFormat="false" ht="15" hidden="false" customHeight="false" outlineLevel="0" collapsed="false">
      <c r="B1106" s="36" t="n">
        <v>40686</v>
      </c>
      <c r="C1106" s="37" t="n">
        <v>1.6331</v>
      </c>
    </row>
    <row r="1107" customFormat="false" ht="15" hidden="false" customHeight="false" outlineLevel="0" collapsed="false">
      <c r="B1107" s="36" t="n">
        <v>40687</v>
      </c>
      <c r="C1107" s="37" t="n">
        <v>1.6248</v>
      </c>
    </row>
    <row r="1108" customFormat="false" ht="15" hidden="false" customHeight="false" outlineLevel="0" collapsed="false">
      <c r="B1108" s="36" t="n">
        <v>40688</v>
      </c>
      <c r="C1108" s="37" t="n">
        <v>1.6289</v>
      </c>
    </row>
    <row r="1109" customFormat="false" ht="15" hidden="false" customHeight="false" outlineLevel="0" collapsed="false">
      <c r="B1109" s="36" t="n">
        <v>40689</v>
      </c>
      <c r="C1109" s="37" t="n">
        <v>1.6188</v>
      </c>
    </row>
    <row r="1110" customFormat="false" ht="15" hidden="false" customHeight="false" outlineLevel="0" collapsed="false">
      <c r="B1110" s="36" t="n">
        <v>40690</v>
      </c>
      <c r="C1110" s="37" t="n">
        <v>1.603</v>
      </c>
    </row>
    <row r="1111" customFormat="false" ht="15" hidden="false" customHeight="false" outlineLevel="0" collapsed="false">
      <c r="B1111" s="36" t="n">
        <v>40693</v>
      </c>
      <c r="C1111" s="37" t="n">
        <v>1.595</v>
      </c>
    </row>
    <row r="1112" customFormat="false" ht="15" hidden="false" customHeight="false" outlineLevel="0" collapsed="false">
      <c r="B1112" s="36" t="n">
        <v>40694</v>
      </c>
      <c r="C1112" s="37" t="n">
        <v>1.5791</v>
      </c>
    </row>
    <row r="1113" customFormat="false" ht="15" hidden="false" customHeight="false" outlineLevel="0" collapsed="false">
      <c r="B1113" s="36" t="n">
        <v>40695</v>
      </c>
      <c r="C1113" s="37" t="n">
        <v>1.587</v>
      </c>
    </row>
    <row r="1114" customFormat="false" ht="15" hidden="false" customHeight="false" outlineLevel="0" collapsed="false">
      <c r="B1114" s="36" t="n">
        <v>40696</v>
      </c>
      <c r="C1114" s="37" t="n">
        <v>1.5797</v>
      </c>
    </row>
    <row r="1115" customFormat="false" ht="15" hidden="false" customHeight="false" outlineLevel="0" collapsed="false">
      <c r="B1115" s="36" t="n">
        <v>40697</v>
      </c>
      <c r="C1115" s="37" t="n">
        <v>1.5736</v>
      </c>
    </row>
    <row r="1116" customFormat="false" ht="15" hidden="false" customHeight="false" outlineLevel="0" collapsed="false">
      <c r="B1116" s="36" t="n">
        <v>40700</v>
      </c>
      <c r="C1116" s="37" t="n">
        <v>1.5802</v>
      </c>
    </row>
    <row r="1117" customFormat="false" ht="15" hidden="false" customHeight="false" outlineLevel="0" collapsed="false">
      <c r="B1117" s="36" t="n">
        <v>40701</v>
      </c>
      <c r="C1117" s="37" t="n">
        <v>1.5756</v>
      </c>
    </row>
    <row r="1118" customFormat="false" ht="15" hidden="false" customHeight="false" outlineLevel="0" collapsed="false">
      <c r="B1118" s="36" t="n">
        <v>40702</v>
      </c>
      <c r="C1118" s="37" t="n">
        <v>1.5812</v>
      </c>
    </row>
    <row r="1119" customFormat="false" ht="15" hidden="false" customHeight="false" outlineLevel="0" collapsed="false">
      <c r="B1119" s="36" t="n">
        <v>40703</v>
      </c>
      <c r="C1119" s="37" t="n">
        <v>1.5869</v>
      </c>
    </row>
    <row r="1120" customFormat="false" ht="15" hidden="false" customHeight="false" outlineLevel="0" collapsed="false">
      <c r="B1120" s="36" t="n">
        <v>40704</v>
      </c>
      <c r="C1120" s="37" t="n">
        <v>1.593</v>
      </c>
    </row>
    <row r="1121" customFormat="false" ht="15" hidden="false" customHeight="false" outlineLevel="0" collapsed="false">
      <c r="B1121" s="36" t="n">
        <v>40707</v>
      </c>
      <c r="C1121" s="37" t="n">
        <v>1.588</v>
      </c>
    </row>
    <row r="1122" customFormat="false" ht="15" hidden="false" customHeight="false" outlineLevel="0" collapsed="false">
      <c r="B1122" s="36" t="n">
        <v>40708</v>
      </c>
      <c r="C1122" s="37" t="n">
        <v>1.5813</v>
      </c>
    </row>
    <row r="1123" customFormat="false" ht="15" hidden="false" customHeight="false" outlineLevel="0" collapsed="false">
      <c r="B1123" s="36" t="n">
        <v>40709</v>
      </c>
      <c r="C1123" s="37" t="n">
        <v>1.5952</v>
      </c>
    </row>
    <row r="1124" customFormat="false" ht="15" hidden="false" customHeight="false" outlineLevel="0" collapsed="false">
      <c r="B1124" s="36" t="n">
        <v>40710</v>
      </c>
      <c r="C1124" s="37" t="n">
        <v>1.61</v>
      </c>
    </row>
    <row r="1125" customFormat="false" ht="15" hidden="false" customHeight="false" outlineLevel="0" collapsed="false">
      <c r="B1125" s="36" t="n">
        <v>40711</v>
      </c>
      <c r="C1125" s="37" t="n">
        <v>1.5971</v>
      </c>
    </row>
    <row r="1126" customFormat="false" ht="15" hidden="false" customHeight="false" outlineLevel="0" collapsed="false">
      <c r="B1126" s="36" t="n">
        <v>40714</v>
      </c>
      <c r="C1126" s="37" t="n">
        <v>1.5961</v>
      </c>
    </row>
    <row r="1127" customFormat="false" ht="15" hidden="false" customHeight="false" outlineLevel="0" collapsed="false">
      <c r="B1127" s="36" t="n">
        <v>40715</v>
      </c>
      <c r="C1127" s="37" t="n">
        <v>1.5902</v>
      </c>
    </row>
    <row r="1128" customFormat="false" ht="15" hidden="false" customHeight="false" outlineLevel="0" collapsed="false">
      <c r="B1128" s="36" t="n">
        <v>40716</v>
      </c>
      <c r="C1128" s="37" t="n">
        <v>1.5869</v>
      </c>
    </row>
    <row r="1129" customFormat="false" ht="15" hidden="false" customHeight="false" outlineLevel="0" collapsed="false">
      <c r="B1129" s="36" t="n">
        <v>40718</v>
      </c>
      <c r="C1129" s="37" t="n">
        <v>1.598</v>
      </c>
    </row>
    <row r="1130" customFormat="false" ht="15" hidden="false" customHeight="false" outlineLevel="0" collapsed="false">
      <c r="B1130" s="36" t="n">
        <v>40721</v>
      </c>
      <c r="C1130" s="37" t="n">
        <v>1.5961</v>
      </c>
    </row>
    <row r="1131" customFormat="false" ht="15" hidden="false" customHeight="false" outlineLevel="0" collapsed="false">
      <c r="B1131" s="36" t="n">
        <v>40722</v>
      </c>
      <c r="C1131" s="37" t="n">
        <v>1.5825</v>
      </c>
    </row>
    <row r="1132" customFormat="false" ht="15" hidden="false" customHeight="false" outlineLevel="0" collapsed="false">
      <c r="B1132" s="36" t="n">
        <v>40723</v>
      </c>
      <c r="C1132" s="37" t="n">
        <v>1.5722</v>
      </c>
    </row>
    <row r="1133" customFormat="false" ht="15" hidden="false" customHeight="false" outlineLevel="0" collapsed="false">
      <c r="B1133" s="36" t="n">
        <v>40724</v>
      </c>
      <c r="C1133" s="37" t="n">
        <v>1.5603</v>
      </c>
    </row>
    <row r="1134" customFormat="false" ht="15" hidden="false" customHeight="false" outlineLevel="0" collapsed="false">
      <c r="B1134" s="36" t="n">
        <v>40725</v>
      </c>
      <c r="C1134" s="37" t="n">
        <v>1.5591</v>
      </c>
    </row>
    <row r="1135" customFormat="false" ht="15" hidden="false" customHeight="false" outlineLevel="0" collapsed="false">
      <c r="B1135" s="36" t="n">
        <v>40728</v>
      </c>
      <c r="C1135" s="37" t="n">
        <v>1.5572</v>
      </c>
    </row>
    <row r="1136" customFormat="false" ht="15" hidden="false" customHeight="false" outlineLevel="0" collapsed="false">
      <c r="B1136" s="36" t="n">
        <v>40729</v>
      </c>
      <c r="C1136" s="37" t="n">
        <v>1.5629</v>
      </c>
    </row>
    <row r="1137" customFormat="false" ht="15" hidden="false" customHeight="false" outlineLevel="0" collapsed="false">
      <c r="B1137" s="36" t="n">
        <v>40730</v>
      </c>
      <c r="C1137" s="37" t="n">
        <v>1.5654</v>
      </c>
    </row>
    <row r="1138" customFormat="false" ht="15" hidden="false" customHeight="false" outlineLevel="0" collapsed="false">
      <c r="B1138" s="36" t="n">
        <v>40731</v>
      </c>
      <c r="C1138" s="37" t="n">
        <v>1.5573</v>
      </c>
    </row>
    <row r="1139" customFormat="false" ht="15" hidden="false" customHeight="false" outlineLevel="0" collapsed="false">
      <c r="B1139" s="36" t="n">
        <v>40732</v>
      </c>
      <c r="C1139" s="37" t="n">
        <v>1.5626</v>
      </c>
    </row>
    <row r="1140" customFormat="false" ht="15" hidden="false" customHeight="false" outlineLevel="0" collapsed="false">
      <c r="B1140" s="36" t="n">
        <v>40735</v>
      </c>
      <c r="C1140" s="37" t="n">
        <v>1.5788</v>
      </c>
    </row>
    <row r="1141" customFormat="false" ht="15" hidden="false" customHeight="false" outlineLevel="0" collapsed="false">
      <c r="B1141" s="36" t="n">
        <v>40736</v>
      </c>
      <c r="C1141" s="37" t="n">
        <v>1.5765</v>
      </c>
    </row>
    <row r="1142" customFormat="false" ht="15" hidden="false" customHeight="false" outlineLevel="0" collapsed="false">
      <c r="B1142" s="36" t="n">
        <v>40737</v>
      </c>
      <c r="C1142" s="37" t="n">
        <v>1.5754</v>
      </c>
    </row>
    <row r="1143" customFormat="false" ht="15" hidden="false" customHeight="false" outlineLevel="0" collapsed="false">
      <c r="B1143" s="36" t="n">
        <v>40738</v>
      </c>
      <c r="C1143" s="37" t="n">
        <v>1.5721</v>
      </c>
    </row>
    <row r="1144" customFormat="false" ht="15" hidden="false" customHeight="false" outlineLevel="0" collapsed="false">
      <c r="B1144" s="36" t="n">
        <v>40739</v>
      </c>
      <c r="C1144" s="37" t="n">
        <v>1.5735</v>
      </c>
    </row>
    <row r="1145" customFormat="false" ht="15" hidden="false" customHeight="false" outlineLevel="0" collapsed="false">
      <c r="B1145" s="36" t="n">
        <v>40742</v>
      </c>
      <c r="C1145" s="37" t="n">
        <v>1.582</v>
      </c>
    </row>
    <row r="1146" customFormat="false" ht="15" hidden="false" customHeight="false" outlineLevel="0" collapsed="false">
      <c r="B1146" s="36" t="n">
        <v>40743</v>
      </c>
      <c r="C1146" s="37" t="n">
        <v>1.5683</v>
      </c>
    </row>
    <row r="1147" customFormat="false" ht="15" hidden="false" customHeight="false" outlineLevel="0" collapsed="false">
      <c r="B1147" s="36" t="n">
        <v>40744</v>
      </c>
      <c r="C1147" s="37" t="n">
        <v>1.5643</v>
      </c>
    </row>
    <row r="1148" customFormat="false" ht="15" hidden="false" customHeight="false" outlineLevel="0" collapsed="false">
      <c r="B1148" s="36" t="n">
        <v>40745</v>
      </c>
      <c r="C1148" s="37" t="n">
        <v>1.5559</v>
      </c>
    </row>
    <row r="1149" customFormat="false" ht="15" hidden="false" customHeight="false" outlineLevel="0" collapsed="false">
      <c r="B1149" s="36" t="n">
        <v>40746</v>
      </c>
      <c r="C1149" s="37" t="n">
        <v>1.5539</v>
      </c>
    </row>
    <row r="1150" customFormat="false" ht="15" hidden="false" customHeight="false" outlineLevel="0" collapsed="false">
      <c r="B1150" s="36" t="n">
        <v>40749</v>
      </c>
      <c r="C1150" s="37" t="n">
        <v>1.5441</v>
      </c>
    </row>
    <row r="1151" customFormat="false" ht="15" hidden="false" customHeight="false" outlineLevel="0" collapsed="false">
      <c r="B1151" s="36" t="n">
        <v>40750</v>
      </c>
      <c r="C1151" s="37" t="n">
        <v>1.5337</v>
      </c>
    </row>
    <row r="1152" customFormat="false" ht="15" hidden="false" customHeight="false" outlineLevel="0" collapsed="false">
      <c r="B1152" s="36" t="n">
        <v>40751</v>
      </c>
      <c r="C1152" s="37" t="n">
        <v>1.5631</v>
      </c>
    </row>
    <row r="1153" customFormat="false" ht="15" hidden="false" customHeight="false" outlineLevel="0" collapsed="false">
      <c r="B1153" s="36" t="n">
        <v>40752</v>
      </c>
      <c r="C1153" s="37" t="n">
        <v>1.5643</v>
      </c>
    </row>
    <row r="1154" customFormat="false" ht="15" hidden="false" customHeight="false" outlineLevel="0" collapsed="false">
      <c r="B1154" s="36" t="n">
        <v>40753</v>
      </c>
      <c r="C1154" s="37" t="n">
        <v>1.5555</v>
      </c>
    </row>
    <row r="1155" customFormat="false" ht="15" hidden="false" customHeight="false" outlineLevel="0" collapsed="false">
      <c r="B1155" s="36" t="n">
        <v>40756</v>
      </c>
      <c r="C1155" s="37" t="n">
        <v>1.5543</v>
      </c>
    </row>
    <row r="1156" customFormat="false" ht="15" hidden="false" customHeight="false" outlineLevel="0" collapsed="false">
      <c r="B1156" s="36" t="n">
        <v>40757</v>
      </c>
      <c r="C1156" s="37" t="n">
        <v>1.5648</v>
      </c>
    </row>
    <row r="1157" customFormat="false" ht="15" hidden="false" customHeight="false" outlineLevel="0" collapsed="false">
      <c r="B1157" s="36" t="n">
        <v>40758</v>
      </c>
      <c r="C1157" s="37" t="n">
        <v>1.5643</v>
      </c>
    </row>
    <row r="1158" customFormat="false" ht="15" hidden="false" customHeight="false" outlineLevel="0" collapsed="false">
      <c r="B1158" s="36" t="n">
        <v>40759</v>
      </c>
      <c r="C1158" s="37" t="n">
        <v>1.5744</v>
      </c>
    </row>
    <row r="1159" customFormat="false" ht="15" hidden="false" customHeight="false" outlineLevel="0" collapsed="false">
      <c r="B1159" s="36" t="n">
        <v>40760</v>
      </c>
      <c r="C1159" s="37" t="n">
        <v>1.5887</v>
      </c>
    </row>
    <row r="1160" customFormat="false" ht="15" hidden="false" customHeight="false" outlineLevel="0" collapsed="false">
      <c r="B1160" s="36" t="n">
        <v>40763</v>
      </c>
      <c r="C1160" s="37" t="n">
        <v>1.5991</v>
      </c>
    </row>
    <row r="1161" customFormat="false" ht="15" hidden="false" customHeight="false" outlineLevel="0" collapsed="false">
      <c r="B1161" s="36" t="n">
        <v>40764</v>
      </c>
      <c r="C1161" s="37" t="n">
        <v>1.6326</v>
      </c>
    </row>
    <row r="1162" customFormat="false" ht="15" hidden="false" customHeight="false" outlineLevel="0" collapsed="false">
      <c r="B1162" s="36" t="n">
        <v>40765</v>
      </c>
      <c r="C1162" s="37" t="n">
        <v>1.6175</v>
      </c>
    </row>
    <row r="1163" customFormat="false" ht="15" hidden="false" customHeight="false" outlineLevel="0" collapsed="false">
      <c r="B1163" s="36" t="n">
        <v>40766</v>
      </c>
      <c r="C1163" s="37" t="n">
        <v>1.6298</v>
      </c>
    </row>
    <row r="1164" customFormat="false" ht="15" hidden="false" customHeight="false" outlineLevel="0" collapsed="false">
      <c r="B1164" s="36" t="n">
        <v>40767</v>
      </c>
      <c r="C1164" s="37" t="n">
        <v>1.6149</v>
      </c>
    </row>
    <row r="1165" customFormat="false" ht="15" hidden="false" customHeight="false" outlineLevel="0" collapsed="false">
      <c r="B1165" s="36" t="n">
        <v>40770</v>
      </c>
      <c r="C1165" s="37" t="n">
        <v>1.5948</v>
      </c>
    </row>
    <row r="1166" customFormat="false" ht="15" hidden="false" customHeight="false" outlineLevel="0" collapsed="false">
      <c r="B1166" s="36" t="n">
        <v>40771</v>
      </c>
      <c r="C1166" s="37" t="n">
        <v>1.591</v>
      </c>
    </row>
    <row r="1167" customFormat="false" ht="15" hidden="false" customHeight="false" outlineLevel="0" collapsed="false">
      <c r="B1167" s="36" t="n">
        <v>40772</v>
      </c>
      <c r="C1167" s="37" t="n">
        <v>1.5822</v>
      </c>
    </row>
    <row r="1168" customFormat="false" ht="15" hidden="false" customHeight="false" outlineLevel="0" collapsed="false">
      <c r="B1168" s="36" t="n">
        <v>40773</v>
      </c>
      <c r="C1168" s="37" t="n">
        <v>1.6054</v>
      </c>
    </row>
    <row r="1169" customFormat="false" ht="15" hidden="false" customHeight="false" outlineLevel="0" collapsed="false">
      <c r="B1169" s="36" t="n">
        <v>40774</v>
      </c>
      <c r="C1169" s="37" t="n">
        <v>1.5952</v>
      </c>
    </row>
    <row r="1170" customFormat="false" ht="15" hidden="false" customHeight="false" outlineLevel="0" collapsed="false">
      <c r="B1170" s="36" t="n">
        <v>40777</v>
      </c>
      <c r="C1170" s="37" t="n">
        <v>1.6001</v>
      </c>
    </row>
    <row r="1171" customFormat="false" ht="15" hidden="false" customHeight="false" outlineLevel="0" collapsed="false">
      <c r="B1171" s="36" t="n">
        <v>40778</v>
      </c>
      <c r="C1171" s="37" t="n">
        <v>1.6028</v>
      </c>
    </row>
    <row r="1172" customFormat="false" ht="15" hidden="false" customHeight="false" outlineLevel="0" collapsed="false">
      <c r="B1172" s="36" t="n">
        <v>40779</v>
      </c>
      <c r="C1172" s="37" t="n">
        <v>1.6031</v>
      </c>
    </row>
    <row r="1173" customFormat="false" ht="15" hidden="false" customHeight="false" outlineLevel="0" collapsed="false">
      <c r="B1173" s="36" t="n">
        <v>40780</v>
      </c>
      <c r="C1173" s="37" t="n">
        <v>1.6146</v>
      </c>
    </row>
    <row r="1174" customFormat="false" ht="15" hidden="false" customHeight="false" outlineLevel="0" collapsed="false">
      <c r="B1174" s="36" t="n">
        <v>40781</v>
      </c>
      <c r="C1174" s="37" t="n">
        <v>1.6106</v>
      </c>
    </row>
    <row r="1175" customFormat="false" ht="15" hidden="false" customHeight="false" outlineLevel="0" collapsed="false">
      <c r="B1175" s="36" t="n">
        <v>40784</v>
      </c>
      <c r="C1175" s="37" t="n">
        <v>1.5966</v>
      </c>
    </row>
    <row r="1176" customFormat="false" ht="15" hidden="false" customHeight="false" outlineLevel="0" collapsed="false">
      <c r="B1176" s="36" t="n">
        <v>40785</v>
      </c>
      <c r="C1176" s="37" t="n">
        <v>1.5896</v>
      </c>
    </row>
    <row r="1177" customFormat="false" ht="15" hidden="false" customHeight="false" outlineLevel="0" collapsed="false">
      <c r="B1177" s="36" t="n">
        <v>40786</v>
      </c>
      <c r="C1177" s="37" t="n">
        <v>1.5864</v>
      </c>
    </row>
    <row r="1178" customFormat="false" ht="15" hidden="false" customHeight="false" outlineLevel="0" collapsed="false">
      <c r="B1178" s="36" t="n">
        <v>40787</v>
      </c>
      <c r="C1178" s="37" t="n">
        <v>1.6032</v>
      </c>
    </row>
    <row r="1179" customFormat="false" ht="15" hidden="false" customHeight="false" outlineLevel="0" collapsed="false">
      <c r="B1179" s="36" t="n">
        <v>40788</v>
      </c>
      <c r="C1179" s="37" t="n">
        <v>1.6335</v>
      </c>
    </row>
    <row r="1180" customFormat="false" ht="15" hidden="false" customHeight="false" outlineLevel="0" collapsed="false">
      <c r="B1180" s="36" t="n">
        <v>40791</v>
      </c>
      <c r="C1180" s="37" t="n">
        <v>1.6514</v>
      </c>
    </row>
    <row r="1181" customFormat="false" ht="15" hidden="false" customHeight="false" outlineLevel="0" collapsed="false">
      <c r="B1181" s="36" t="n">
        <v>40792</v>
      </c>
      <c r="C1181" s="37" t="n">
        <v>1.6575</v>
      </c>
    </row>
    <row r="1182" customFormat="false" ht="15" hidden="false" customHeight="false" outlineLevel="0" collapsed="false">
      <c r="B1182" s="36" t="n">
        <v>40794</v>
      </c>
      <c r="C1182" s="37" t="n">
        <v>1.6558</v>
      </c>
    </row>
    <row r="1183" customFormat="false" ht="15" hidden="false" customHeight="false" outlineLevel="0" collapsed="false">
      <c r="B1183" s="36" t="n">
        <v>40795</v>
      </c>
      <c r="C1183" s="37" t="n">
        <v>1.6766</v>
      </c>
    </row>
    <row r="1184" customFormat="false" ht="15" hidden="false" customHeight="false" outlineLevel="0" collapsed="false">
      <c r="B1184" s="36" t="n">
        <v>40798</v>
      </c>
      <c r="C1184" s="37" t="n">
        <v>1.6891</v>
      </c>
    </row>
    <row r="1185" customFormat="false" ht="15" hidden="false" customHeight="false" outlineLevel="0" collapsed="false">
      <c r="B1185" s="36" t="n">
        <v>40799</v>
      </c>
      <c r="C1185" s="37" t="n">
        <v>1.7119</v>
      </c>
    </row>
    <row r="1186" customFormat="false" ht="15" hidden="false" customHeight="false" outlineLevel="0" collapsed="false">
      <c r="B1186" s="36" t="n">
        <v>40800</v>
      </c>
      <c r="C1186" s="37" t="n">
        <v>1.728</v>
      </c>
    </row>
    <row r="1187" customFormat="false" ht="15" hidden="false" customHeight="false" outlineLevel="0" collapsed="false">
      <c r="B1187" s="36" t="n">
        <v>40801</v>
      </c>
      <c r="C1187" s="37" t="n">
        <v>1.7098</v>
      </c>
    </row>
    <row r="1188" customFormat="false" ht="15" hidden="false" customHeight="false" outlineLevel="0" collapsed="false">
      <c r="B1188" s="36" t="n">
        <v>40802</v>
      </c>
      <c r="C1188" s="37" t="n">
        <v>1.7114</v>
      </c>
    </row>
    <row r="1189" customFormat="false" ht="15" hidden="false" customHeight="false" outlineLevel="0" collapsed="false">
      <c r="B1189" s="36" t="n">
        <v>40805</v>
      </c>
      <c r="C1189" s="37" t="n">
        <v>1.7755</v>
      </c>
    </row>
    <row r="1190" customFormat="false" ht="15" hidden="false" customHeight="false" outlineLevel="0" collapsed="false">
      <c r="B1190" s="36" t="n">
        <v>40806</v>
      </c>
      <c r="C1190" s="37" t="n">
        <v>1.7862</v>
      </c>
    </row>
    <row r="1191" customFormat="false" ht="15" hidden="false" customHeight="false" outlineLevel="0" collapsed="false">
      <c r="B1191" s="36" t="n">
        <v>40807</v>
      </c>
      <c r="C1191" s="37" t="n">
        <v>1.8272</v>
      </c>
    </row>
    <row r="1192" customFormat="false" ht="15" hidden="false" customHeight="false" outlineLevel="0" collapsed="false">
      <c r="B1192" s="36" t="n">
        <v>40808</v>
      </c>
      <c r="C1192" s="37" t="n">
        <v>1.9008</v>
      </c>
    </row>
    <row r="1193" customFormat="false" ht="15" hidden="false" customHeight="false" outlineLevel="0" collapsed="false">
      <c r="B1193" s="36" t="n">
        <v>40809</v>
      </c>
      <c r="C1193" s="37" t="n">
        <v>1.8727</v>
      </c>
    </row>
    <row r="1194" customFormat="false" ht="15" hidden="false" customHeight="false" outlineLevel="0" collapsed="false">
      <c r="B1194" s="36" t="n">
        <v>40812</v>
      </c>
      <c r="C1194" s="37" t="n">
        <v>1.8437</v>
      </c>
    </row>
    <row r="1195" customFormat="false" ht="15" hidden="false" customHeight="false" outlineLevel="0" collapsed="false">
      <c r="B1195" s="36" t="n">
        <v>40813</v>
      </c>
      <c r="C1195" s="37" t="n">
        <v>1.8</v>
      </c>
    </row>
    <row r="1196" customFormat="false" ht="15" hidden="false" customHeight="false" outlineLevel="0" collapsed="false">
      <c r="B1196" s="36" t="n">
        <v>40814</v>
      </c>
      <c r="C1196" s="37" t="n">
        <v>1.8123</v>
      </c>
    </row>
    <row r="1197" customFormat="false" ht="15" hidden="false" customHeight="false" outlineLevel="0" collapsed="false">
      <c r="B1197" s="36" t="n">
        <v>40815</v>
      </c>
      <c r="C1197" s="37" t="n">
        <v>1.8283</v>
      </c>
    </row>
    <row r="1198" customFormat="false" ht="15" hidden="false" customHeight="false" outlineLevel="0" collapsed="false">
      <c r="B1198" s="36" t="n">
        <v>40816</v>
      </c>
      <c r="C1198" s="37" t="n">
        <v>1.8536</v>
      </c>
    </row>
    <row r="1199" customFormat="false" ht="15" hidden="false" customHeight="false" outlineLevel="0" collapsed="false">
      <c r="B1199" s="36" t="n">
        <v>40819</v>
      </c>
      <c r="C1199" s="37" t="n">
        <v>1.8804</v>
      </c>
    </row>
    <row r="1200" customFormat="false" ht="15" hidden="false" customHeight="false" outlineLevel="0" collapsed="false">
      <c r="B1200" s="36" t="n">
        <v>40820</v>
      </c>
      <c r="C1200" s="37" t="n">
        <v>1.8848</v>
      </c>
    </row>
    <row r="1201" customFormat="false" ht="15" hidden="false" customHeight="false" outlineLevel="0" collapsed="false">
      <c r="B1201" s="36" t="n">
        <v>40821</v>
      </c>
      <c r="C1201" s="37" t="n">
        <v>1.8449</v>
      </c>
    </row>
    <row r="1202" customFormat="false" ht="15" hidden="false" customHeight="false" outlineLevel="0" collapsed="false">
      <c r="B1202" s="36" t="n">
        <v>40822</v>
      </c>
      <c r="C1202" s="37" t="n">
        <v>1.8109</v>
      </c>
    </row>
    <row r="1203" customFormat="false" ht="15" hidden="false" customHeight="false" outlineLevel="0" collapsed="false">
      <c r="B1203" s="36" t="n">
        <v>40823</v>
      </c>
      <c r="C1203" s="37" t="n">
        <v>1.7659</v>
      </c>
    </row>
    <row r="1204" customFormat="false" ht="15" hidden="false" customHeight="false" outlineLevel="0" collapsed="false">
      <c r="B1204" s="36" t="n">
        <v>40826</v>
      </c>
      <c r="C1204" s="37" t="n">
        <v>1.7471</v>
      </c>
    </row>
    <row r="1205" customFormat="false" ht="15" hidden="false" customHeight="false" outlineLevel="0" collapsed="false">
      <c r="B1205" s="36" t="n">
        <v>40827</v>
      </c>
      <c r="C1205" s="37" t="n">
        <v>1.7652</v>
      </c>
    </row>
    <row r="1206" customFormat="false" ht="15" hidden="false" customHeight="false" outlineLevel="0" collapsed="false">
      <c r="B1206" s="36" t="n">
        <v>40829</v>
      </c>
      <c r="C1206" s="37" t="n">
        <v>1.7529</v>
      </c>
    </row>
    <row r="1207" customFormat="false" ht="15" hidden="false" customHeight="false" outlineLevel="0" collapsed="false">
      <c r="B1207" s="36" t="n">
        <v>40830</v>
      </c>
      <c r="C1207" s="37" t="n">
        <v>1.7369</v>
      </c>
    </row>
    <row r="1208" customFormat="false" ht="15" hidden="false" customHeight="false" outlineLevel="0" collapsed="false">
      <c r="B1208" s="36" t="n">
        <v>40833</v>
      </c>
      <c r="C1208" s="37" t="n">
        <v>1.7481</v>
      </c>
    </row>
    <row r="1209" customFormat="false" ht="15" hidden="false" customHeight="false" outlineLevel="0" collapsed="false">
      <c r="B1209" s="36" t="n">
        <v>40834</v>
      </c>
      <c r="C1209" s="37" t="n">
        <v>1.7717</v>
      </c>
    </row>
    <row r="1210" customFormat="false" ht="15" hidden="false" customHeight="false" outlineLevel="0" collapsed="false">
      <c r="B1210" s="36" t="n">
        <v>40835</v>
      </c>
      <c r="C1210" s="37" t="n">
        <v>1.7597</v>
      </c>
    </row>
    <row r="1211" customFormat="false" ht="15" hidden="false" customHeight="false" outlineLevel="0" collapsed="false">
      <c r="B1211" s="36" t="n">
        <v>40836</v>
      </c>
      <c r="C1211" s="37" t="n">
        <v>1.7819</v>
      </c>
    </row>
    <row r="1212" customFormat="false" ht="15" hidden="false" customHeight="false" outlineLevel="0" collapsed="false">
      <c r="B1212" s="36" t="n">
        <v>40837</v>
      </c>
      <c r="C1212" s="37" t="n">
        <v>1.7796</v>
      </c>
    </row>
    <row r="1213" customFormat="false" ht="15" hidden="false" customHeight="false" outlineLevel="0" collapsed="false">
      <c r="B1213" s="36" t="n">
        <v>40840</v>
      </c>
      <c r="C1213" s="37" t="n">
        <v>1.7761</v>
      </c>
    </row>
    <row r="1214" customFormat="false" ht="15" hidden="false" customHeight="false" outlineLevel="0" collapsed="false">
      <c r="B1214" s="36" t="n">
        <v>40841</v>
      </c>
      <c r="C1214" s="37" t="n">
        <v>1.7541</v>
      </c>
    </row>
    <row r="1215" customFormat="false" ht="15" hidden="false" customHeight="false" outlineLevel="0" collapsed="false">
      <c r="B1215" s="36" t="n">
        <v>40842</v>
      </c>
      <c r="C1215" s="37" t="n">
        <v>1.7599</v>
      </c>
    </row>
    <row r="1216" customFormat="false" ht="15" hidden="false" customHeight="false" outlineLevel="0" collapsed="false">
      <c r="B1216" s="36" t="n">
        <v>40843</v>
      </c>
      <c r="C1216" s="37" t="n">
        <v>1.7316</v>
      </c>
    </row>
    <row r="1217" customFormat="false" ht="15" hidden="false" customHeight="false" outlineLevel="0" collapsed="false">
      <c r="B1217" s="36" t="n">
        <v>40844</v>
      </c>
      <c r="C1217" s="37" t="n">
        <v>1.6979</v>
      </c>
    </row>
    <row r="1218" customFormat="false" ht="15" hidden="false" customHeight="false" outlineLevel="0" collapsed="false">
      <c r="B1218" s="36" t="n">
        <v>40847</v>
      </c>
      <c r="C1218" s="37" t="n">
        <v>1.6878</v>
      </c>
    </row>
    <row r="1219" customFormat="false" ht="15" hidden="false" customHeight="false" outlineLevel="0" collapsed="false">
      <c r="B1219" s="36" t="n">
        <v>40848</v>
      </c>
      <c r="C1219" s="37" t="n">
        <v>1.7499</v>
      </c>
    </row>
    <row r="1220" customFormat="false" ht="15" hidden="false" customHeight="false" outlineLevel="0" collapsed="false">
      <c r="B1220" s="36" t="n">
        <v>40850</v>
      </c>
      <c r="C1220" s="37" t="n">
        <v>1.7262</v>
      </c>
    </row>
    <row r="1221" customFormat="false" ht="15" hidden="false" customHeight="false" outlineLevel="0" collapsed="false">
      <c r="B1221" s="36" t="n">
        <v>40851</v>
      </c>
      <c r="C1221" s="37" t="n">
        <v>1.7408</v>
      </c>
    </row>
    <row r="1222" customFormat="false" ht="15" hidden="false" customHeight="false" outlineLevel="0" collapsed="false">
      <c r="B1222" s="36" t="n">
        <v>40854</v>
      </c>
      <c r="C1222" s="37" t="n">
        <v>1.7496</v>
      </c>
    </row>
    <row r="1223" customFormat="false" ht="15" hidden="false" customHeight="false" outlineLevel="0" collapsed="false">
      <c r="B1223" s="36" t="n">
        <v>40855</v>
      </c>
      <c r="C1223" s="37" t="n">
        <v>1.7446</v>
      </c>
    </row>
    <row r="1224" customFormat="false" ht="15" hidden="false" customHeight="false" outlineLevel="0" collapsed="false">
      <c r="B1224" s="36" t="n">
        <v>40856</v>
      </c>
      <c r="C1224" s="37" t="n">
        <v>1.751</v>
      </c>
    </row>
    <row r="1225" customFormat="false" ht="15" hidden="false" customHeight="false" outlineLevel="0" collapsed="false">
      <c r="B1225" s="36" t="n">
        <v>40857</v>
      </c>
      <c r="C1225" s="37" t="n">
        <v>1.7603</v>
      </c>
    </row>
    <row r="1226" customFormat="false" ht="15" hidden="false" customHeight="false" outlineLevel="0" collapsed="false">
      <c r="B1226" s="36" t="n">
        <v>40858</v>
      </c>
      <c r="C1226" s="37" t="n">
        <v>1.754</v>
      </c>
    </row>
    <row r="1227" customFormat="false" ht="15" hidden="false" customHeight="false" outlineLevel="0" collapsed="false">
      <c r="B1227" s="36" t="n">
        <v>40861</v>
      </c>
      <c r="C1227" s="37" t="n">
        <v>1.7642</v>
      </c>
    </row>
    <row r="1228" customFormat="false" ht="15" hidden="false" customHeight="false" outlineLevel="0" collapsed="false">
      <c r="B1228" s="36" t="n">
        <v>40863</v>
      </c>
      <c r="C1228" s="37" t="n">
        <v>1.7765</v>
      </c>
    </row>
    <row r="1229" customFormat="false" ht="15" hidden="false" customHeight="false" outlineLevel="0" collapsed="false">
      <c r="B1229" s="36" t="n">
        <v>40864</v>
      </c>
      <c r="C1229" s="37" t="n">
        <v>1.7767</v>
      </c>
    </row>
    <row r="1230" customFormat="false" ht="15" hidden="false" customHeight="false" outlineLevel="0" collapsed="false">
      <c r="B1230" s="36" t="n">
        <v>40865</v>
      </c>
      <c r="C1230" s="37" t="n">
        <v>1.7716</v>
      </c>
    </row>
    <row r="1231" customFormat="false" ht="15" hidden="false" customHeight="false" outlineLevel="0" collapsed="false">
      <c r="B1231" s="36" t="n">
        <v>40868</v>
      </c>
      <c r="C1231" s="37" t="n">
        <v>1.8053</v>
      </c>
    </row>
    <row r="1232" customFormat="false" ht="15" hidden="false" customHeight="false" outlineLevel="0" collapsed="false">
      <c r="B1232" s="36" t="n">
        <v>40869</v>
      </c>
      <c r="C1232" s="37" t="n">
        <v>1.8062</v>
      </c>
    </row>
    <row r="1233" customFormat="false" ht="15" hidden="false" customHeight="false" outlineLevel="0" collapsed="false">
      <c r="B1233" s="36" t="n">
        <v>40870</v>
      </c>
      <c r="C1233" s="37" t="n">
        <v>1.8434</v>
      </c>
    </row>
    <row r="1234" customFormat="false" ht="15" hidden="false" customHeight="false" outlineLevel="0" collapsed="false">
      <c r="B1234" s="36" t="n">
        <v>40871</v>
      </c>
      <c r="C1234" s="37" t="n">
        <v>1.8652</v>
      </c>
    </row>
    <row r="1235" customFormat="false" ht="15" hidden="false" customHeight="false" outlineLevel="0" collapsed="false">
      <c r="B1235" s="36" t="n">
        <v>40872</v>
      </c>
      <c r="C1235" s="37" t="n">
        <v>1.893</v>
      </c>
    </row>
    <row r="1236" customFormat="false" ht="15" hidden="false" customHeight="false" outlineLevel="0" collapsed="false">
      <c r="B1236" s="36" t="n">
        <v>40875</v>
      </c>
      <c r="C1236" s="37" t="n">
        <v>1.859</v>
      </c>
    </row>
    <row r="1237" customFormat="false" ht="15" hidden="false" customHeight="false" outlineLevel="0" collapsed="false">
      <c r="B1237" s="36" t="n">
        <v>40876</v>
      </c>
      <c r="C1237" s="37" t="n">
        <v>1.8478</v>
      </c>
    </row>
    <row r="1238" customFormat="false" ht="15" hidden="false" customHeight="false" outlineLevel="0" collapsed="false">
      <c r="B1238" s="36" t="n">
        <v>40877</v>
      </c>
      <c r="C1238" s="37" t="n">
        <v>1.8102</v>
      </c>
    </row>
    <row r="1239" customFormat="false" ht="15" hidden="false" customHeight="false" outlineLevel="0" collapsed="false">
      <c r="B1239" s="36" t="n">
        <v>40878</v>
      </c>
      <c r="C1239" s="37" t="n">
        <v>1.7922</v>
      </c>
    </row>
    <row r="1240" customFormat="false" ht="15" hidden="false" customHeight="false" outlineLevel="0" collapsed="false">
      <c r="B1240" s="36" t="n">
        <v>40879</v>
      </c>
      <c r="C1240" s="37" t="n">
        <v>1.7836</v>
      </c>
    </row>
    <row r="1241" customFormat="false" ht="15" hidden="false" customHeight="false" outlineLevel="0" collapsed="false">
      <c r="B1241" s="36" t="n">
        <v>40882</v>
      </c>
      <c r="C1241" s="37" t="n">
        <v>1.7823</v>
      </c>
    </row>
    <row r="1242" customFormat="false" ht="15" hidden="false" customHeight="false" outlineLevel="0" collapsed="false">
      <c r="B1242" s="36" t="n">
        <v>40883</v>
      </c>
      <c r="C1242" s="37" t="n">
        <v>1.7906</v>
      </c>
    </row>
    <row r="1243" customFormat="false" ht="15" hidden="false" customHeight="false" outlineLevel="0" collapsed="false">
      <c r="B1243" s="36" t="n">
        <v>40884</v>
      </c>
      <c r="C1243" s="37" t="n">
        <v>1.7974</v>
      </c>
    </row>
    <row r="1244" customFormat="false" ht="15" hidden="false" customHeight="false" outlineLevel="0" collapsed="false">
      <c r="B1244" s="36" t="n">
        <v>40885</v>
      </c>
      <c r="C1244" s="37" t="n">
        <v>1.7934</v>
      </c>
    </row>
    <row r="1245" customFormat="false" ht="15" hidden="false" customHeight="false" outlineLevel="0" collapsed="false">
      <c r="B1245" s="36" t="n">
        <v>40886</v>
      </c>
      <c r="C1245" s="37" t="n">
        <v>1.8123</v>
      </c>
    </row>
    <row r="1246" customFormat="false" ht="15" hidden="false" customHeight="false" outlineLevel="0" collapsed="false">
      <c r="B1246" s="36" t="n">
        <v>40889</v>
      </c>
      <c r="C1246" s="37" t="n">
        <v>1.8211</v>
      </c>
    </row>
    <row r="1247" customFormat="false" ht="15" hidden="false" customHeight="false" outlineLevel="0" collapsed="false">
      <c r="B1247" s="36" t="n">
        <v>40890</v>
      </c>
      <c r="C1247" s="37" t="n">
        <v>1.8403</v>
      </c>
    </row>
    <row r="1248" customFormat="false" ht="15" hidden="false" customHeight="false" outlineLevel="0" collapsed="false">
      <c r="B1248" s="36" t="n">
        <v>40891</v>
      </c>
      <c r="C1248" s="37" t="n">
        <v>1.8721</v>
      </c>
    </row>
    <row r="1249" customFormat="false" ht="15" hidden="false" customHeight="false" outlineLevel="0" collapsed="false">
      <c r="B1249" s="36" t="n">
        <v>40892</v>
      </c>
      <c r="C1249" s="37" t="n">
        <v>1.8602</v>
      </c>
    </row>
    <row r="1250" customFormat="false" ht="15" hidden="false" customHeight="false" outlineLevel="0" collapsed="false">
      <c r="B1250" s="36" t="n">
        <v>40893</v>
      </c>
      <c r="C1250" s="37" t="n">
        <v>1.8458</v>
      </c>
    </row>
    <row r="1251" customFormat="false" ht="15" hidden="false" customHeight="false" outlineLevel="0" collapsed="false">
      <c r="B1251" s="36" t="n">
        <v>40896</v>
      </c>
      <c r="C1251" s="37" t="n">
        <v>1.8608</v>
      </c>
    </row>
    <row r="1252" customFormat="false" ht="15" hidden="false" customHeight="false" outlineLevel="0" collapsed="false">
      <c r="B1252" s="36" t="n">
        <v>40897</v>
      </c>
      <c r="C1252" s="37" t="n">
        <v>1.8501</v>
      </c>
    </row>
    <row r="1253" customFormat="false" ht="15" hidden="false" customHeight="false" outlineLevel="0" collapsed="false">
      <c r="B1253" s="36" t="n">
        <v>40898</v>
      </c>
      <c r="C1253" s="37" t="n">
        <v>1.855</v>
      </c>
    </row>
    <row r="1254" customFormat="false" ht="15" hidden="false" customHeight="false" outlineLevel="0" collapsed="false">
      <c r="B1254" s="36" t="n">
        <v>40899</v>
      </c>
      <c r="C1254" s="37" t="n">
        <v>1.8571</v>
      </c>
    </row>
    <row r="1255" customFormat="false" ht="15" hidden="false" customHeight="false" outlineLevel="0" collapsed="false">
      <c r="B1255" s="36" t="n">
        <v>40900</v>
      </c>
      <c r="C1255" s="37" t="n">
        <v>1.8554</v>
      </c>
    </row>
    <row r="1256" customFormat="false" ht="15" hidden="false" customHeight="false" outlineLevel="0" collapsed="false">
      <c r="B1256" s="36" t="n">
        <v>40903</v>
      </c>
      <c r="C1256" s="37" t="n">
        <v>1.8559</v>
      </c>
    </row>
    <row r="1257" customFormat="false" ht="15" hidden="false" customHeight="false" outlineLevel="0" collapsed="false">
      <c r="B1257" s="36" t="n">
        <v>40904</v>
      </c>
      <c r="C1257" s="37" t="n">
        <v>1.8578</v>
      </c>
    </row>
    <row r="1258" customFormat="false" ht="15" hidden="false" customHeight="false" outlineLevel="0" collapsed="false">
      <c r="B1258" s="36" t="n">
        <v>40905</v>
      </c>
      <c r="C1258" s="37" t="n">
        <v>1.8626</v>
      </c>
    </row>
    <row r="1259" customFormat="false" ht="15" hidden="false" customHeight="false" outlineLevel="0" collapsed="false">
      <c r="B1259" s="36" t="n">
        <v>40906</v>
      </c>
      <c r="C1259" s="37" t="n">
        <v>1.8751</v>
      </c>
    </row>
    <row r="1260" customFormat="false" ht="15" hidden="false" customHeight="false" outlineLevel="0" collapsed="false">
      <c r="B1260" s="36" t="n">
        <v>40907</v>
      </c>
      <c r="C1260" s="37" t="n">
        <v>1.8751</v>
      </c>
    </row>
    <row r="1261" customFormat="false" ht="15" hidden="false" customHeight="false" outlineLevel="0" collapsed="false">
      <c r="B1261" s="36" t="n">
        <v>40910</v>
      </c>
      <c r="C1261" s="37" t="n">
        <v>1.8676</v>
      </c>
    </row>
    <row r="1262" customFormat="false" ht="15" hidden="false" customHeight="false" outlineLevel="0" collapsed="false">
      <c r="B1262" s="36" t="n">
        <v>40911</v>
      </c>
      <c r="C1262" s="37" t="n">
        <v>1.845</v>
      </c>
    </row>
    <row r="1263" customFormat="false" ht="15" hidden="false" customHeight="false" outlineLevel="0" collapsed="false">
      <c r="B1263" s="36" t="n">
        <v>40912</v>
      </c>
      <c r="C1263" s="37" t="n">
        <v>1.8265</v>
      </c>
    </row>
    <row r="1264" customFormat="false" ht="15" hidden="false" customHeight="false" outlineLevel="0" collapsed="false">
      <c r="B1264" s="36" t="n">
        <v>40913</v>
      </c>
      <c r="C1264" s="37" t="n">
        <v>1.8365</v>
      </c>
    </row>
    <row r="1265" customFormat="false" ht="15" hidden="false" customHeight="false" outlineLevel="0" collapsed="false">
      <c r="B1265" s="36" t="n">
        <v>40914</v>
      </c>
      <c r="C1265" s="37" t="n">
        <v>1.8442</v>
      </c>
    </row>
    <row r="1266" customFormat="false" ht="15" hidden="false" customHeight="false" outlineLevel="0" collapsed="false">
      <c r="B1266" s="36" t="n">
        <v>40917</v>
      </c>
      <c r="C1266" s="37" t="n">
        <v>1.8435</v>
      </c>
    </row>
    <row r="1267" customFormat="false" ht="15" hidden="false" customHeight="false" outlineLevel="0" collapsed="false">
      <c r="B1267" s="36" t="n">
        <v>40918</v>
      </c>
      <c r="C1267" s="37" t="n">
        <v>1.8036</v>
      </c>
    </row>
    <row r="1268" customFormat="false" ht="15" hidden="false" customHeight="false" outlineLevel="0" collapsed="false">
      <c r="B1268" s="36" t="n">
        <v>40919</v>
      </c>
      <c r="C1268" s="37" t="n">
        <v>1.8041</v>
      </c>
    </row>
    <row r="1269" customFormat="false" ht="15" hidden="false" customHeight="false" outlineLevel="0" collapsed="false">
      <c r="B1269" s="36" t="n">
        <v>40920</v>
      </c>
      <c r="C1269" s="37" t="n">
        <v>1.7867</v>
      </c>
    </row>
    <row r="1270" customFormat="false" ht="15" hidden="false" customHeight="false" outlineLevel="0" collapsed="false">
      <c r="B1270" s="36" t="n">
        <v>40921</v>
      </c>
      <c r="C1270" s="37" t="n">
        <v>1.7846</v>
      </c>
    </row>
    <row r="1271" customFormat="false" ht="15" hidden="false" customHeight="false" outlineLevel="0" collapsed="false">
      <c r="B1271" s="36" t="n">
        <v>40924</v>
      </c>
      <c r="C1271" s="37" t="n">
        <v>1.783</v>
      </c>
    </row>
    <row r="1272" customFormat="false" ht="15" hidden="false" customHeight="false" outlineLevel="0" collapsed="false">
      <c r="B1272" s="36" t="n">
        <v>40925</v>
      </c>
      <c r="C1272" s="37" t="n">
        <v>1.7754</v>
      </c>
    </row>
    <row r="1273" customFormat="false" ht="15" hidden="false" customHeight="false" outlineLevel="0" collapsed="false">
      <c r="B1273" s="36" t="n">
        <v>40926</v>
      </c>
      <c r="C1273" s="37" t="n">
        <v>1.7785</v>
      </c>
    </row>
    <row r="1274" customFormat="false" ht="15" hidden="false" customHeight="false" outlineLevel="0" collapsed="false">
      <c r="B1274" s="36" t="n">
        <v>40927</v>
      </c>
      <c r="C1274" s="37" t="n">
        <v>1.7642</v>
      </c>
    </row>
    <row r="1275" customFormat="false" ht="15" hidden="false" customHeight="false" outlineLevel="0" collapsed="false">
      <c r="B1275" s="36" t="n">
        <v>40928</v>
      </c>
      <c r="C1275" s="37" t="n">
        <v>1.7664</v>
      </c>
    </row>
    <row r="1276" customFormat="false" ht="15" hidden="false" customHeight="false" outlineLevel="0" collapsed="false">
      <c r="B1276" s="36" t="n">
        <v>40931</v>
      </c>
      <c r="C1276" s="37" t="n">
        <v>1.7521</v>
      </c>
    </row>
    <row r="1277" customFormat="false" ht="15" hidden="false" customHeight="false" outlineLevel="0" collapsed="false">
      <c r="B1277" s="36" t="n">
        <v>40932</v>
      </c>
      <c r="C1277" s="37" t="n">
        <v>1.7643</v>
      </c>
    </row>
    <row r="1278" customFormat="false" ht="15" hidden="false" customHeight="false" outlineLevel="0" collapsed="false">
      <c r="B1278" s="36" t="n">
        <v>40933</v>
      </c>
      <c r="C1278" s="37" t="n">
        <v>1.7623</v>
      </c>
    </row>
    <row r="1279" customFormat="false" ht="15" hidden="false" customHeight="false" outlineLevel="0" collapsed="false">
      <c r="B1279" s="36" t="n">
        <v>40934</v>
      </c>
      <c r="C1279" s="37" t="n">
        <v>1.7382</v>
      </c>
    </row>
    <row r="1280" customFormat="false" ht="15" hidden="false" customHeight="false" outlineLevel="0" collapsed="false">
      <c r="B1280" s="36" t="n">
        <v>40935</v>
      </c>
      <c r="C1280" s="37" t="n">
        <v>1.7429</v>
      </c>
    </row>
    <row r="1281" customFormat="false" ht="15" hidden="false" customHeight="false" outlineLevel="0" collapsed="false">
      <c r="B1281" s="36" t="n">
        <v>40938</v>
      </c>
      <c r="C1281" s="37" t="n">
        <v>1.7502</v>
      </c>
    </row>
    <row r="1282" customFormat="false" ht="15" hidden="false" customHeight="false" outlineLevel="0" collapsed="false">
      <c r="B1282" s="36" t="n">
        <v>40939</v>
      </c>
      <c r="C1282" s="37" t="n">
        <v>1.7385</v>
      </c>
    </row>
    <row r="1283" customFormat="false" ht="15" hidden="false" customHeight="false" outlineLevel="0" collapsed="false">
      <c r="B1283" s="36" t="n">
        <v>40940</v>
      </c>
      <c r="C1283" s="37" t="n">
        <v>1.737</v>
      </c>
    </row>
    <row r="1284" customFormat="false" ht="15" hidden="false" customHeight="false" outlineLevel="0" collapsed="false">
      <c r="B1284" s="36" t="n">
        <v>40941</v>
      </c>
      <c r="C1284" s="37" t="n">
        <v>1.732</v>
      </c>
    </row>
    <row r="1285" customFormat="false" ht="15" hidden="false" customHeight="false" outlineLevel="0" collapsed="false">
      <c r="B1285" s="36" t="n">
        <v>40942</v>
      </c>
      <c r="C1285" s="37" t="n">
        <v>1.7216</v>
      </c>
    </row>
    <row r="1286" customFormat="false" ht="15" hidden="false" customHeight="false" outlineLevel="0" collapsed="false">
      <c r="B1286" s="36" t="n">
        <v>40945</v>
      </c>
      <c r="C1286" s="37" t="n">
        <v>1.7243</v>
      </c>
    </row>
    <row r="1287" customFormat="false" ht="15" hidden="false" customHeight="false" outlineLevel="0" collapsed="false">
      <c r="B1287" s="36" t="n">
        <v>40946</v>
      </c>
      <c r="C1287" s="37" t="n">
        <v>1.7255</v>
      </c>
    </row>
    <row r="1288" customFormat="false" ht="15" hidden="false" customHeight="false" outlineLevel="0" collapsed="false">
      <c r="B1288" s="36" t="n">
        <v>40947</v>
      </c>
      <c r="C1288" s="37" t="n">
        <v>1.7189</v>
      </c>
    </row>
    <row r="1289" customFormat="false" ht="15" hidden="false" customHeight="false" outlineLevel="0" collapsed="false">
      <c r="B1289" s="36" t="n">
        <v>40948</v>
      </c>
      <c r="C1289" s="37" t="n">
        <v>1.7219</v>
      </c>
    </row>
    <row r="1290" customFormat="false" ht="15" hidden="false" customHeight="false" outlineLevel="0" collapsed="false">
      <c r="B1290" s="36" t="n">
        <v>40949</v>
      </c>
      <c r="C1290" s="37" t="n">
        <v>1.7254</v>
      </c>
    </row>
    <row r="1291" customFormat="false" ht="15" hidden="false" customHeight="false" outlineLevel="0" collapsed="false">
      <c r="B1291" s="36" t="n">
        <v>40952</v>
      </c>
      <c r="C1291" s="37" t="n">
        <v>1.7162</v>
      </c>
    </row>
    <row r="1292" customFormat="false" ht="15" hidden="false" customHeight="false" outlineLevel="0" collapsed="false">
      <c r="B1292" s="36" t="n">
        <v>40953</v>
      </c>
      <c r="C1292" s="37" t="n">
        <v>1.7167</v>
      </c>
    </row>
    <row r="1293" customFormat="false" ht="15" hidden="false" customHeight="false" outlineLevel="0" collapsed="false">
      <c r="B1293" s="36" t="n">
        <v>40954</v>
      </c>
      <c r="C1293" s="37" t="n">
        <v>1.7151</v>
      </c>
    </row>
    <row r="1294" customFormat="false" ht="15" hidden="false" customHeight="false" outlineLevel="0" collapsed="false">
      <c r="B1294" s="36" t="n">
        <v>40955</v>
      </c>
      <c r="C1294" s="37" t="n">
        <v>1.732</v>
      </c>
    </row>
    <row r="1295" customFormat="false" ht="15" hidden="false" customHeight="false" outlineLevel="0" collapsed="false">
      <c r="B1295" s="36" t="n">
        <v>40956</v>
      </c>
      <c r="C1295" s="37" t="n">
        <v>1.713</v>
      </c>
    </row>
    <row r="1296" customFormat="false" ht="15" hidden="false" customHeight="false" outlineLevel="0" collapsed="false">
      <c r="B1296" s="36" t="n">
        <v>40961</v>
      </c>
      <c r="C1296" s="37" t="n">
        <v>1.7069</v>
      </c>
    </row>
    <row r="1297" customFormat="false" ht="15" hidden="false" customHeight="false" outlineLevel="0" collapsed="false">
      <c r="B1297" s="36" t="n">
        <v>40962</v>
      </c>
      <c r="C1297" s="37" t="n">
        <v>1.7033</v>
      </c>
    </row>
    <row r="1298" customFormat="false" ht="15" hidden="false" customHeight="false" outlineLevel="0" collapsed="false">
      <c r="B1298" s="36" t="n">
        <v>40963</v>
      </c>
      <c r="C1298" s="37" t="n">
        <v>1.7091</v>
      </c>
    </row>
    <row r="1299" customFormat="false" ht="15" hidden="false" customHeight="false" outlineLevel="0" collapsed="false">
      <c r="B1299" s="36" t="n">
        <v>40966</v>
      </c>
      <c r="C1299" s="37" t="n">
        <v>1.7082</v>
      </c>
    </row>
    <row r="1300" customFormat="false" ht="15" hidden="false" customHeight="false" outlineLevel="0" collapsed="false">
      <c r="B1300" s="36" t="n">
        <v>40967</v>
      </c>
      <c r="C1300" s="37" t="n">
        <v>1.7017</v>
      </c>
    </row>
    <row r="1301" customFormat="false" ht="15" hidden="false" customHeight="false" outlineLevel="0" collapsed="false">
      <c r="B1301" s="36" t="n">
        <v>40968</v>
      </c>
      <c r="C1301" s="37" t="n">
        <v>1.7086</v>
      </c>
    </row>
    <row r="1302" customFormat="false" ht="15" hidden="false" customHeight="false" outlineLevel="0" collapsed="false">
      <c r="B1302" s="36" t="n">
        <v>40969</v>
      </c>
      <c r="C1302" s="37" t="n">
        <v>1.7146</v>
      </c>
    </row>
    <row r="1303" customFormat="false" ht="15" hidden="false" customHeight="false" outlineLevel="0" collapsed="false">
      <c r="B1303" s="36" t="n">
        <v>40970</v>
      </c>
      <c r="C1303" s="37" t="n">
        <v>1.7239</v>
      </c>
    </row>
    <row r="1304" customFormat="false" ht="15" hidden="false" customHeight="false" outlineLevel="0" collapsed="false">
      <c r="B1304" s="36" t="n">
        <v>40973</v>
      </c>
      <c r="C1304" s="37" t="n">
        <v>1.7308</v>
      </c>
    </row>
    <row r="1305" customFormat="false" ht="15" hidden="false" customHeight="false" outlineLevel="0" collapsed="false">
      <c r="B1305" s="36" t="n">
        <v>40974</v>
      </c>
      <c r="C1305" s="37" t="n">
        <v>1.755</v>
      </c>
    </row>
    <row r="1306" customFormat="false" ht="15" hidden="false" customHeight="false" outlineLevel="0" collapsed="false">
      <c r="B1306" s="36" t="n">
        <v>40975</v>
      </c>
      <c r="C1306" s="37" t="n">
        <v>1.7685</v>
      </c>
    </row>
    <row r="1307" customFormat="false" ht="15" hidden="false" customHeight="false" outlineLevel="0" collapsed="false">
      <c r="B1307" s="36" t="n">
        <v>40976</v>
      </c>
      <c r="C1307" s="37" t="n">
        <v>1.7691</v>
      </c>
    </row>
    <row r="1308" customFormat="false" ht="15" hidden="false" customHeight="false" outlineLevel="0" collapsed="false">
      <c r="B1308" s="36" t="n">
        <v>40977</v>
      </c>
      <c r="C1308" s="37" t="n">
        <v>1.7761</v>
      </c>
    </row>
    <row r="1309" customFormat="false" ht="15" hidden="false" customHeight="false" outlineLevel="0" collapsed="false">
      <c r="B1309" s="36" t="n">
        <v>40980</v>
      </c>
      <c r="C1309" s="37" t="n">
        <v>1.8151</v>
      </c>
    </row>
    <row r="1310" customFormat="false" ht="15" hidden="false" customHeight="false" outlineLevel="0" collapsed="false">
      <c r="B1310" s="36" t="n">
        <v>40981</v>
      </c>
      <c r="C1310" s="37" t="n">
        <v>1.8096</v>
      </c>
    </row>
    <row r="1311" customFormat="false" ht="15" hidden="false" customHeight="false" outlineLevel="0" collapsed="false">
      <c r="B1311" s="36" t="n">
        <v>40982</v>
      </c>
      <c r="C1311" s="37" t="n">
        <v>1.814</v>
      </c>
    </row>
    <row r="1312" customFormat="false" ht="15" hidden="false" customHeight="false" outlineLevel="0" collapsed="false">
      <c r="B1312" s="36" t="n">
        <v>40983</v>
      </c>
      <c r="C1312" s="37" t="n">
        <v>1.8</v>
      </c>
    </row>
    <row r="1313" customFormat="false" ht="15" hidden="false" customHeight="false" outlineLevel="0" collapsed="false">
      <c r="B1313" s="36" t="n">
        <v>40984</v>
      </c>
      <c r="C1313" s="37" t="n">
        <v>1.8012</v>
      </c>
    </row>
    <row r="1314" customFormat="false" ht="15" hidden="false" customHeight="false" outlineLevel="0" collapsed="false">
      <c r="B1314" s="36" t="n">
        <v>40987</v>
      </c>
      <c r="C1314" s="37" t="n">
        <v>1.8084</v>
      </c>
    </row>
    <row r="1315" customFormat="false" ht="15" hidden="false" customHeight="false" outlineLevel="0" collapsed="false">
      <c r="B1315" s="36" t="n">
        <v>40988</v>
      </c>
      <c r="C1315" s="37" t="n">
        <v>1.8253</v>
      </c>
    </row>
    <row r="1316" customFormat="false" ht="15" hidden="false" customHeight="false" outlineLevel="0" collapsed="false">
      <c r="B1316" s="36" t="n">
        <v>40989</v>
      </c>
      <c r="C1316" s="37" t="n">
        <v>1.8261</v>
      </c>
    </row>
    <row r="1317" customFormat="false" ht="15" hidden="false" customHeight="false" outlineLevel="0" collapsed="false">
      <c r="B1317" s="36" t="n">
        <v>40990</v>
      </c>
      <c r="C1317" s="37" t="n">
        <v>1.8244</v>
      </c>
    </row>
    <row r="1318" customFormat="false" ht="15" hidden="false" customHeight="false" outlineLevel="0" collapsed="false">
      <c r="B1318" s="36" t="n">
        <v>40991</v>
      </c>
      <c r="C1318" s="37" t="n">
        <v>1.8188</v>
      </c>
    </row>
    <row r="1319" customFormat="false" ht="15" hidden="false" customHeight="false" outlineLevel="0" collapsed="false">
      <c r="B1319" s="36" t="n">
        <v>40994</v>
      </c>
      <c r="C1319" s="37" t="n">
        <v>1.8137</v>
      </c>
    </row>
    <row r="1320" customFormat="false" ht="15" hidden="false" customHeight="false" outlineLevel="0" collapsed="false">
      <c r="B1320" s="36" t="n">
        <v>40995</v>
      </c>
      <c r="C1320" s="37" t="n">
        <v>1.8129</v>
      </c>
    </row>
    <row r="1321" customFormat="false" ht="15" hidden="false" customHeight="false" outlineLevel="0" collapsed="false">
      <c r="B1321" s="36" t="n">
        <v>40996</v>
      </c>
      <c r="C1321" s="37" t="n">
        <v>1.8217</v>
      </c>
    </row>
    <row r="1322" customFormat="false" ht="15" hidden="false" customHeight="false" outlineLevel="0" collapsed="false">
      <c r="B1322" s="36" t="n">
        <v>40997</v>
      </c>
      <c r="C1322" s="37" t="n">
        <v>1.8327</v>
      </c>
    </row>
    <row r="1323" customFormat="false" ht="15" hidden="false" customHeight="false" outlineLevel="0" collapsed="false">
      <c r="B1323" s="36" t="n">
        <v>40998</v>
      </c>
      <c r="C1323" s="37" t="n">
        <v>1.8215</v>
      </c>
    </row>
    <row r="1324" customFormat="false" ht="15" hidden="false" customHeight="false" outlineLevel="0" collapsed="false">
      <c r="B1324" s="36" t="n">
        <v>41001</v>
      </c>
      <c r="C1324" s="37" t="n">
        <v>1.8308</v>
      </c>
    </row>
    <row r="1325" customFormat="false" ht="15" hidden="false" customHeight="false" outlineLevel="0" collapsed="false">
      <c r="B1325" s="36" t="n">
        <v>41002</v>
      </c>
      <c r="C1325" s="37" t="n">
        <v>1.825</v>
      </c>
    </row>
    <row r="1326" customFormat="false" ht="15" hidden="false" customHeight="false" outlineLevel="0" collapsed="false">
      <c r="B1326" s="36" t="n">
        <v>41003</v>
      </c>
      <c r="C1326" s="37" t="n">
        <v>1.831</v>
      </c>
    </row>
    <row r="1327" customFormat="false" ht="15" hidden="false" customHeight="false" outlineLevel="0" collapsed="false">
      <c r="B1327" s="36" t="n">
        <v>41004</v>
      </c>
      <c r="C1327" s="37" t="n">
        <v>1.8295</v>
      </c>
    </row>
    <row r="1328" customFormat="false" ht="15" hidden="false" customHeight="false" outlineLevel="0" collapsed="false">
      <c r="B1328" s="36" t="n">
        <v>41008</v>
      </c>
      <c r="C1328" s="37" t="n">
        <v>1.8254</v>
      </c>
    </row>
    <row r="1329" customFormat="false" ht="15" hidden="false" customHeight="false" outlineLevel="0" collapsed="false">
      <c r="B1329" s="36" t="n">
        <v>41009</v>
      </c>
      <c r="C1329" s="37" t="n">
        <v>1.8311</v>
      </c>
    </row>
    <row r="1330" customFormat="false" ht="15" hidden="false" customHeight="false" outlineLevel="0" collapsed="false">
      <c r="B1330" s="36" t="n">
        <v>41010</v>
      </c>
      <c r="C1330" s="37" t="n">
        <v>1.8297</v>
      </c>
    </row>
    <row r="1331" customFormat="false" ht="15" hidden="false" customHeight="false" outlineLevel="0" collapsed="false">
      <c r="B1331" s="36" t="n">
        <v>41011</v>
      </c>
      <c r="C1331" s="37" t="n">
        <v>1.8264</v>
      </c>
    </row>
    <row r="1332" customFormat="false" ht="15" hidden="false" customHeight="false" outlineLevel="0" collapsed="false">
      <c r="B1332" s="36" t="n">
        <v>41012</v>
      </c>
      <c r="C1332" s="37" t="n">
        <v>1.8358</v>
      </c>
    </row>
    <row r="1333" customFormat="false" ht="15" hidden="false" customHeight="false" outlineLevel="0" collapsed="false">
      <c r="B1333" s="36" t="n">
        <v>41015</v>
      </c>
      <c r="C1333" s="37" t="n">
        <v>1.8367</v>
      </c>
    </row>
    <row r="1334" customFormat="false" ht="15" hidden="false" customHeight="false" outlineLevel="0" collapsed="false">
      <c r="B1334" s="36" t="n">
        <v>41016</v>
      </c>
      <c r="C1334" s="37" t="n">
        <v>1.8447</v>
      </c>
    </row>
    <row r="1335" customFormat="false" ht="15" hidden="false" customHeight="false" outlineLevel="0" collapsed="false">
      <c r="B1335" s="36" t="n">
        <v>41017</v>
      </c>
      <c r="C1335" s="37" t="n">
        <v>1.8688</v>
      </c>
    </row>
    <row r="1336" customFormat="false" ht="15" hidden="false" customHeight="false" outlineLevel="0" collapsed="false">
      <c r="B1336" s="36" t="n">
        <v>41018</v>
      </c>
      <c r="C1336" s="37" t="n">
        <v>1.8861</v>
      </c>
    </row>
    <row r="1337" customFormat="false" ht="15" hidden="false" customHeight="false" outlineLevel="0" collapsed="false">
      <c r="B1337" s="36" t="n">
        <v>41019</v>
      </c>
      <c r="C1337" s="37" t="n">
        <v>1.878</v>
      </c>
    </row>
    <row r="1338" customFormat="false" ht="15" hidden="false" customHeight="false" outlineLevel="0" collapsed="false">
      <c r="B1338" s="36" t="n">
        <v>41022</v>
      </c>
      <c r="C1338" s="37" t="n">
        <v>1.8858</v>
      </c>
    </row>
    <row r="1339" customFormat="false" ht="15" hidden="false" customHeight="false" outlineLevel="0" collapsed="false">
      <c r="B1339" s="36" t="n">
        <v>41023</v>
      </c>
      <c r="C1339" s="37" t="n">
        <v>1.8774</v>
      </c>
    </row>
    <row r="1340" customFormat="false" ht="15" hidden="false" customHeight="false" outlineLevel="0" collapsed="false">
      <c r="B1340" s="36" t="n">
        <v>41024</v>
      </c>
      <c r="C1340" s="37" t="n">
        <v>1.8801</v>
      </c>
    </row>
    <row r="1341" customFormat="false" ht="15" hidden="false" customHeight="false" outlineLevel="0" collapsed="false">
      <c r="B1341" s="36" t="n">
        <v>41025</v>
      </c>
      <c r="C1341" s="37" t="n">
        <v>1.8864</v>
      </c>
    </row>
    <row r="1342" customFormat="false" ht="15" hidden="false" customHeight="false" outlineLevel="0" collapsed="false">
      <c r="B1342" s="36" t="n">
        <v>41026</v>
      </c>
      <c r="C1342" s="37" t="n">
        <v>1.8846</v>
      </c>
    </row>
    <row r="1343" customFormat="false" ht="15" hidden="false" customHeight="false" outlineLevel="0" collapsed="false">
      <c r="B1343" s="36" t="n">
        <v>41029</v>
      </c>
      <c r="C1343" s="37" t="n">
        <v>1.8912</v>
      </c>
    </row>
    <row r="1344" customFormat="false" ht="15" hidden="false" customHeight="false" outlineLevel="0" collapsed="false">
      <c r="B1344" s="36" t="n">
        <v>41031</v>
      </c>
      <c r="C1344" s="37" t="n">
        <v>1.9143</v>
      </c>
    </row>
    <row r="1345" customFormat="false" ht="15" hidden="false" customHeight="false" outlineLevel="0" collapsed="false">
      <c r="B1345" s="36" t="n">
        <v>41032</v>
      </c>
      <c r="C1345" s="37" t="n">
        <v>1.9271</v>
      </c>
    </row>
    <row r="1346" customFormat="false" ht="15" hidden="false" customHeight="false" outlineLevel="0" collapsed="false">
      <c r="B1346" s="36" t="n">
        <v>41033</v>
      </c>
      <c r="C1346" s="37" t="n">
        <v>1.9204</v>
      </c>
    </row>
    <row r="1347" customFormat="false" ht="15" hidden="false" customHeight="false" outlineLevel="0" collapsed="false">
      <c r="B1347" s="36" t="n">
        <v>41036</v>
      </c>
      <c r="C1347" s="37" t="n">
        <v>1.9262</v>
      </c>
    </row>
    <row r="1348" customFormat="false" ht="15" hidden="false" customHeight="false" outlineLevel="0" collapsed="false">
      <c r="B1348" s="36" t="n">
        <v>41037</v>
      </c>
      <c r="C1348" s="37" t="n">
        <v>1.936</v>
      </c>
    </row>
    <row r="1349" customFormat="false" ht="15" hidden="false" customHeight="false" outlineLevel="0" collapsed="false">
      <c r="B1349" s="36" t="n">
        <v>41038</v>
      </c>
      <c r="C1349" s="37" t="n">
        <v>1.9571</v>
      </c>
    </row>
    <row r="1350" customFormat="false" ht="15" hidden="false" customHeight="false" outlineLevel="0" collapsed="false">
      <c r="B1350" s="36" t="n">
        <v>41039</v>
      </c>
      <c r="C1350" s="37" t="n">
        <v>1.9576</v>
      </c>
    </row>
    <row r="1351" customFormat="false" ht="15" hidden="false" customHeight="false" outlineLevel="0" collapsed="false">
      <c r="B1351" s="36" t="n">
        <v>41040</v>
      </c>
      <c r="C1351" s="37" t="n">
        <v>1.9507</v>
      </c>
    </row>
    <row r="1352" customFormat="false" ht="15" hidden="false" customHeight="false" outlineLevel="0" collapsed="false">
      <c r="B1352" s="36" t="n">
        <v>41043</v>
      </c>
      <c r="C1352" s="37" t="n">
        <v>1.986</v>
      </c>
    </row>
    <row r="1353" customFormat="false" ht="15" hidden="false" customHeight="false" outlineLevel="0" collapsed="false">
      <c r="B1353" s="36" t="n">
        <v>41044</v>
      </c>
      <c r="C1353" s="37" t="n">
        <v>1.9941</v>
      </c>
    </row>
    <row r="1354" customFormat="false" ht="15" hidden="false" customHeight="false" outlineLevel="0" collapsed="false">
      <c r="B1354" s="36" t="n">
        <v>41045</v>
      </c>
      <c r="C1354" s="37" t="n">
        <v>1.9968</v>
      </c>
    </row>
    <row r="1355" customFormat="false" ht="15" hidden="false" customHeight="false" outlineLevel="0" collapsed="false">
      <c r="B1355" s="36" t="n">
        <v>41046</v>
      </c>
      <c r="C1355" s="37" t="n">
        <v>1.9967</v>
      </c>
    </row>
    <row r="1356" customFormat="false" ht="15" hidden="false" customHeight="false" outlineLevel="0" collapsed="false">
      <c r="B1356" s="36" t="n">
        <v>41047</v>
      </c>
      <c r="C1356" s="37" t="n">
        <v>2.0088</v>
      </c>
    </row>
    <row r="1357" customFormat="false" ht="15" hidden="false" customHeight="false" outlineLevel="0" collapsed="false">
      <c r="B1357" s="36" t="n">
        <v>41050</v>
      </c>
      <c r="C1357" s="37" t="n">
        <v>2.0368</v>
      </c>
    </row>
    <row r="1358" customFormat="false" ht="15" hidden="false" customHeight="false" outlineLevel="0" collapsed="false">
      <c r="B1358" s="36" t="n">
        <v>41051</v>
      </c>
      <c r="C1358" s="37" t="n">
        <v>2.0487</v>
      </c>
    </row>
    <row r="1359" customFormat="false" ht="15" hidden="false" customHeight="false" outlineLevel="0" collapsed="false">
      <c r="B1359" s="36" t="n">
        <v>41052</v>
      </c>
      <c r="C1359" s="37" t="n">
        <v>2.0809</v>
      </c>
    </row>
    <row r="1360" customFormat="false" ht="15" hidden="false" customHeight="false" outlineLevel="0" collapsed="false">
      <c r="B1360" s="36" t="n">
        <v>41053</v>
      </c>
      <c r="C1360" s="37" t="n">
        <v>2.0378</v>
      </c>
    </row>
    <row r="1361" customFormat="false" ht="15" hidden="false" customHeight="false" outlineLevel="0" collapsed="false">
      <c r="B1361" s="36" t="n">
        <v>41054</v>
      </c>
      <c r="C1361" s="37" t="n">
        <v>2.0026</v>
      </c>
    </row>
    <row r="1362" customFormat="false" ht="15" hidden="false" customHeight="false" outlineLevel="0" collapsed="false">
      <c r="B1362" s="36" t="n">
        <v>41057</v>
      </c>
      <c r="C1362" s="37" t="n">
        <v>1.9772</v>
      </c>
    </row>
    <row r="1363" customFormat="false" ht="15" hidden="false" customHeight="false" outlineLevel="0" collapsed="false">
      <c r="B1363" s="36" t="n">
        <v>41058</v>
      </c>
      <c r="C1363" s="37" t="n">
        <v>1.9938</v>
      </c>
    </row>
    <row r="1364" customFormat="false" ht="15" hidden="false" customHeight="false" outlineLevel="0" collapsed="false">
      <c r="B1364" s="36" t="n">
        <v>41059</v>
      </c>
      <c r="C1364" s="37" t="n">
        <v>2.0072</v>
      </c>
    </row>
    <row r="1365" customFormat="false" ht="15" hidden="false" customHeight="false" outlineLevel="0" collapsed="false">
      <c r="B1365" s="36" t="n">
        <v>41060</v>
      </c>
      <c r="C1365" s="37" t="n">
        <v>2.0217</v>
      </c>
    </row>
    <row r="1366" customFormat="false" ht="15" hidden="false" customHeight="false" outlineLevel="0" collapsed="false">
      <c r="B1366" s="36" t="n">
        <v>41061</v>
      </c>
      <c r="C1366" s="37" t="n">
        <v>2.0344</v>
      </c>
    </row>
    <row r="1367" customFormat="false" ht="15" hidden="false" customHeight="false" outlineLevel="0" collapsed="false">
      <c r="B1367" s="36" t="n">
        <v>41064</v>
      </c>
      <c r="C1367" s="37" t="n">
        <v>2.0404</v>
      </c>
    </row>
    <row r="1368" customFormat="false" ht="15" hidden="false" customHeight="false" outlineLevel="0" collapsed="false">
      <c r="B1368" s="36" t="n">
        <v>41065</v>
      </c>
      <c r="C1368" s="37" t="n">
        <v>2.0259</v>
      </c>
    </row>
    <row r="1369" customFormat="false" ht="15" hidden="false" customHeight="false" outlineLevel="0" collapsed="false">
      <c r="B1369" s="36" t="n">
        <v>41066</v>
      </c>
      <c r="C1369" s="37" t="n">
        <v>2.0176</v>
      </c>
    </row>
    <row r="1370" customFormat="false" ht="15" hidden="false" customHeight="false" outlineLevel="0" collapsed="false">
      <c r="B1370" s="36" t="n">
        <v>41068</v>
      </c>
      <c r="C1370" s="37" t="n">
        <v>2.0347</v>
      </c>
    </row>
    <row r="1371" customFormat="false" ht="15" hidden="false" customHeight="false" outlineLevel="0" collapsed="false">
      <c r="B1371" s="36" t="n">
        <v>41071</v>
      </c>
      <c r="C1371" s="37" t="n">
        <v>2.0342</v>
      </c>
    </row>
    <row r="1372" customFormat="false" ht="15" hidden="false" customHeight="false" outlineLevel="0" collapsed="false">
      <c r="B1372" s="36" t="n">
        <v>41072</v>
      </c>
      <c r="C1372" s="37" t="n">
        <v>2.0558</v>
      </c>
    </row>
    <row r="1373" customFormat="false" ht="15" hidden="false" customHeight="false" outlineLevel="0" collapsed="false">
      <c r="B1373" s="36" t="n">
        <v>41073</v>
      </c>
      <c r="C1373" s="37" t="n">
        <v>2.0597</v>
      </c>
    </row>
    <row r="1374" customFormat="false" ht="15" hidden="false" customHeight="false" outlineLevel="0" collapsed="false">
      <c r="B1374" s="36" t="n">
        <v>41074</v>
      </c>
      <c r="C1374" s="37" t="n">
        <v>2.0685</v>
      </c>
    </row>
    <row r="1375" customFormat="false" ht="15" hidden="false" customHeight="false" outlineLevel="0" collapsed="false">
      <c r="B1375" s="36" t="n">
        <v>41075</v>
      </c>
      <c r="C1375" s="37" t="n">
        <v>2.0437</v>
      </c>
    </row>
    <row r="1376" customFormat="false" ht="15" hidden="false" customHeight="false" outlineLevel="0" collapsed="false">
      <c r="B1376" s="36" t="n">
        <v>41078</v>
      </c>
      <c r="C1376" s="37" t="n">
        <v>2.0628</v>
      </c>
    </row>
    <row r="1377" customFormat="false" ht="15" hidden="false" customHeight="false" outlineLevel="0" collapsed="false">
      <c r="B1377" s="36" t="n">
        <v>41079</v>
      </c>
      <c r="C1377" s="37" t="n">
        <v>2.0433</v>
      </c>
    </row>
    <row r="1378" customFormat="false" ht="15" hidden="false" customHeight="false" outlineLevel="0" collapsed="false">
      <c r="B1378" s="36" t="n">
        <v>41080</v>
      </c>
      <c r="C1378" s="37" t="n">
        <v>2.0287</v>
      </c>
    </row>
    <row r="1379" customFormat="false" ht="15" hidden="false" customHeight="false" outlineLevel="0" collapsed="false">
      <c r="B1379" s="36" t="n">
        <v>41081</v>
      </c>
      <c r="C1379" s="37" t="n">
        <v>2.0357</v>
      </c>
    </row>
    <row r="1380" customFormat="false" ht="15" hidden="false" customHeight="false" outlineLevel="0" collapsed="false">
      <c r="B1380" s="36" t="n">
        <v>41082</v>
      </c>
      <c r="C1380" s="37" t="n">
        <v>2.0549</v>
      </c>
    </row>
    <row r="1381" customFormat="false" ht="15" hidden="false" customHeight="false" outlineLevel="0" collapsed="false">
      <c r="B1381" s="36" t="n">
        <v>41085</v>
      </c>
      <c r="C1381" s="37" t="n">
        <v>2.0712</v>
      </c>
    </row>
    <row r="1382" customFormat="false" ht="15" hidden="false" customHeight="false" outlineLevel="0" collapsed="false">
      <c r="B1382" s="36" t="n">
        <v>41086</v>
      </c>
      <c r="C1382" s="37" t="n">
        <v>2.0737</v>
      </c>
    </row>
    <row r="1383" customFormat="false" ht="15" hidden="false" customHeight="false" outlineLevel="0" collapsed="false">
      <c r="B1383" s="36" t="n">
        <v>41087</v>
      </c>
      <c r="C1383" s="37" t="n">
        <v>2.0758</v>
      </c>
    </row>
    <row r="1384" customFormat="false" ht="15" hidden="false" customHeight="false" outlineLevel="0" collapsed="false">
      <c r="B1384" s="36" t="n">
        <v>41088</v>
      </c>
      <c r="C1384" s="37" t="n">
        <v>2.0897</v>
      </c>
    </row>
    <row r="1385" customFormat="false" ht="15" hidden="false" customHeight="false" outlineLevel="0" collapsed="false">
      <c r="B1385" s="36" t="n">
        <v>41089</v>
      </c>
      <c r="C1385" s="37" t="n">
        <v>2.0207</v>
      </c>
    </row>
    <row r="1386" customFormat="false" ht="15" hidden="false" customHeight="false" outlineLevel="0" collapsed="false">
      <c r="B1386" s="36" t="n">
        <v>41092</v>
      </c>
      <c r="C1386" s="37" t="n">
        <v>1.9887</v>
      </c>
    </row>
    <row r="1387" customFormat="false" ht="15" hidden="false" customHeight="false" outlineLevel="0" collapsed="false">
      <c r="B1387" s="36" t="n">
        <v>41093</v>
      </c>
      <c r="C1387" s="37" t="n">
        <v>1.9882</v>
      </c>
    </row>
    <row r="1388" customFormat="false" ht="15" hidden="false" customHeight="false" outlineLevel="0" collapsed="false">
      <c r="B1388" s="36" t="n">
        <v>41094</v>
      </c>
      <c r="C1388" s="37" t="n">
        <v>2.0195</v>
      </c>
    </row>
    <row r="1389" customFormat="false" ht="15" hidden="false" customHeight="false" outlineLevel="0" collapsed="false">
      <c r="B1389" s="36" t="n">
        <v>41095</v>
      </c>
      <c r="C1389" s="37" t="n">
        <v>2.0287</v>
      </c>
    </row>
    <row r="1390" customFormat="false" ht="15" hidden="false" customHeight="false" outlineLevel="0" collapsed="false">
      <c r="B1390" s="36" t="n">
        <v>41096</v>
      </c>
      <c r="C1390" s="37" t="n">
        <v>2.0353</v>
      </c>
    </row>
    <row r="1391" customFormat="false" ht="15" hidden="false" customHeight="false" outlineLevel="0" collapsed="false">
      <c r="B1391" s="36" t="n">
        <v>41099</v>
      </c>
      <c r="C1391" s="37" t="n">
        <v>2.0303</v>
      </c>
    </row>
    <row r="1392" customFormat="false" ht="15" hidden="false" customHeight="false" outlineLevel="0" collapsed="false">
      <c r="B1392" s="36" t="n">
        <v>41100</v>
      </c>
      <c r="C1392" s="37" t="n">
        <v>2.0327</v>
      </c>
    </row>
    <row r="1393" customFormat="false" ht="15" hidden="false" customHeight="false" outlineLevel="0" collapsed="false">
      <c r="B1393" s="36" t="n">
        <v>41101</v>
      </c>
      <c r="C1393" s="37" t="n">
        <v>2.0304</v>
      </c>
    </row>
    <row r="1394" customFormat="false" ht="15" hidden="false" customHeight="false" outlineLevel="0" collapsed="false">
      <c r="B1394" s="36" t="n">
        <v>41102</v>
      </c>
      <c r="C1394" s="37" t="n">
        <v>2.0465</v>
      </c>
    </row>
    <row r="1395" customFormat="false" ht="15" hidden="false" customHeight="false" outlineLevel="0" collapsed="false">
      <c r="B1395" s="36" t="n">
        <v>41103</v>
      </c>
      <c r="C1395" s="37" t="n">
        <v>2.0332</v>
      </c>
    </row>
    <row r="1396" customFormat="false" ht="15" hidden="false" customHeight="false" outlineLevel="0" collapsed="false">
      <c r="B1396" s="36" t="n">
        <v>41106</v>
      </c>
      <c r="C1396" s="37" t="n">
        <v>2.0375</v>
      </c>
    </row>
    <row r="1397" customFormat="false" ht="15" hidden="false" customHeight="false" outlineLevel="0" collapsed="false">
      <c r="B1397" s="36" t="n">
        <v>41107</v>
      </c>
      <c r="C1397" s="37" t="n">
        <v>2.0343</v>
      </c>
    </row>
    <row r="1398" customFormat="false" ht="15" hidden="false" customHeight="false" outlineLevel="0" collapsed="false">
      <c r="B1398" s="36" t="n">
        <v>41108</v>
      </c>
      <c r="C1398" s="37" t="n">
        <v>2.0253</v>
      </c>
    </row>
    <row r="1399" customFormat="false" ht="15" hidden="false" customHeight="false" outlineLevel="0" collapsed="false">
      <c r="B1399" s="36" t="n">
        <v>41109</v>
      </c>
      <c r="C1399" s="37" t="n">
        <v>2.0233</v>
      </c>
    </row>
    <row r="1400" customFormat="false" ht="15" hidden="false" customHeight="false" outlineLevel="0" collapsed="false">
      <c r="B1400" s="36" t="n">
        <v>41110</v>
      </c>
      <c r="C1400" s="37" t="n">
        <v>2.022</v>
      </c>
    </row>
    <row r="1401" customFormat="false" ht="15" hidden="false" customHeight="false" outlineLevel="0" collapsed="false">
      <c r="B1401" s="36" t="n">
        <v>41113</v>
      </c>
      <c r="C1401" s="37" t="n">
        <v>2.0406</v>
      </c>
    </row>
    <row r="1402" customFormat="false" ht="15" hidden="false" customHeight="false" outlineLevel="0" collapsed="false">
      <c r="B1402" s="36" t="n">
        <v>41114</v>
      </c>
      <c r="C1402" s="37" t="n">
        <v>2.0413</v>
      </c>
    </row>
    <row r="1403" customFormat="false" ht="15" hidden="false" customHeight="false" outlineLevel="0" collapsed="false">
      <c r="B1403" s="36" t="n">
        <v>41115</v>
      </c>
      <c r="C1403" s="37" t="n">
        <v>2.0397</v>
      </c>
    </row>
    <row r="1404" customFormat="false" ht="15" hidden="false" customHeight="false" outlineLevel="0" collapsed="false">
      <c r="B1404" s="36" t="n">
        <v>41116</v>
      </c>
      <c r="C1404" s="37" t="n">
        <v>2.0249</v>
      </c>
    </row>
    <row r="1405" customFormat="false" ht="15" hidden="false" customHeight="false" outlineLevel="0" collapsed="false">
      <c r="B1405" s="36" t="n">
        <v>41117</v>
      </c>
      <c r="C1405" s="37" t="n">
        <v>2.0167</v>
      </c>
    </row>
    <row r="1406" customFormat="false" ht="15" hidden="false" customHeight="false" outlineLevel="0" collapsed="false">
      <c r="B1406" s="36" t="n">
        <v>41120</v>
      </c>
      <c r="C1406" s="37" t="n">
        <v>2.0308</v>
      </c>
    </row>
    <row r="1407" customFormat="false" ht="15" hidden="false" customHeight="false" outlineLevel="0" collapsed="false">
      <c r="B1407" s="36" t="n">
        <v>41121</v>
      </c>
      <c r="C1407" s="37" t="n">
        <v>2.0494</v>
      </c>
    </row>
    <row r="1408" customFormat="false" ht="15" hidden="false" customHeight="false" outlineLevel="0" collapsed="false">
      <c r="B1408" s="36" t="n">
        <v>41122</v>
      </c>
      <c r="C1408" s="37" t="n">
        <v>2.0426</v>
      </c>
    </row>
    <row r="1409" customFormat="false" ht="15" hidden="false" customHeight="false" outlineLevel="0" collapsed="false">
      <c r="B1409" s="36" t="n">
        <v>41123</v>
      </c>
      <c r="C1409" s="37" t="n">
        <v>2.047</v>
      </c>
    </row>
    <row r="1410" customFormat="false" ht="15" hidden="false" customHeight="false" outlineLevel="0" collapsed="false">
      <c r="B1410" s="36" t="n">
        <v>41124</v>
      </c>
      <c r="C1410" s="37" t="n">
        <v>2.0307</v>
      </c>
    </row>
    <row r="1411" customFormat="false" ht="15" hidden="false" customHeight="false" outlineLevel="0" collapsed="false">
      <c r="B1411" s="36" t="n">
        <v>41127</v>
      </c>
      <c r="C1411" s="37" t="n">
        <v>2.0273</v>
      </c>
    </row>
    <row r="1412" customFormat="false" ht="15" hidden="false" customHeight="false" outlineLevel="0" collapsed="false">
      <c r="B1412" s="36" t="n">
        <v>41128</v>
      </c>
      <c r="C1412" s="37" t="n">
        <v>2.0276</v>
      </c>
    </row>
    <row r="1413" customFormat="false" ht="15" hidden="false" customHeight="false" outlineLevel="0" collapsed="false">
      <c r="B1413" s="36" t="n">
        <v>41129</v>
      </c>
      <c r="C1413" s="37" t="n">
        <v>2.0267</v>
      </c>
    </row>
    <row r="1414" customFormat="false" ht="15" hidden="false" customHeight="false" outlineLevel="0" collapsed="false">
      <c r="B1414" s="36" t="n">
        <v>41130</v>
      </c>
      <c r="C1414" s="37" t="n">
        <v>2.0177</v>
      </c>
    </row>
    <row r="1415" customFormat="false" ht="15" hidden="false" customHeight="false" outlineLevel="0" collapsed="false">
      <c r="B1415" s="36" t="n">
        <v>41131</v>
      </c>
      <c r="C1415" s="37" t="n">
        <v>2.0169</v>
      </c>
    </row>
    <row r="1416" customFormat="false" ht="15" hidden="false" customHeight="false" outlineLevel="0" collapsed="false">
      <c r="B1416" s="36" t="n">
        <v>41134</v>
      </c>
      <c r="C1416" s="37" t="n">
        <v>2.026</v>
      </c>
    </row>
    <row r="1417" customFormat="false" ht="15" hidden="false" customHeight="false" outlineLevel="0" collapsed="false">
      <c r="B1417" s="36" t="n">
        <v>41135</v>
      </c>
      <c r="C1417" s="37" t="n">
        <v>2.0252</v>
      </c>
    </row>
    <row r="1418" customFormat="false" ht="15" hidden="false" customHeight="false" outlineLevel="0" collapsed="false">
      <c r="B1418" s="36" t="n">
        <v>41136</v>
      </c>
      <c r="C1418" s="37" t="n">
        <v>2.0228</v>
      </c>
    </row>
    <row r="1419" customFormat="false" ht="15" hidden="false" customHeight="false" outlineLevel="0" collapsed="false">
      <c r="B1419" s="36" t="n">
        <v>41137</v>
      </c>
      <c r="C1419" s="37" t="n">
        <v>2.0208</v>
      </c>
    </row>
    <row r="1420" customFormat="false" ht="15" hidden="false" customHeight="false" outlineLevel="0" collapsed="false">
      <c r="B1420" s="36" t="n">
        <v>41138</v>
      </c>
      <c r="C1420" s="37" t="n">
        <v>2.0176</v>
      </c>
    </row>
    <row r="1421" customFormat="false" ht="15" hidden="false" customHeight="false" outlineLevel="0" collapsed="false">
      <c r="B1421" s="36" t="n">
        <v>41141</v>
      </c>
      <c r="C1421" s="37" t="n">
        <v>2.0203</v>
      </c>
    </row>
    <row r="1422" customFormat="false" ht="15" hidden="false" customHeight="false" outlineLevel="0" collapsed="false">
      <c r="B1422" s="36" t="n">
        <v>41142</v>
      </c>
      <c r="C1422" s="37" t="n">
        <v>2.0167</v>
      </c>
    </row>
    <row r="1423" customFormat="false" ht="15" hidden="false" customHeight="false" outlineLevel="0" collapsed="false">
      <c r="B1423" s="36" t="n">
        <v>41143</v>
      </c>
      <c r="C1423" s="37" t="n">
        <v>2.0204</v>
      </c>
    </row>
    <row r="1424" customFormat="false" ht="15" hidden="false" customHeight="false" outlineLevel="0" collapsed="false">
      <c r="B1424" s="36" t="n">
        <v>41144</v>
      </c>
      <c r="C1424" s="37" t="n">
        <v>2.0236</v>
      </c>
    </row>
    <row r="1425" customFormat="false" ht="15" hidden="false" customHeight="false" outlineLevel="0" collapsed="false">
      <c r="B1425" s="36" t="n">
        <v>41145</v>
      </c>
      <c r="C1425" s="37" t="n">
        <v>2.025</v>
      </c>
    </row>
    <row r="1426" customFormat="false" ht="15" hidden="false" customHeight="false" outlineLevel="0" collapsed="false">
      <c r="B1426" s="36" t="n">
        <v>41148</v>
      </c>
      <c r="C1426" s="37" t="n">
        <v>2.0287</v>
      </c>
    </row>
    <row r="1427" customFormat="false" ht="15" hidden="false" customHeight="false" outlineLevel="0" collapsed="false">
      <c r="B1427" s="36" t="n">
        <v>41149</v>
      </c>
      <c r="C1427" s="37" t="n">
        <v>2.0427</v>
      </c>
    </row>
    <row r="1428" customFormat="false" ht="15" hidden="false" customHeight="false" outlineLevel="0" collapsed="false">
      <c r="B1428" s="36" t="n">
        <v>41150</v>
      </c>
      <c r="C1428" s="37" t="n">
        <v>2.0503</v>
      </c>
    </row>
    <row r="1429" customFormat="false" ht="15" hidden="false" customHeight="false" outlineLevel="0" collapsed="false">
      <c r="B1429" s="36" t="n">
        <v>41151</v>
      </c>
      <c r="C1429" s="37" t="n">
        <v>2.0507</v>
      </c>
    </row>
    <row r="1430" customFormat="false" ht="15" hidden="false" customHeight="false" outlineLevel="0" collapsed="false">
      <c r="B1430" s="36" t="n">
        <v>41152</v>
      </c>
      <c r="C1430" s="37" t="n">
        <v>2.0366</v>
      </c>
    </row>
    <row r="1431" customFormat="false" ht="15" hidden="false" customHeight="false" outlineLevel="0" collapsed="false">
      <c r="B1431" s="36" t="n">
        <v>41155</v>
      </c>
      <c r="C1431" s="37" t="n">
        <v>2.0329</v>
      </c>
    </row>
    <row r="1432" customFormat="false" ht="15" hidden="false" customHeight="false" outlineLevel="0" collapsed="false">
      <c r="B1432" s="36" t="n">
        <v>41156</v>
      </c>
      <c r="C1432" s="37" t="n">
        <v>2.0386</v>
      </c>
    </row>
    <row r="1433" customFormat="false" ht="15" hidden="false" customHeight="false" outlineLevel="0" collapsed="false">
      <c r="B1433" s="36" t="n">
        <v>41157</v>
      </c>
      <c r="C1433" s="37" t="n">
        <v>2.038</v>
      </c>
    </row>
    <row r="1434" customFormat="false" ht="15" hidden="false" customHeight="false" outlineLevel="0" collapsed="false">
      <c r="B1434" s="36" t="n">
        <v>41158</v>
      </c>
      <c r="C1434" s="37" t="n">
        <v>2.0375</v>
      </c>
    </row>
    <row r="1435" customFormat="false" ht="15" hidden="false" customHeight="false" outlineLevel="0" collapsed="false">
      <c r="B1435" s="36" t="n">
        <v>41162</v>
      </c>
      <c r="C1435" s="37" t="n">
        <v>2.0235</v>
      </c>
    </row>
    <row r="1436" customFormat="false" ht="15" hidden="false" customHeight="false" outlineLevel="0" collapsed="false">
      <c r="B1436" s="36" t="n">
        <v>41163</v>
      </c>
      <c r="C1436" s="37" t="n">
        <v>2.0192</v>
      </c>
    </row>
    <row r="1437" customFormat="false" ht="15" hidden="false" customHeight="false" outlineLevel="0" collapsed="false">
      <c r="B1437" s="36" t="n">
        <v>41164</v>
      </c>
      <c r="C1437" s="37" t="n">
        <v>2.0198</v>
      </c>
    </row>
    <row r="1438" customFormat="false" ht="15" hidden="false" customHeight="false" outlineLevel="0" collapsed="false">
      <c r="B1438" s="36" t="n">
        <v>41165</v>
      </c>
      <c r="C1438" s="37" t="n">
        <v>2.0249</v>
      </c>
    </row>
    <row r="1439" customFormat="false" ht="15" hidden="false" customHeight="false" outlineLevel="0" collapsed="false">
      <c r="B1439" s="36" t="n">
        <v>41166</v>
      </c>
      <c r="C1439" s="37" t="n">
        <v>2.0133</v>
      </c>
    </row>
    <row r="1440" customFormat="false" ht="15" hidden="false" customHeight="false" outlineLevel="0" collapsed="false">
      <c r="B1440" s="36" t="n">
        <v>41169</v>
      </c>
      <c r="C1440" s="37" t="n">
        <v>2.0306</v>
      </c>
    </row>
    <row r="1441" customFormat="false" ht="15" hidden="false" customHeight="false" outlineLevel="0" collapsed="false">
      <c r="B1441" s="36" t="n">
        <v>41170</v>
      </c>
      <c r="C1441" s="37" t="n">
        <v>2.0268</v>
      </c>
    </row>
    <row r="1442" customFormat="false" ht="15" hidden="false" customHeight="false" outlineLevel="0" collapsed="false">
      <c r="B1442" s="36" t="n">
        <v>41171</v>
      </c>
      <c r="C1442" s="37" t="n">
        <v>2.023</v>
      </c>
    </row>
    <row r="1443" customFormat="false" ht="15" hidden="false" customHeight="false" outlineLevel="0" collapsed="false">
      <c r="B1443" s="36" t="n">
        <v>41172</v>
      </c>
      <c r="C1443" s="37" t="n">
        <v>2.0257</v>
      </c>
    </row>
    <row r="1444" customFormat="false" ht="15" hidden="false" customHeight="false" outlineLevel="0" collapsed="false">
      <c r="B1444" s="36" t="n">
        <v>41173</v>
      </c>
      <c r="C1444" s="37" t="n">
        <v>2.0235</v>
      </c>
    </row>
    <row r="1445" customFormat="false" ht="15" hidden="false" customHeight="false" outlineLevel="0" collapsed="false">
      <c r="B1445" s="36" t="n">
        <v>41176</v>
      </c>
      <c r="C1445" s="37" t="n">
        <v>2.0267</v>
      </c>
    </row>
    <row r="1446" customFormat="false" ht="15" hidden="false" customHeight="false" outlineLevel="0" collapsed="false">
      <c r="B1446" s="36" t="n">
        <v>41177</v>
      </c>
      <c r="C1446" s="37" t="n">
        <v>2.0245</v>
      </c>
    </row>
    <row r="1447" customFormat="false" ht="15" hidden="false" customHeight="false" outlineLevel="0" collapsed="false">
      <c r="B1447" s="36" t="n">
        <v>41178</v>
      </c>
      <c r="C1447" s="37" t="n">
        <v>2.0335</v>
      </c>
    </row>
    <row r="1448" customFormat="false" ht="15" hidden="false" customHeight="false" outlineLevel="0" collapsed="false">
      <c r="B1448" s="36" t="n">
        <v>41179</v>
      </c>
      <c r="C1448" s="37" t="n">
        <v>2.0305</v>
      </c>
    </row>
    <row r="1449" customFormat="false" ht="15" hidden="false" customHeight="false" outlineLevel="0" collapsed="false">
      <c r="B1449" s="36" t="n">
        <v>41180</v>
      </c>
      <c r="C1449" s="37" t="n">
        <v>2.03</v>
      </c>
    </row>
    <row r="1450" customFormat="false" ht="15" hidden="false" customHeight="false" outlineLevel="0" collapsed="false">
      <c r="B1450" s="36" t="n">
        <v>41183</v>
      </c>
      <c r="C1450" s="37" t="n">
        <v>2.0254</v>
      </c>
    </row>
    <row r="1451" customFormat="false" ht="15" hidden="false" customHeight="false" outlineLevel="0" collapsed="false">
      <c r="B1451" s="36" t="n">
        <v>41184</v>
      </c>
      <c r="C1451" s="37" t="n">
        <v>2.026</v>
      </c>
    </row>
    <row r="1452" customFormat="false" ht="15" hidden="false" customHeight="false" outlineLevel="0" collapsed="false">
      <c r="B1452" s="36" t="n">
        <v>41185</v>
      </c>
      <c r="C1452" s="37" t="n">
        <v>2.026</v>
      </c>
    </row>
    <row r="1453" customFormat="false" ht="15" hidden="false" customHeight="false" outlineLevel="0" collapsed="false">
      <c r="B1453" s="36" t="n">
        <v>41186</v>
      </c>
      <c r="C1453" s="37" t="n">
        <v>2.0218</v>
      </c>
    </row>
    <row r="1454" customFormat="false" ht="15" hidden="false" customHeight="false" outlineLevel="0" collapsed="false">
      <c r="B1454" s="36" t="n">
        <v>41187</v>
      </c>
      <c r="C1454" s="37" t="n">
        <v>2.024</v>
      </c>
    </row>
    <row r="1455" customFormat="false" ht="15" hidden="false" customHeight="false" outlineLevel="0" collapsed="false">
      <c r="B1455" s="36" t="n">
        <v>41190</v>
      </c>
      <c r="C1455" s="37" t="n">
        <v>2.0307</v>
      </c>
    </row>
    <row r="1456" customFormat="false" ht="15" hidden="false" customHeight="false" outlineLevel="0" collapsed="false">
      <c r="B1456" s="36" t="n">
        <v>41191</v>
      </c>
      <c r="C1456" s="37" t="n">
        <v>2.0331</v>
      </c>
    </row>
    <row r="1457" customFormat="false" ht="15" hidden="false" customHeight="false" outlineLevel="0" collapsed="false">
      <c r="B1457" s="36" t="n">
        <v>41192</v>
      </c>
      <c r="C1457" s="37" t="n">
        <v>2.0373</v>
      </c>
    </row>
    <row r="1458" customFormat="false" ht="15" hidden="false" customHeight="false" outlineLevel="0" collapsed="false">
      <c r="B1458" s="36" t="n">
        <v>41193</v>
      </c>
      <c r="C1458" s="37" t="n">
        <v>2.0363</v>
      </c>
    </row>
    <row r="1459" customFormat="false" ht="15" hidden="false" customHeight="false" outlineLevel="0" collapsed="false">
      <c r="B1459" s="36" t="n">
        <v>41197</v>
      </c>
      <c r="C1459" s="37" t="n">
        <v>2.0377</v>
      </c>
    </row>
    <row r="1460" customFormat="false" ht="15" hidden="false" customHeight="false" outlineLevel="0" collapsed="false">
      <c r="B1460" s="36" t="n">
        <v>41198</v>
      </c>
      <c r="C1460" s="37" t="n">
        <v>2.0345</v>
      </c>
    </row>
    <row r="1461" customFormat="false" ht="15" hidden="false" customHeight="false" outlineLevel="0" collapsed="false">
      <c r="B1461" s="36" t="n">
        <v>41199</v>
      </c>
      <c r="C1461" s="37" t="n">
        <v>2.033</v>
      </c>
    </row>
    <row r="1462" customFormat="false" ht="15" hidden="false" customHeight="false" outlineLevel="0" collapsed="false">
      <c r="B1462" s="36" t="n">
        <v>41200</v>
      </c>
      <c r="C1462" s="37" t="n">
        <v>2.029</v>
      </c>
    </row>
    <row r="1463" customFormat="false" ht="15" hidden="false" customHeight="false" outlineLevel="0" collapsed="false">
      <c r="B1463" s="36" t="n">
        <v>41201</v>
      </c>
      <c r="C1463" s="37" t="n">
        <v>2.0266</v>
      </c>
    </row>
    <row r="1464" customFormat="false" ht="15" hidden="false" customHeight="false" outlineLevel="0" collapsed="false">
      <c r="B1464" s="36" t="n">
        <v>41204</v>
      </c>
      <c r="C1464" s="37" t="n">
        <v>2.026</v>
      </c>
    </row>
    <row r="1465" customFormat="false" ht="15" hidden="false" customHeight="false" outlineLevel="0" collapsed="false">
      <c r="B1465" s="36" t="n">
        <v>41205</v>
      </c>
      <c r="C1465" s="37" t="n">
        <v>2.0281</v>
      </c>
    </row>
    <row r="1466" customFormat="false" ht="15" hidden="false" customHeight="false" outlineLevel="0" collapsed="false">
      <c r="B1466" s="36" t="n">
        <v>41206</v>
      </c>
      <c r="C1466" s="37" t="n">
        <v>2.0257</v>
      </c>
    </row>
    <row r="1467" customFormat="false" ht="15" hidden="false" customHeight="false" outlineLevel="0" collapsed="false">
      <c r="B1467" s="36" t="n">
        <v>41207</v>
      </c>
      <c r="C1467" s="37" t="n">
        <v>2.0256</v>
      </c>
    </row>
    <row r="1468" customFormat="false" ht="15" hidden="false" customHeight="false" outlineLevel="0" collapsed="false">
      <c r="B1468" s="36" t="n">
        <v>41208</v>
      </c>
      <c r="C1468" s="37" t="n">
        <v>2.0257</v>
      </c>
    </row>
    <row r="1469" customFormat="false" ht="15" hidden="false" customHeight="false" outlineLevel="0" collapsed="false">
      <c r="B1469" s="36" t="n">
        <v>41211</v>
      </c>
      <c r="C1469" s="37" t="n">
        <v>2.0291</v>
      </c>
    </row>
    <row r="1470" customFormat="false" ht="15" hidden="false" customHeight="false" outlineLevel="0" collapsed="false">
      <c r="B1470" s="36" t="n">
        <v>41212</v>
      </c>
      <c r="C1470" s="37" t="n">
        <v>2.0318</v>
      </c>
    </row>
    <row r="1471" customFormat="false" ht="15" hidden="false" customHeight="false" outlineLevel="0" collapsed="false">
      <c r="B1471" s="36" t="n">
        <v>41213</v>
      </c>
      <c r="C1471" s="37" t="n">
        <v>2.0308</v>
      </c>
    </row>
    <row r="1472" customFormat="false" ht="15" hidden="false" customHeight="false" outlineLevel="0" collapsed="false">
      <c r="B1472" s="36" t="n">
        <v>41214</v>
      </c>
      <c r="C1472" s="37" t="n">
        <v>2.0306</v>
      </c>
    </row>
    <row r="1473" customFormat="false" ht="15" hidden="false" customHeight="false" outlineLevel="0" collapsed="false">
      <c r="B1473" s="36" t="n">
        <v>41218</v>
      </c>
      <c r="C1473" s="37" t="n">
        <v>2.0344</v>
      </c>
    </row>
    <row r="1474" customFormat="false" ht="15" hidden="false" customHeight="false" outlineLevel="0" collapsed="false">
      <c r="B1474" s="36" t="n">
        <v>41219</v>
      </c>
      <c r="C1474" s="37" t="n">
        <v>2.0336</v>
      </c>
    </row>
    <row r="1475" customFormat="false" ht="15" hidden="false" customHeight="false" outlineLevel="0" collapsed="false">
      <c r="B1475" s="36" t="n">
        <v>41220</v>
      </c>
      <c r="C1475" s="37" t="n">
        <v>2.0324</v>
      </c>
    </row>
    <row r="1476" customFormat="false" ht="15" hidden="false" customHeight="false" outlineLevel="0" collapsed="false">
      <c r="B1476" s="36" t="n">
        <v>41221</v>
      </c>
      <c r="C1476" s="37" t="n">
        <v>2.0352</v>
      </c>
    </row>
    <row r="1477" customFormat="false" ht="15" hidden="false" customHeight="false" outlineLevel="0" collapsed="false">
      <c r="B1477" s="36" t="n">
        <v>41222</v>
      </c>
      <c r="C1477" s="37" t="n">
        <v>2.0507</v>
      </c>
    </row>
    <row r="1478" customFormat="false" ht="15" hidden="false" customHeight="false" outlineLevel="0" collapsed="false">
      <c r="B1478" s="36" t="n">
        <v>41225</v>
      </c>
      <c r="C1478" s="37" t="n">
        <v>2.047</v>
      </c>
    </row>
    <row r="1479" customFormat="false" ht="15" hidden="false" customHeight="false" outlineLevel="0" collapsed="false">
      <c r="B1479" s="36" t="n">
        <v>41226</v>
      </c>
      <c r="C1479" s="37" t="n">
        <v>2.0609</v>
      </c>
    </row>
    <row r="1480" customFormat="false" ht="15" hidden="false" customHeight="false" outlineLevel="0" collapsed="false">
      <c r="B1480" s="36" t="n">
        <v>41227</v>
      </c>
      <c r="C1480" s="37" t="n">
        <v>2.0624</v>
      </c>
    </row>
    <row r="1481" customFormat="false" ht="15" hidden="false" customHeight="false" outlineLevel="0" collapsed="false">
      <c r="B1481" s="36" t="n">
        <v>41229</v>
      </c>
      <c r="C1481" s="37" t="n">
        <v>2.0706</v>
      </c>
    </row>
    <row r="1482" customFormat="false" ht="15" hidden="false" customHeight="false" outlineLevel="0" collapsed="false">
      <c r="B1482" s="36" t="n">
        <v>41232</v>
      </c>
      <c r="C1482" s="37" t="n">
        <v>2.074</v>
      </c>
    </row>
    <row r="1483" customFormat="false" ht="15" hidden="false" customHeight="false" outlineLevel="0" collapsed="false">
      <c r="B1483" s="36" t="n">
        <v>41233</v>
      </c>
      <c r="C1483" s="37" t="n">
        <v>2.0827</v>
      </c>
    </row>
    <row r="1484" customFormat="false" ht="15" hidden="false" customHeight="false" outlineLevel="0" collapsed="false">
      <c r="B1484" s="36" t="n">
        <v>41234</v>
      </c>
      <c r="C1484" s="37" t="n">
        <v>2.0918</v>
      </c>
    </row>
    <row r="1485" customFormat="false" ht="15" hidden="false" customHeight="false" outlineLevel="0" collapsed="false">
      <c r="B1485" s="36" t="n">
        <v>41235</v>
      </c>
      <c r="C1485" s="37" t="n">
        <v>2.0907</v>
      </c>
    </row>
    <row r="1486" customFormat="false" ht="15" hidden="false" customHeight="false" outlineLevel="0" collapsed="false">
      <c r="B1486" s="36" t="n">
        <v>41236</v>
      </c>
      <c r="C1486" s="37" t="n">
        <v>2.098</v>
      </c>
    </row>
    <row r="1487" customFormat="false" ht="15" hidden="false" customHeight="false" outlineLevel="0" collapsed="false">
      <c r="B1487" s="36" t="n">
        <v>41239</v>
      </c>
      <c r="C1487" s="37" t="n">
        <v>2.0782</v>
      </c>
    </row>
    <row r="1488" customFormat="false" ht="15" hidden="false" customHeight="false" outlineLevel="0" collapsed="false">
      <c r="B1488" s="36" t="n">
        <v>41240</v>
      </c>
      <c r="C1488" s="37" t="n">
        <v>2.0746</v>
      </c>
    </row>
    <row r="1489" customFormat="false" ht="15" hidden="false" customHeight="false" outlineLevel="0" collapsed="false">
      <c r="B1489" s="36" t="n">
        <v>41241</v>
      </c>
      <c r="C1489" s="37" t="n">
        <v>2.0907</v>
      </c>
    </row>
    <row r="1490" customFormat="false" ht="15" hidden="false" customHeight="false" outlineLevel="0" collapsed="false">
      <c r="B1490" s="36" t="n">
        <v>41242</v>
      </c>
      <c r="C1490" s="37" t="n">
        <v>2.0986</v>
      </c>
    </row>
    <row r="1491" customFormat="false" ht="15" hidden="false" customHeight="false" outlineLevel="0" collapsed="false">
      <c r="B1491" s="36" t="n">
        <v>41243</v>
      </c>
      <c r="C1491" s="37" t="n">
        <v>2.1068</v>
      </c>
    </row>
    <row r="1492" customFormat="false" ht="15" hidden="false" customHeight="false" outlineLevel="0" collapsed="false">
      <c r="B1492" s="36" t="n">
        <v>41246</v>
      </c>
      <c r="C1492" s="37" t="n">
        <v>2.1115</v>
      </c>
    </row>
    <row r="1493" customFormat="false" ht="15" hidden="false" customHeight="false" outlineLevel="0" collapsed="false">
      <c r="B1493" s="36" t="n">
        <v>41247</v>
      </c>
      <c r="C1493" s="37" t="n">
        <v>2.1072</v>
      </c>
    </row>
    <row r="1494" customFormat="false" ht="15" hidden="false" customHeight="false" outlineLevel="0" collapsed="false">
      <c r="B1494" s="36" t="n">
        <v>41248</v>
      </c>
      <c r="C1494" s="37" t="n">
        <v>2.104</v>
      </c>
    </row>
    <row r="1495" customFormat="false" ht="15" hidden="false" customHeight="false" outlineLevel="0" collapsed="false">
      <c r="B1495" s="36" t="n">
        <v>41249</v>
      </c>
      <c r="C1495" s="37" t="n">
        <v>2.0831</v>
      </c>
    </row>
    <row r="1496" customFormat="false" ht="15" hidden="false" customHeight="false" outlineLevel="0" collapsed="false">
      <c r="B1496" s="36" t="n">
        <v>41250</v>
      </c>
      <c r="C1496" s="37" t="n">
        <v>2.0798</v>
      </c>
    </row>
    <row r="1497" customFormat="false" ht="15" hidden="false" customHeight="false" outlineLevel="0" collapsed="false">
      <c r="B1497" s="36" t="n">
        <v>41253</v>
      </c>
      <c r="C1497" s="37" t="n">
        <v>2.0804</v>
      </c>
    </row>
    <row r="1498" customFormat="false" ht="15" hidden="false" customHeight="false" outlineLevel="0" collapsed="false">
      <c r="B1498" s="36" t="n">
        <v>41254</v>
      </c>
      <c r="C1498" s="37" t="n">
        <v>2.0737</v>
      </c>
    </row>
    <row r="1499" customFormat="false" ht="15" hidden="false" customHeight="false" outlineLevel="0" collapsed="false">
      <c r="B1499" s="36" t="n">
        <v>41255</v>
      </c>
      <c r="C1499" s="37" t="n">
        <v>2.0795</v>
      </c>
    </row>
    <row r="1500" customFormat="false" ht="15" hidden="false" customHeight="false" outlineLevel="0" collapsed="false">
      <c r="B1500" s="36" t="n">
        <v>41256</v>
      </c>
      <c r="C1500" s="37" t="n">
        <v>2.0745</v>
      </c>
    </row>
    <row r="1501" customFormat="false" ht="15" hidden="false" customHeight="false" outlineLevel="0" collapsed="false">
      <c r="B1501" s="36" t="n">
        <v>41257</v>
      </c>
      <c r="C1501" s="37" t="n">
        <v>2.0834</v>
      </c>
    </row>
    <row r="1502" customFormat="false" ht="15" hidden="false" customHeight="false" outlineLevel="0" collapsed="false">
      <c r="B1502" s="36" t="n">
        <v>41260</v>
      </c>
      <c r="C1502" s="37" t="n">
        <v>2.0896</v>
      </c>
    </row>
    <row r="1503" customFormat="false" ht="15" hidden="false" customHeight="false" outlineLevel="0" collapsed="false">
      <c r="B1503" s="36" t="n">
        <v>41261</v>
      </c>
      <c r="C1503" s="37" t="n">
        <v>2.096</v>
      </c>
    </row>
    <row r="1504" customFormat="false" ht="15" hidden="false" customHeight="false" outlineLevel="0" collapsed="false">
      <c r="B1504" s="36" t="n">
        <v>41262</v>
      </c>
      <c r="C1504" s="37" t="n">
        <v>2.0785</v>
      </c>
    </row>
    <row r="1505" customFormat="false" ht="15" hidden="false" customHeight="false" outlineLevel="0" collapsed="false">
      <c r="B1505" s="36" t="n">
        <v>41263</v>
      </c>
      <c r="C1505" s="37" t="n">
        <v>2.062</v>
      </c>
    </row>
    <row r="1506" customFormat="false" ht="15" hidden="false" customHeight="false" outlineLevel="0" collapsed="false">
      <c r="B1506" s="36" t="n">
        <v>41264</v>
      </c>
      <c r="C1506" s="37" t="n">
        <v>2.0751</v>
      </c>
    </row>
    <row r="1507" customFormat="false" ht="15" hidden="false" customHeight="false" outlineLevel="0" collapsed="false">
      <c r="B1507" s="36" t="n">
        <v>41267</v>
      </c>
      <c r="C1507" s="37" t="n">
        <v>2.0767</v>
      </c>
    </row>
    <row r="1508" customFormat="false" ht="15" hidden="false" customHeight="false" outlineLevel="0" collapsed="false">
      <c r="B1508" s="36" t="n">
        <v>41269</v>
      </c>
      <c r="C1508" s="37" t="n">
        <v>2.0563</v>
      </c>
    </row>
    <row r="1509" customFormat="false" ht="15" hidden="false" customHeight="false" outlineLevel="0" collapsed="false">
      <c r="B1509" s="36" t="n">
        <v>41270</v>
      </c>
      <c r="C1509" s="37" t="n">
        <v>2.0477</v>
      </c>
    </row>
    <row r="1510" customFormat="false" ht="15" hidden="false" customHeight="false" outlineLevel="0" collapsed="false">
      <c r="B1510" s="36" t="n">
        <v>41271</v>
      </c>
      <c r="C1510" s="37" t="n">
        <v>2.0429</v>
      </c>
    </row>
    <row r="1511" customFormat="false" ht="15" hidden="false" customHeight="false" outlineLevel="0" collapsed="false">
      <c r="B1511" s="36" t="n">
        <v>41274</v>
      </c>
      <c r="C1511" s="37" t="n">
        <v>2.0429</v>
      </c>
    </row>
    <row r="1512" customFormat="false" ht="15" hidden="false" customHeight="false" outlineLevel="0" collapsed="false">
      <c r="B1512" s="36" t="n">
        <v>41276</v>
      </c>
      <c r="C1512" s="37" t="n">
        <v>2.0409</v>
      </c>
    </row>
    <row r="1513" customFormat="false" ht="15" hidden="false" customHeight="false" outlineLevel="0" collapsed="false">
      <c r="B1513" s="36" t="n">
        <v>41277</v>
      </c>
      <c r="C1513" s="37" t="n">
        <v>2.0458</v>
      </c>
    </row>
    <row r="1514" customFormat="false" ht="15" hidden="false" customHeight="false" outlineLevel="0" collapsed="false">
      <c r="B1514" s="36" t="n">
        <v>41278</v>
      </c>
      <c r="C1514" s="37" t="n">
        <v>2.0419</v>
      </c>
    </row>
    <row r="1515" customFormat="false" ht="15" hidden="false" customHeight="false" outlineLevel="0" collapsed="false">
      <c r="B1515" s="36" t="n">
        <v>41281</v>
      </c>
      <c r="C1515" s="37" t="n">
        <v>2.0306</v>
      </c>
    </row>
    <row r="1516" customFormat="false" ht="15" hidden="false" customHeight="false" outlineLevel="0" collapsed="false">
      <c r="B1516" s="36" t="n">
        <v>41282</v>
      </c>
      <c r="C1516" s="37" t="n">
        <v>2.028</v>
      </c>
    </row>
    <row r="1517" customFormat="false" ht="15" hidden="false" customHeight="false" outlineLevel="0" collapsed="false">
      <c r="B1517" s="36" t="n">
        <v>41283</v>
      </c>
      <c r="C1517" s="37" t="n">
        <v>2.0411</v>
      </c>
    </row>
    <row r="1518" customFormat="false" ht="15" hidden="false" customHeight="false" outlineLevel="0" collapsed="false">
      <c r="B1518" s="36" t="n">
        <v>41284</v>
      </c>
      <c r="C1518" s="37" t="n">
        <v>2.0352</v>
      </c>
    </row>
    <row r="1519" customFormat="false" ht="15" hidden="false" customHeight="false" outlineLevel="0" collapsed="false">
      <c r="B1519" s="36" t="n">
        <v>41285</v>
      </c>
      <c r="C1519" s="37" t="n">
        <v>2.0335</v>
      </c>
    </row>
    <row r="1520" customFormat="false" ht="15" hidden="false" customHeight="false" outlineLevel="0" collapsed="false">
      <c r="B1520" s="36" t="n">
        <v>41288</v>
      </c>
      <c r="C1520" s="37" t="n">
        <v>2.0328</v>
      </c>
    </row>
    <row r="1521" customFormat="false" ht="15" hidden="false" customHeight="false" outlineLevel="0" collapsed="false">
      <c r="B1521" s="36" t="n">
        <v>41289</v>
      </c>
      <c r="C1521" s="37" t="n">
        <v>2.0368</v>
      </c>
    </row>
    <row r="1522" customFormat="false" ht="15" hidden="false" customHeight="false" outlineLevel="0" collapsed="false">
      <c r="B1522" s="36" t="n">
        <v>41290</v>
      </c>
      <c r="C1522" s="37" t="n">
        <v>2.0403</v>
      </c>
    </row>
    <row r="1523" customFormat="false" ht="15" hidden="false" customHeight="false" outlineLevel="0" collapsed="false">
      <c r="B1523" s="36" t="n">
        <v>41291</v>
      </c>
      <c r="C1523" s="37" t="n">
        <v>2.0405</v>
      </c>
    </row>
    <row r="1524" customFormat="false" ht="15" hidden="false" customHeight="false" outlineLevel="0" collapsed="false">
      <c r="B1524" s="36" t="n">
        <v>41292</v>
      </c>
      <c r="C1524" s="37" t="n">
        <v>2.0435</v>
      </c>
    </row>
    <row r="1525" customFormat="false" ht="15" hidden="false" customHeight="false" outlineLevel="0" collapsed="false">
      <c r="B1525" s="36" t="n">
        <v>41295</v>
      </c>
      <c r="C1525" s="37" t="n">
        <v>2.0415</v>
      </c>
    </row>
    <row r="1526" customFormat="false" ht="15" hidden="false" customHeight="false" outlineLevel="0" collapsed="false">
      <c r="B1526" s="36" t="n">
        <v>41296</v>
      </c>
      <c r="C1526" s="37" t="n">
        <v>2.0466</v>
      </c>
    </row>
    <row r="1527" customFormat="false" ht="15" hidden="false" customHeight="false" outlineLevel="0" collapsed="false">
      <c r="B1527" s="36" t="n">
        <v>41297</v>
      </c>
      <c r="C1527" s="37" t="n">
        <v>2.0388</v>
      </c>
    </row>
    <row r="1528" customFormat="false" ht="15" hidden="false" customHeight="false" outlineLevel="0" collapsed="false">
      <c r="B1528" s="36" t="n">
        <v>41298</v>
      </c>
      <c r="C1528" s="37" t="n">
        <v>2.0338</v>
      </c>
    </row>
    <row r="1529" customFormat="false" ht="15" hidden="false" customHeight="false" outlineLevel="0" collapsed="false">
      <c r="B1529" s="36" t="n">
        <v>41299</v>
      </c>
      <c r="C1529" s="37" t="n">
        <v>2.0277</v>
      </c>
    </row>
    <row r="1530" customFormat="false" ht="15" hidden="false" customHeight="false" outlineLevel="0" collapsed="false">
      <c r="B1530" s="36" t="n">
        <v>41302</v>
      </c>
      <c r="C1530" s="37" t="n">
        <v>2.0235</v>
      </c>
    </row>
    <row r="1531" customFormat="false" ht="15" hidden="false" customHeight="false" outlineLevel="0" collapsed="false">
      <c r="B1531" s="36" t="n">
        <v>41303</v>
      </c>
      <c r="C1531" s="37" t="n">
        <v>1.9906</v>
      </c>
    </row>
    <row r="1532" customFormat="false" ht="15" hidden="false" customHeight="false" outlineLevel="0" collapsed="false">
      <c r="B1532" s="36" t="n">
        <v>41304</v>
      </c>
      <c r="C1532" s="37" t="n">
        <v>1.9894</v>
      </c>
    </row>
    <row r="1533" customFormat="false" ht="15" hidden="false" customHeight="false" outlineLevel="0" collapsed="false">
      <c r="B1533" s="36" t="n">
        <v>41305</v>
      </c>
      <c r="C1533" s="37" t="n">
        <v>1.9877</v>
      </c>
    </row>
    <row r="1534" customFormat="false" ht="15" hidden="false" customHeight="false" outlineLevel="0" collapsed="false">
      <c r="B1534" s="36" t="n">
        <v>41306</v>
      </c>
      <c r="C1534" s="37" t="n">
        <v>1.9838</v>
      </c>
    </row>
    <row r="1535" customFormat="false" ht="15" hidden="false" customHeight="false" outlineLevel="0" collapsed="false">
      <c r="B1535" s="36" t="n">
        <v>41309</v>
      </c>
      <c r="C1535" s="37" t="n">
        <v>1.9888</v>
      </c>
    </row>
    <row r="1536" customFormat="false" ht="15" hidden="false" customHeight="false" outlineLevel="0" collapsed="false">
      <c r="B1536" s="36" t="n">
        <v>41310</v>
      </c>
      <c r="C1536" s="37" t="n">
        <v>1.9875</v>
      </c>
    </row>
    <row r="1537" customFormat="false" ht="15" hidden="false" customHeight="false" outlineLevel="0" collapsed="false">
      <c r="B1537" s="36" t="n">
        <v>41311</v>
      </c>
      <c r="C1537" s="37" t="n">
        <v>1.9878</v>
      </c>
    </row>
    <row r="1538" customFormat="false" ht="15" hidden="false" customHeight="false" outlineLevel="0" collapsed="false">
      <c r="B1538" s="36" t="n">
        <v>41312</v>
      </c>
      <c r="C1538" s="37" t="n">
        <v>1.9783</v>
      </c>
    </row>
    <row r="1539" customFormat="false" ht="15" hidden="false" customHeight="false" outlineLevel="0" collapsed="false">
      <c r="B1539" s="36" t="n">
        <v>41313</v>
      </c>
      <c r="C1539" s="37" t="n">
        <v>1.963</v>
      </c>
    </row>
    <row r="1540" customFormat="false" ht="15" hidden="false" customHeight="false" outlineLevel="0" collapsed="false">
      <c r="B1540" s="36" t="n">
        <v>41318</v>
      </c>
      <c r="C1540" s="37" t="n">
        <v>1.9665</v>
      </c>
    </row>
    <row r="1541" customFormat="false" ht="15" hidden="false" customHeight="false" outlineLevel="0" collapsed="false">
      <c r="B1541" s="36" t="n">
        <v>41319</v>
      </c>
      <c r="C1541" s="37" t="n">
        <v>1.966</v>
      </c>
    </row>
    <row r="1542" customFormat="false" ht="15" hidden="false" customHeight="false" outlineLevel="0" collapsed="false">
      <c r="B1542" s="36" t="n">
        <v>41320</v>
      </c>
      <c r="C1542" s="37" t="n">
        <v>1.9594</v>
      </c>
    </row>
    <row r="1543" customFormat="false" ht="15" hidden="false" customHeight="false" outlineLevel="0" collapsed="false">
      <c r="B1543" s="36" t="n">
        <v>41323</v>
      </c>
      <c r="C1543" s="37" t="n">
        <v>1.967</v>
      </c>
    </row>
    <row r="1544" customFormat="false" ht="15" hidden="false" customHeight="false" outlineLevel="0" collapsed="false">
      <c r="B1544" s="36" t="n">
        <v>41324</v>
      </c>
      <c r="C1544" s="37" t="n">
        <v>1.9591</v>
      </c>
    </row>
    <row r="1545" customFormat="false" ht="15" hidden="false" customHeight="false" outlineLevel="0" collapsed="false">
      <c r="B1545" s="36" t="n">
        <v>41325</v>
      </c>
      <c r="C1545" s="37" t="n">
        <v>1.9564</v>
      </c>
    </row>
    <row r="1546" customFormat="false" ht="15" hidden="false" customHeight="false" outlineLevel="0" collapsed="false">
      <c r="B1546" s="36" t="n">
        <v>41326</v>
      </c>
      <c r="C1546" s="37" t="n">
        <v>1.9715</v>
      </c>
    </row>
    <row r="1547" customFormat="false" ht="15" hidden="false" customHeight="false" outlineLevel="0" collapsed="false">
      <c r="B1547" s="36" t="n">
        <v>41327</v>
      </c>
      <c r="C1547" s="37" t="n">
        <v>1.9699</v>
      </c>
    </row>
    <row r="1548" customFormat="false" ht="15" hidden="false" customHeight="false" outlineLevel="0" collapsed="false">
      <c r="B1548" s="36" t="n">
        <v>41330</v>
      </c>
      <c r="C1548" s="37" t="n">
        <v>1.967</v>
      </c>
    </row>
    <row r="1549" customFormat="false" ht="15" hidden="false" customHeight="false" outlineLevel="0" collapsed="false">
      <c r="B1549" s="36" t="n">
        <v>41331</v>
      </c>
      <c r="C1549" s="37" t="n">
        <v>1.9812</v>
      </c>
    </row>
    <row r="1550" customFormat="false" ht="15" hidden="false" customHeight="false" outlineLevel="0" collapsed="false">
      <c r="B1550" s="36" t="n">
        <v>41332</v>
      </c>
      <c r="C1550" s="37" t="n">
        <v>1.9801</v>
      </c>
    </row>
    <row r="1551" customFormat="false" ht="15" hidden="false" customHeight="false" outlineLevel="0" collapsed="false">
      <c r="B1551" s="36" t="n">
        <v>41333</v>
      </c>
      <c r="C1551" s="37" t="n">
        <v>1.9749</v>
      </c>
    </row>
    <row r="1552" customFormat="false" ht="15" hidden="false" customHeight="false" outlineLevel="0" collapsed="false">
      <c r="B1552" s="36" t="n">
        <v>41334</v>
      </c>
      <c r="C1552" s="37" t="n">
        <v>1.9843</v>
      </c>
    </row>
    <row r="1553" customFormat="false" ht="15" hidden="false" customHeight="false" outlineLevel="0" collapsed="false">
      <c r="B1553" s="36" t="n">
        <v>41337</v>
      </c>
      <c r="C1553" s="37" t="n">
        <v>1.9822</v>
      </c>
    </row>
    <row r="1554" customFormat="false" ht="15" hidden="false" customHeight="false" outlineLevel="0" collapsed="false">
      <c r="B1554" s="36" t="n">
        <v>41338</v>
      </c>
      <c r="C1554" s="37" t="n">
        <v>1.9688</v>
      </c>
    </row>
    <row r="1555" customFormat="false" ht="15" hidden="false" customHeight="false" outlineLevel="0" collapsed="false">
      <c r="B1555" s="36" t="n">
        <v>41339</v>
      </c>
      <c r="C1555" s="37" t="n">
        <v>1.9668</v>
      </c>
    </row>
    <row r="1556" customFormat="false" ht="15" hidden="false" customHeight="false" outlineLevel="0" collapsed="false">
      <c r="B1556" s="36" t="n">
        <v>41340</v>
      </c>
      <c r="C1556" s="37" t="n">
        <v>1.9636</v>
      </c>
    </row>
    <row r="1557" customFormat="false" ht="15" hidden="false" customHeight="false" outlineLevel="0" collapsed="false">
      <c r="B1557" s="36" t="n">
        <v>41341</v>
      </c>
      <c r="C1557" s="37" t="n">
        <v>1.9522</v>
      </c>
    </row>
    <row r="1558" customFormat="false" ht="15" hidden="false" customHeight="false" outlineLevel="0" collapsed="false">
      <c r="B1558" s="36" t="n">
        <v>41344</v>
      </c>
      <c r="C1558" s="37" t="n">
        <v>1.9546</v>
      </c>
    </row>
    <row r="1559" customFormat="false" ht="15" hidden="false" customHeight="false" outlineLevel="0" collapsed="false">
      <c r="B1559" s="36" t="n">
        <v>41345</v>
      </c>
      <c r="C1559" s="37" t="n">
        <v>1.9579</v>
      </c>
    </row>
    <row r="1560" customFormat="false" ht="15" hidden="false" customHeight="false" outlineLevel="0" collapsed="false">
      <c r="B1560" s="36" t="n">
        <v>41346</v>
      </c>
      <c r="C1560" s="37" t="n">
        <v>1.9614</v>
      </c>
    </row>
    <row r="1561" customFormat="false" ht="15" hidden="false" customHeight="false" outlineLevel="0" collapsed="false">
      <c r="B1561" s="36" t="n">
        <v>41347</v>
      </c>
      <c r="C1561" s="37" t="n">
        <v>1.9671</v>
      </c>
    </row>
    <row r="1562" customFormat="false" ht="15" hidden="false" customHeight="false" outlineLevel="0" collapsed="false">
      <c r="B1562" s="36" t="n">
        <v>41348</v>
      </c>
      <c r="C1562" s="37" t="n">
        <v>1.9743</v>
      </c>
    </row>
    <row r="1563" customFormat="false" ht="15" hidden="false" customHeight="false" outlineLevel="0" collapsed="false">
      <c r="B1563" s="36" t="n">
        <v>41351</v>
      </c>
      <c r="C1563" s="37" t="n">
        <v>1.9865</v>
      </c>
    </row>
    <row r="1564" customFormat="false" ht="15" hidden="false" customHeight="false" outlineLevel="0" collapsed="false">
      <c r="B1564" s="36" t="n">
        <v>41352</v>
      </c>
      <c r="C1564" s="37" t="n">
        <v>1.9824</v>
      </c>
    </row>
    <row r="1565" customFormat="false" ht="15" hidden="false" customHeight="false" outlineLevel="0" collapsed="false">
      <c r="B1565" s="36" t="n">
        <v>41353</v>
      </c>
      <c r="C1565" s="37" t="n">
        <v>1.9862</v>
      </c>
    </row>
    <row r="1566" customFormat="false" ht="15" hidden="false" customHeight="false" outlineLevel="0" collapsed="false">
      <c r="B1566" s="36" t="n">
        <v>41354</v>
      </c>
      <c r="C1566" s="37" t="n">
        <v>1.9925</v>
      </c>
    </row>
    <row r="1567" customFormat="false" ht="15" hidden="false" customHeight="false" outlineLevel="0" collapsed="false">
      <c r="B1567" s="36" t="n">
        <v>41355</v>
      </c>
      <c r="C1567" s="37" t="n">
        <v>2.012</v>
      </c>
    </row>
    <row r="1568" customFormat="false" ht="15" hidden="false" customHeight="false" outlineLevel="0" collapsed="false">
      <c r="B1568" s="36" t="n">
        <v>41358</v>
      </c>
      <c r="C1568" s="37" t="n">
        <v>2.0134</v>
      </c>
    </row>
    <row r="1569" customFormat="false" ht="15" hidden="false" customHeight="false" outlineLevel="0" collapsed="false">
      <c r="B1569" s="36" t="n">
        <v>41359</v>
      </c>
      <c r="C1569" s="37" t="n">
        <v>2.0081</v>
      </c>
    </row>
    <row r="1570" customFormat="false" ht="15" hidden="false" customHeight="false" outlineLevel="0" collapsed="false">
      <c r="B1570" s="36" t="n">
        <v>41360</v>
      </c>
      <c r="C1570" s="37" t="n">
        <v>2.0179</v>
      </c>
    </row>
    <row r="1571" customFormat="false" ht="15" hidden="false" customHeight="false" outlineLevel="0" collapsed="false">
      <c r="B1571" s="36" t="n">
        <v>41361</v>
      </c>
      <c r="C1571" s="37" t="n">
        <v>2.0132</v>
      </c>
    </row>
    <row r="1572" customFormat="false" ht="15" hidden="false" customHeight="false" outlineLevel="0" collapsed="false">
      <c r="B1572" s="36" t="n">
        <v>41365</v>
      </c>
      <c r="C1572" s="37" t="n">
        <v>2.018</v>
      </c>
    </row>
    <row r="1573" customFormat="false" ht="15" hidden="false" customHeight="false" outlineLevel="0" collapsed="false">
      <c r="B1573" s="36" t="n">
        <v>41366</v>
      </c>
      <c r="C1573" s="37" t="n">
        <v>2.0173</v>
      </c>
    </row>
    <row r="1574" customFormat="false" ht="15" hidden="false" customHeight="false" outlineLevel="0" collapsed="false">
      <c r="B1574" s="36" t="n">
        <v>41367</v>
      </c>
      <c r="C1574" s="37" t="n">
        <v>2.0233</v>
      </c>
    </row>
    <row r="1575" customFormat="false" ht="15" hidden="false" customHeight="false" outlineLevel="0" collapsed="false">
      <c r="B1575" s="36" t="n">
        <v>41368</v>
      </c>
      <c r="C1575" s="37" t="n">
        <v>2.0195</v>
      </c>
    </row>
    <row r="1576" customFormat="false" ht="15" hidden="false" customHeight="false" outlineLevel="0" collapsed="false">
      <c r="B1576" s="36" t="n">
        <v>41369</v>
      </c>
      <c r="C1576" s="37" t="n">
        <v>2.0029</v>
      </c>
    </row>
    <row r="1577" customFormat="false" ht="15" hidden="false" customHeight="false" outlineLevel="0" collapsed="false">
      <c r="B1577" s="36" t="n">
        <v>41372</v>
      </c>
      <c r="C1577" s="37" t="n">
        <v>1.9897</v>
      </c>
    </row>
    <row r="1578" customFormat="false" ht="15" hidden="false" customHeight="false" outlineLevel="0" collapsed="false">
      <c r="B1578" s="36" t="n">
        <v>41373</v>
      </c>
      <c r="C1578" s="37" t="n">
        <v>1.9855</v>
      </c>
    </row>
    <row r="1579" customFormat="false" ht="15" hidden="false" customHeight="false" outlineLevel="0" collapsed="false">
      <c r="B1579" s="36" t="n">
        <v>41374</v>
      </c>
      <c r="C1579" s="37" t="n">
        <v>1.9804</v>
      </c>
    </row>
    <row r="1580" customFormat="false" ht="15" hidden="false" customHeight="false" outlineLevel="0" collapsed="false">
      <c r="B1580" s="36" t="n">
        <v>41375</v>
      </c>
      <c r="C1580" s="37" t="n">
        <v>1.9731</v>
      </c>
    </row>
    <row r="1581" customFormat="false" ht="15" hidden="false" customHeight="false" outlineLevel="0" collapsed="false">
      <c r="B1581" s="36" t="n">
        <v>41376</v>
      </c>
      <c r="C1581" s="37" t="n">
        <v>1.9755</v>
      </c>
    </row>
    <row r="1582" customFormat="false" ht="15" hidden="false" customHeight="false" outlineLevel="0" collapsed="false">
      <c r="B1582" s="36" t="n">
        <v>41379</v>
      </c>
      <c r="C1582" s="37" t="n">
        <v>1.9784</v>
      </c>
    </row>
    <row r="1583" customFormat="false" ht="15" hidden="false" customHeight="false" outlineLevel="0" collapsed="false">
      <c r="B1583" s="36" t="n">
        <v>41380</v>
      </c>
      <c r="C1583" s="37" t="n">
        <v>1.9897</v>
      </c>
    </row>
    <row r="1584" customFormat="false" ht="15" hidden="false" customHeight="false" outlineLevel="0" collapsed="false">
      <c r="B1584" s="36" t="n">
        <v>41381</v>
      </c>
      <c r="C1584" s="37" t="n">
        <v>1.9933</v>
      </c>
    </row>
    <row r="1585" customFormat="false" ht="15" hidden="false" customHeight="false" outlineLevel="0" collapsed="false">
      <c r="B1585" s="36" t="n">
        <v>41382</v>
      </c>
      <c r="C1585" s="37" t="n">
        <v>2.0146</v>
      </c>
    </row>
    <row r="1586" customFormat="false" ht="15" hidden="false" customHeight="false" outlineLevel="0" collapsed="false">
      <c r="B1586" s="36" t="n">
        <v>41383</v>
      </c>
      <c r="C1586" s="37" t="n">
        <v>2.0084</v>
      </c>
    </row>
    <row r="1587" customFormat="false" ht="15" hidden="false" customHeight="false" outlineLevel="0" collapsed="false">
      <c r="B1587" s="36" t="n">
        <v>41386</v>
      </c>
      <c r="C1587" s="37" t="n">
        <v>2.0148</v>
      </c>
    </row>
    <row r="1588" customFormat="false" ht="15" hidden="false" customHeight="false" outlineLevel="0" collapsed="false">
      <c r="B1588" s="36" t="n">
        <v>41387</v>
      </c>
      <c r="C1588" s="37" t="n">
        <v>2.0164</v>
      </c>
    </row>
    <row r="1589" customFormat="false" ht="15" hidden="false" customHeight="false" outlineLevel="0" collapsed="false">
      <c r="B1589" s="36" t="n">
        <v>41388</v>
      </c>
      <c r="C1589" s="37" t="n">
        <v>2.0238</v>
      </c>
    </row>
    <row r="1590" customFormat="false" ht="15" hidden="false" customHeight="false" outlineLevel="0" collapsed="false">
      <c r="B1590" s="36" t="n">
        <v>41389</v>
      </c>
      <c r="C1590" s="37" t="n">
        <v>2.0114</v>
      </c>
    </row>
    <row r="1591" customFormat="false" ht="15" hidden="false" customHeight="false" outlineLevel="0" collapsed="false">
      <c r="B1591" s="36" t="n">
        <v>41390</v>
      </c>
      <c r="C1591" s="37" t="n">
        <v>1.9995</v>
      </c>
    </row>
    <row r="1592" customFormat="false" ht="15" hidden="false" customHeight="false" outlineLevel="0" collapsed="false">
      <c r="B1592" s="36" t="n">
        <v>41393</v>
      </c>
      <c r="C1592" s="37" t="n">
        <v>1.9993</v>
      </c>
    </row>
    <row r="1593" customFormat="false" ht="15" hidden="false" customHeight="false" outlineLevel="0" collapsed="false">
      <c r="B1593" s="36" t="n">
        <v>41394</v>
      </c>
      <c r="C1593" s="37" t="n">
        <v>2.0011</v>
      </c>
    </row>
    <row r="1594" customFormat="false" ht="15" hidden="false" customHeight="false" outlineLevel="0" collapsed="false">
      <c r="B1594" s="36" t="n">
        <v>41396</v>
      </c>
      <c r="C1594" s="37" t="n">
        <v>2.0089</v>
      </c>
    </row>
    <row r="1595" customFormat="false" ht="15" hidden="false" customHeight="false" outlineLevel="0" collapsed="false">
      <c r="B1595" s="36" t="n">
        <v>41397</v>
      </c>
      <c r="C1595" s="37" t="n">
        <v>2.0088</v>
      </c>
    </row>
    <row r="1596" customFormat="false" ht="15" hidden="false" customHeight="false" outlineLevel="0" collapsed="false">
      <c r="B1596" s="36" t="n">
        <v>41400</v>
      </c>
      <c r="C1596" s="37" t="n">
        <v>2.0137</v>
      </c>
    </row>
    <row r="1597" customFormat="false" ht="15" hidden="false" customHeight="false" outlineLevel="0" collapsed="false">
      <c r="B1597" s="36" t="n">
        <v>41401</v>
      </c>
      <c r="C1597" s="37" t="n">
        <v>2.0104</v>
      </c>
    </row>
    <row r="1598" customFormat="false" ht="15" hidden="false" customHeight="false" outlineLevel="0" collapsed="false">
      <c r="B1598" s="36" t="n">
        <v>41402</v>
      </c>
      <c r="C1598" s="37" t="n">
        <v>2.0024</v>
      </c>
    </row>
    <row r="1599" customFormat="false" ht="15" hidden="false" customHeight="false" outlineLevel="0" collapsed="false">
      <c r="B1599" s="36" t="n">
        <v>41403</v>
      </c>
      <c r="C1599" s="37" t="n">
        <v>2.0046</v>
      </c>
    </row>
    <row r="1600" customFormat="false" ht="15" hidden="false" customHeight="false" outlineLevel="0" collapsed="false">
      <c r="B1600" s="36" t="n">
        <v>41404</v>
      </c>
      <c r="C1600" s="37" t="n">
        <v>2.0225</v>
      </c>
    </row>
    <row r="1601" customFormat="false" ht="15" hidden="false" customHeight="false" outlineLevel="0" collapsed="false">
      <c r="B1601" s="36" t="n">
        <v>41407</v>
      </c>
      <c r="C1601" s="37" t="n">
        <v>2.0144</v>
      </c>
    </row>
    <row r="1602" customFormat="false" ht="15" hidden="false" customHeight="false" outlineLevel="0" collapsed="false">
      <c r="B1602" s="36" t="n">
        <v>41408</v>
      </c>
      <c r="C1602" s="37" t="n">
        <v>2.0057</v>
      </c>
    </row>
    <row r="1603" customFormat="false" ht="15" hidden="false" customHeight="false" outlineLevel="0" collapsed="false">
      <c r="B1603" s="36" t="n">
        <v>41409</v>
      </c>
      <c r="C1603" s="37" t="n">
        <v>2.0227</v>
      </c>
    </row>
    <row r="1604" customFormat="false" ht="15" hidden="false" customHeight="false" outlineLevel="0" collapsed="false">
      <c r="B1604" s="36" t="n">
        <v>41410</v>
      </c>
      <c r="C1604" s="37" t="n">
        <v>2.0249</v>
      </c>
    </row>
    <row r="1605" customFormat="false" ht="15" hidden="false" customHeight="false" outlineLevel="0" collapsed="false">
      <c r="B1605" s="36" t="n">
        <v>41411</v>
      </c>
      <c r="C1605" s="37" t="n">
        <v>2.0348</v>
      </c>
    </row>
    <row r="1606" customFormat="false" ht="15" hidden="false" customHeight="false" outlineLevel="0" collapsed="false">
      <c r="B1606" s="36" t="n">
        <v>41414</v>
      </c>
      <c r="C1606" s="37" t="n">
        <v>2.0328</v>
      </c>
    </row>
    <row r="1607" customFormat="false" ht="15" hidden="false" customHeight="false" outlineLevel="0" collapsed="false">
      <c r="B1607" s="36" t="n">
        <v>41415</v>
      </c>
      <c r="C1607" s="37" t="n">
        <v>2.0396</v>
      </c>
    </row>
    <row r="1608" customFormat="false" ht="15" hidden="false" customHeight="false" outlineLevel="0" collapsed="false">
      <c r="B1608" s="36" t="n">
        <v>41416</v>
      </c>
      <c r="C1608" s="37" t="n">
        <v>2.0381</v>
      </c>
    </row>
    <row r="1609" customFormat="false" ht="15" hidden="false" customHeight="false" outlineLevel="0" collapsed="false">
      <c r="B1609" s="36" t="n">
        <v>41417</v>
      </c>
      <c r="C1609" s="37" t="n">
        <v>2.0531</v>
      </c>
    </row>
    <row r="1610" customFormat="false" ht="15" hidden="false" customHeight="false" outlineLevel="0" collapsed="false">
      <c r="B1610" s="36" t="n">
        <v>41418</v>
      </c>
      <c r="C1610" s="37" t="n">
        <v>2.0489</v>
      </c>
    </row>
    <row r="1611" customFormat="false" ht="15" hidden="false" customHeight="false" outlineLevel="0" collapsed="false">
      <c r="B1611" s="36" t="n">
        <v>41421</v>
      </c>
      <c r="C1611" s="37" t="n">
        <v>2.0521</v>
      </c>
    </row>
    <row r="1612" customFormat="false" ht="15" hidden="false" customHeight="false" outlineLevel="0" collapsed="false">
      <c r="B1612" s="36" t="n">
        <v>41422</v>
      </c>
      <c r="C1612" s="37" t="n">
        <v>2.061</v>
      </c>
    </row>
    <row r="1613" customFormat="false" ht="15" hidden="false" customHeight="false" outlineLevel="0" collapsed="false">
      <c r="B1613" s="36" t="n">
        <v>41423</v>
      </c>
      <c r="C1613" s="37" t="n">
        <v>2.0888</v>
      </c>
    </row>
    <row r="1614" customFormat="false" ht="15" hidden="false" customHeight="false" outlineLevel="0" collapsed="false">
      <c r="B1614" s="36" t="n">
        <v>41425</v>
      </c>
      <c r="C1614" s="37" t="n">
        <v>2.1314</v>
      </c>
    </row>
    <row r="1615" customFormat="false" ht="15" hidden="false" customHeight="false" outlineLevel="0" collapsed="false">
      <c r="B1615" s="36" t="n">
        <v>41428</v>
      </c>
      <c r="C1615" s="37" t="n">
        <v>2.1349</v>
      </c>
    </row>
    <row r="1616" customFormat="false" ht="15" hidden="false" customHeight="false" outlineLevel="0" collapsed="false">
      <c r="B1616" s="36" t="n">
        <v>41429</v>
      </c>
      <c r="C1616" s="37" t="n">
        <v>2.1276</v>
      </c>
    </row>
    <row r="1617" customFormat="false" ht="15" hidden="false" customHeight="false" outlineLevel="0" collapsed="false">
      <c r="B1617" s="36" t="n">
        <v>41430</v>
      </c>
      <c r="C1617" s="37" t="n">
        <v>2.1229</v>
      </c>
    </row>
    <row r="1618" customFormat="false" ht="15" hidden="false" customHeight="false" outlineLevel="0" collapsed="false">
      <c r="B1618" s="36" t="n">
        <v>41431</v>
      </c>
      <c r="C1618" s="37" t="n">
        <v>2.1244</v>
      </c>
    </row>
    <row r="1619" customFormat="false" ht="15" hidden="false" customHeight="false" outlineLevel="0" collapsed="false">
      <c r="B1619" s="36" t="n">
        <v>41432</v>
      </c>
      <c r="C1619" s="37" t="n">
        <v>2.1367</v>
      </c>
    </row>
    <row r="1620" customFormat="false" ht="15" hidden="false" customHeight="false" outlineLevel="0" collapsed="false">
      <c r="B1620" s="36" t="n">
        <v>41435</v>
      </c>
      <c r="C1620" s="37" t="n">
        <v>2.1501</v>
      </c>
    </row>
    <row r="1621" customFormat="false" ht="15" hidden="false" customHeight="false" outlineLevel="0" collapsed="false">
      <c r="B1621" s="36" t="n">
        <v>41436</v>
      </c>
      <c r="C1621" s="37" t="n">
        <v>2.1515</v>
      </c>
    </row>
    <row r="1622" customFormat="false" ht="15" hidden="false" customHeight="false" outlineLevel="0" collapsed="false">
      <c r="B1622" s="36" t="n">
        <v>41437</v>
      </c>
      <c r="C1622" s="37" t="n">
        <v>2.1415</v>
      </c>
    </row>
    <row r="1623" customFormat="false" ht="15" hidden="false" customHeight="false" outlineLevel="0" collapsed="false">
      <c r="B1623" s="36" t="n">
        <v>41438</v>
      </c>
      <c r="C1623" s="37" t="n">
        <v>2.1441</v>
      </c>
    </row>
    <row r="1624" customFormat="false" ht="15" hidden="false" customHeight="false" outlineLevel="0" collapsed="false">
      <c r="B1624" s="36" t="n">
        <v>41439</v>
      </c>
      <c r="C1624" s="37" t="n">
        <v>2.1361</v>
      </c>
    </row>
    <row r="1625" customFormat="false" ht="15" hidden="false" customHeight="false" outlineLevel="0" collapsed="false">
      <c r="B1625" s="36" t="n">
        <v>41442</v>
      </c>
      <c r="C1625" s="37" t="n">
        <v>2.1532</v>
      </c>
    </row>
    <row r="1626" customFormat="false" ht="15" hidden="false" customHeight="false" outlineLevel="0" collapsed="false">
      <c r="B1626" s="36" t="n">
        <v>41443</v>
      </c>
      <c r="C1626" s="37" t="n">
        <v>2.17</v>
      </c>
    </row>
    <row r="1627" customFormat="false" ht="15" hidden="false" customHeight="false" outlineLevel="0" collapsed="false">
      <c r="B1627" s="36" t="n">
        <v>41444</v>
      </c>
      <c r="C1627" s="37" t="n">
        <v>2.1738</v>
      </c>
    </row>
    <row r="1628" customFormat="false" ht="15" hidden="false" customHeight="false" outlineLevel="0" collapsed="false">
      <c r="B1628" s="36" t="n">
        <v>41445</v>
      </c>
      <c r="C1628" s="37" t="n">
        <v>2.2517</v>
      </c>
    </row>
    <row r="1629" customFormat="false" ht="15" hidden="false" customHeight="false" outlineLevel="0" collapsed="false">
      <c r="B1629" s="36" t="n">
        <v>41446</v>
      </c>
      <c r="C1629" s="37" t="n">
        <v>2.2642</v>
      </c>
    </row>
    <row r="1630" customFormat="false" ht="15" hidden="false" customHeight="false" outlineLevel="0" collapsed="false">
      <c r="B1630" s="36" t="n">
        <v>41449</v>
      </c>
      <c r="C1630" s="37" t="n">
        <v>2.2509</v>
      </c>
    </row>
    <row r="1631" customFormat="false" ht="15" hidden="false" customHeight="false" outlineLevel="0" collapsed="false">
      <c r="B1631" s="36" t="n">
        <v>41450</v>
      </c>
      <c r="C1631" s="37" t="n">
        <v>2.218</v>
      </c>
    </row>
    <row r="1632" customFormat="false" ht="15" hidden="false" customHeight="false" outlineLevel="0" collapsed="false">
      <c r="B1632" s="36" t="n">
        <v>41451</v>
      </c>
      <c r="C1632" s="37" t="n">
        <v>2.1969</v>
      </c>
    </row>
    <row r="1633" customFormat="false" ht="15" hidden="false" customHeight="false" outlineLevel="0" collapsed="false">
      <c r="B1633" s="36" t="n">
        <v>41452</v>
      </c>
      <c r="C1633" s="37" t="n">
        <v>2.184</v>
      </c>
    </row>
    <row r="1634" customFormat="false" ht="15" hidden="false" customHeight="false" outlineLevel="0" collapsed="false">
      <c r="B1634" s="36" t="n">
        <v>41453</v>
      </c>
      <c r="C1634" s="37" t="n">
        <v>2.215</v>
      </c>
    </row>
    <row r="1635" customFormat="false" ht="15" hidden="false" customHeight="false" outlineLevel="0" collapsed="false">
      <c r="B1635" s="36" t="n">
        <v>41456</v>
      </c>
      <c r="C1635" s="37" t="n">
        <v>2.2292</v>
      </c>
    </row>
    <row r="1636" customFormat="false" ht="15" hidden="false" customHeight="false" outlineLevel="0" collapsed="false">
      <c r="B1636" s="36" t="n">
        <v>41457</v>
      </c>
      <c r="C1636" s="37" t="n">
        <v>2.2407</v>
      </c>
    </row>
    <row r="1637" customFormat="false" ht="15" hidden="false" customHeight="false" outlineLevel="0" collapsed="false">
      <c r="B1637" s="36" t="n">
        <v>41458</v>
      </c>
      <c r="C1637" s="37" t="n">
        <v>2.2628</v>
      </c>
    </row>
    <row r="1638" customFormat="false" ht="15" hidden="false" customHeight="false" outlineLevel="0" collapsed="false">
      <c r="B1638" s="36" t="n">
        <v>41459</v>
      </c>
      <c r="C1638" s="37" t="n">
        <v>2.2589</v>
      </c>
    </row>
    <row r="1639" customFormat="false" ht="15" hidden="false" customHeight="false" outlineLevel="0" collapsed="false">
      <c r="B1639" s="36" t="n">
        <v>41460</v>
      </c>
      <c r="C1639" s="37" t="n">
        <v>2.2639</v>
      </c>
    </row>
    <row r="1640" customFormat="false" ht="15" hidden="false" customHeight="false" outlineLevel="0" collapsed="false">
      <c r="B1640" s="36" t="n">
        <v>41463</v>
      </c>
      <c r="C1640" s="37" t="n">
        <v>2.2577</v>
      </c>
    </row>
    <row r="1641" customFormat="false" ht="15" hidden="false" customHeight="false" outlineLevel="0" collapsed="false">
      <c r="B1641" s="36" t="n">
        <v>41464</v>
      </c>
      <c r="C1641" s="37" t="n">
        <v>2.2615</v>
      </c>
    </row>
    <row r="1642" customFormat="false" ht="15" hidden="false" customHeight="false" outlineLevel="0" collapsed="false">
      <c r="B1642" s="36" t="n">
        <v>41465</v>
      </c>
      <c r="C1642" s="37" t="n">
        <v>2.2691</v>
      </c>
    </row>
    <row r="1643" customFormat="false" ht="15" hidden="false" customHeight="false" outlineLevel="0" collapsed="false">
      <c r="B1643" s="36" t="n">
        <v>41466</v>
      </c>
      <c r="C1643" s="37" t="n">
        <v>2.2666</v>
      </c>
    </row>
    <row r="1644" customFormat="false" ht="15" hidden="false" customHeight="false" outlineLevel="0" collapsed="false">
      <c r="B1644" s="36" t="n">
        <v>41467</v>
      </c>
      <c r="C1644" s="37" t="n">
        <v>2.2664</v>
      </c>
    </row>
    <row r="1645" customFormat="false" ht="15" hidden="false" customHeight="false" outlineLevel="0" collapsed="false">
      <c r="B1645" s="36" t="n">
        <v>41470</v>
      </c>
      <c r="C1645" s="37" t="n">
        <v>2.2543</v>
      </c>
    </row>
    <row r="1646" customFormat="false" ht="15" hidden="false" customHeight="false" outlineLevel="0" collapsed="false">
      <c r="B1646" s="36" t="n">
        <v>41471</v>
      </c>
      <c r="C1646" s="37" t="n">
        <v>2.2347</v>
      </c>
    </row>
    <row r="1647" customFormat="false" ht="15" hidden="false" customHeight="false" outlineLevel="0" collapsed="false">
      <c r="B1647" s="36" t="n">
        <v>41472</v>
      </c>
      <c r="C1647" s="37" t="n">
        <v>2.2366</v>
      </c>
    </row>
    <row r="1648" customFormat="false" ht="15" hidden="false" customHeight="false" outlineLevel="0" collapsed="false">
      <c r="B1648" s="36" t="n">
        <v>41473</v>
      </c>
      <c r="C1648" s="37" t="n">
        <v>2.2291</v>
      </c>
    </row>
    <row r="1649" customFormat="false" ht="15" hidden="false" customHeight="false" outlineLevel="0" collapsed="false">
      <c r="B1649" s="36" t="n">
        <v>41474</v>
      </c>
      <c r="C1649" s="37" t="n">
        <v>2.2358</v>
      </c>
    </row>
    <row r="1650" customFormat="false" ht="15" hidden="false" customHeight="false" outlineLevel="0" collapsed="false">
      <c r="B1650" s="36" t="n">
        <v>41477</v>
      </c>
      <c r="C1650" s="37" t="n">
        <v>2.238</v>
      </c>
    </row>
    <row r="1651" customFormat="false" ht="15" hidden="false" customHeight="false" outlineLevel="0" collapsed="false">
      <c r="B1651" s="36" t="n">
        <v>41478</v>
      </c>
      <c r="C1651" s="37" t="n">
        <v>2.2261</v>
      </c>
    </row>
    <row r="1652" customFormat="false" ht="15" hidden="false" customHeight="false" outlineLevel="0" collapsed="false">
      <c r="B1652" s="36" t="n">
        <v>41479</v>
      </c>
      <c r="C1652" s="37" t="n">
        <v>2.2342</v>
      </c>
    </row>
    <row r="1653" customFormat="false" ht="15" hidden="false" customHeight="false" outlineLevel="0" collapsed="false">
      <c r="B1653" s="36" t="n">
        <v>41480</v>
      </c>
      <c r="C1653" s="37" t="n">
        <v>2.2491</v>
      </c>
    </row>
    <row r="1654" customFormat="false" ht="15" hidden="false" customHeight="false" outlineLevel="0" collapsed="false">
      <c r="B1654" s="36" t="n">
        <v>41481</v>
      </c>
      <c r="C1654" s="37" t="n">
        <v>2.2483</v>
      </c>
    </row>
    <row r="1655" customFormat="false" ht="15" hidden="false" customHeight="false" outlineLevel="0" collapsed="false">
      <c r="B1655" s="36" t="n">
        <v>41484</v>
      </c>
      <c r="C1655" s="37" t="n">
        <v>2.2603</v>
      </c>
    </row>
    <row r="1656" customFormat="false" ht="15" hidden="false" customHeight="false" outlineLevel="0" collapsed="false">
      <c r="B1656" s="36" t="n">
        <v>41485</v>
      </c>
      <c r="C1656" s="37" t="n">
        <v>2.2729</v>
      </c>
    </row>
    <row r="1657" customFormat="false" ht="15" hidden="false" customHeight="false" outlineLevel="0" collapsed="false">
      <c r="B1657" s="36" t="n">
        <v>41486</v>
      </c>
      <c r="C1657" s="37" t="n">
        <v>2.2897</v>
      </c>
    </row>
    <row r="1658" customFormat="false" ht="15" hidden="false" customHeight="false" outlineLevel="0" collapsed="false">
      <c r="B1658" s="36" t="n">
        <v>41487</v>
      </c>
      <c r="C1658" s="37" t="n">
        <v>2.2908</v>
      </c>
    </row>
    <row r="1659" customFormat="false" ht="15" hidden="false" customHeight="false" outlineLevel="0" collapsed="false">
      <c r="B1659" s="36" t="n">
        <v>41488</v>
      </c>
      <c r="C1659" s="37" t="n">
        <v>2.2927</v>
      </c>
    </row>
    <row r="1660" customFormat="false" ht="15" hidden="false" customHeight="false" outlineLevel="0" collapsed="false">
      <c r="B1660" s="36" t="n">
        <v>41491</v>
      </c>
      <c r="C1660" s="37" t="n">
        <v>2.3004</v>
      </c>
    </row>
    <row r="1661" customFormat="false" ht="15" hidden="false" customHeight="false" outlineLevel="0" collapsed="false">
      <c r="B1661" s="36" t="n">
        <v>41492</v>
      </c>
      <c r="C1661" s="37" t="n">
        <v>2.2949</v>
      </c>
    </row>
    <row r="1662" customFormat="false" ht="15" hidden="false" customHeight="false" outlineLevel="0" collapsed="false">
      <c r="B1662" s="36" t="n">
        <v>41493</v>
      </c>
      <c r="C1662" s="37" t="n">
        <v>2.3022</v>
      </c>
    </row>
    <row r="1663" customFormat="false" ht="15" hidden="false" customHeight="false" outlineLevel="0" collapsed="false">
      <c r="B1663" s="36" t="n">
        <v>41494</v>
      </c>
      <c r="C1663" s="37" t="n">
        <v>2.2876</v>
      </c>
    </row>
    <row r="1664" customFormat="false" ht="15" hidden="false" customHeight="false" outlineLevel="0" collapsed="false">
      <c r="B1664" s="36" t="n">
        <v>41495</v>
      </c>
      <c r="C1664" s="37" t="n">
        <v>2.2743</v>
      </c>
    </row>
    <row r="1665" customFormat="false" ht="15" hidden="false" customHeight="false" outlineLevel="0" collapsed="false">
      <c r="B1665" s="36" t="n">
        <v>41498</v>
      </c>
      <c r="C1665" s="37" t="n">
        <v>2.2716</v>
      </c>
    </row>
    <row r="1666" customFormat="false" ht="15" hidden="false" customHeight="false" outlineLevel="0" collapsed="false">
      <c r="B1666" s="36" t="n">
        <v>41499</v>
      </c>
      <c r="C1666" s="37" t="n">
        <v>2.3029</v>
      </c>
    </row>
    <row r="1667" customFormat="false" ht="15" hidden="false" customHeight="false" outlineLevel="0" collapsed="false">
      <c r="B1667" s="36" t="n">
        <v>41500</v>
      </c>
      <c r="C1667" s="37" t="n">
        <v>2.3112</v>
      </c>
    </row>
    <row r="1668" customFormat="false" ht="15" hidden="false" customHeight="false" outlineLevel="0" collapsed="false">
      <c r="B1668" s="36" t="n">
        <v>41501</v>
      </c>
      <c r="C1668" s="37" t="n">
        <v>2.3428</v>
      </c>
    </row>
    <row r="1669" customFormat="false" ht="15" hidden="false" customHeight="false" outlineLevel="0" collapsed="false">
      <c r="B1669" s="36" t="n">
        <v>41502</v>
      </c>
      <c r="C1669" s="37" t="n">
        <v>2.3559</v>
      </c>
    </row>
    <row r="1670" customFormat="false" ht="15" hidden="false" customHeight="false" outlineLevel="0" collapsed="false">
      <c r="B1670" s="36" t="n">
        <v>41505</v>
      </c>
      <c r="C1670" s="37" t="n">
        <v>2.3974</v>
      </c>
    </row>
    <row r="1671" customFormat="false" ht="15" hidden="false" customHeight="false" outlineLevel="0" collapsed="false">
      <c r="B1671" s="36" t="n">
        <v>41506</v>
      </c>
      <c r="C1671" s="37" t="n">
        <v>2.3937</v>
      </c>
    </row>
    <row r="1672" customFormat="false" ht="15" hidden="false" customHeight="false" outlineLevel="0" collapsed="false">
      <c r="B1672" s="36" t="n">
        <v>41507</v>
      </c>
      <c r="C1672" s="37" t="n">
        <v>2.4163</v>
      </c>
    </row>
    <row r="1673" customFormat="false" ht="15" hidden="false" customHeight="false" outlineLevel="0" collapsed="false">
      <c r="B1673" s="36" t="n">
        <v>41508</v>
      </c>
      <c r="C1673" s="37" t="n">
        <v>2.4451</v>
      </c>
    </row>
    <row r="1674" customFormat="false" ht="15" hidden="false" customHeight="false" outlineLevel="0" collapsed="false">
      <c r="B1674" s="36" t="n">
        <v>41509</v>
      </c>
      <c r="C1674" s="37" t="n">
        <v>2.3862</v>
      </c>
    </row>
    <row r="1675" customFormat="false" ht="15" hidden="false" customHeight="false" outlineLevel="0" collapsed="false">
      <c r="B1675" s="36" t="n">
        <v>41512</v>
      </c>
      <c r="C1675" s="37" t="n">
        <v>2.3699</v>
      </c>
    </row>
    <row r="1676" customFormat="false" ht="15" hidden="false" customHeight="false" outlineLevel="0" collapsed="false">
      <c r="B1676" s="36" t="n">
        <v>41513</v>
      </c>
      <c r="C1676" s="37" t="n">
        <v>2.3992</v>
      </c>
    </row>
    <row r="1677" customFormat="false" ht="15" hidden="false" customHeight="false" outlineLevel="0" collapsed="false">
      <c r="B1677" s="36" t="n">
        <v>41514</v>
      </c>
      <c r="C1677" s="37" t="n">
        <v>2.3509</v>
      </c>
    </row>
    <row r="1678" customFormat="false" ht="15" hidden="false" customHeight="false" outlineLevel="0" collapsed="false">
      <c r="B1678" s="36" t="n">
        <v>41515</v>
      </c>
      <c r="C1678" s="37" t="n">
        <v>2.3572</v>
      </c>
    </row>
    <row r="1679" customFormat="false" ht="15" hidden="false" customHeight="false" outlineLevel="0" collapsed="false">
      <c r="B1679" s="36" t="n">
        <v>41516</v>
      </c>
      <c r="C1679" s="37" t="n">
        <v>2.3719</v>
      </c>
    </row>
    <row r="1680" customFormat="false" ht="15" hidden="false" customHeight="false" outlineLevel="0" collapsed="false">
      <c r="B1680" s="36" t="n">
        <v>41519</v>
      </c>
      <c r="C1680" s="37" t="n">
        <v>2.3637</v>
      </c>
    </row>
    <row r="1681" customFormat="false" ht="15" hidden="false" customHeight="false" outlineLevel="0" collapsed="false">
      <c r="B1681" s="36" t="n">
        <v>41520</v>
      </c>
      <c r="C1681" s="37" t="n">
        <v>2.3891</v>
      </c>
    </row>
    <row r="1682" customFormat="false" ht="15" hidden="false" customHeight="false" outlineLevel="0" collapsed="false">
      <c r="B1682" s="36" t="n">
        <v>41521</v>
      </c>
      <c r="C1682" s="37" t="n">
        <v>2.3532</v>
      </c>
    </row>
    <row r="1683" customFormat="false" ht="15" hidden="false" customHeight="false" outlineLevel="0" collapsed="false">
      <c r="B1683" s="36" t="n">
        <v>41522</v>
      </c>
      <c r="C1683" s="37" t="n">
        <v>2.3308</v>
      </c>
    </row>
    <row r="1684" customFormat="false" ht="15" hidden="false" customHeight="false" outlineLevel="0" collapsed="false">
      <c r="B1684" s="36" t="n">
        <v>41523</v>
      </c>
      <c r="C1684" s="37" t="n">
        <v>2.2973</v>
      </c>
    </row>
    <row r="1685" customFormat="false" ht="15" hidden="false" customHeight="false" outlineLevel="0" collapsed="false">
      <c r="B1685" s="36" t="n">
        <v>41526</v>
      </c>
      <c r="C1685" s="37" t="n">
        <v>2.2862</v>
      </c>
    </row>
    <row r="1686" customFormat="false" ht="15" hidden="false" customHeight="false" outlineLevel="0" collapsed="false">
      <c r="B1686" s="36" t="n">
        <v>41527</v>
      </c>
      <c r="C1686" s="37" t="n">
        <v>2.2773</v>
      </c>
    </row>
    <row r="1687" customFormat="false" ht="15" hidden="false" customHeight="false" outlineLevel="0" collapsed="false">
      <c r="B1687" s="36" t="n">
        <v>41528</v>
      </c>
      <c r="C1687" s="37" t="n">
        <v>2.2941</v>
      </c>
    </row>
    <row r="1688" customFormat="false" ht="15" hidden="false" customHeight="false" outlineLevel="0" collapsed="false">
      <c r="B1688" s="36" t="n">
        <v>41529</v>
      </c>
      <c r="C1688" s="37" t="n">
        <v>2.2763</v>
      </c>
    </row>
    <row r="1689" customFormat="false" ht="15" hidden="false" customHeight="false" outlineLevel="0" collapsed="false">
      <c r="B1689" s="36" t="n">
        <v>41530</v>
      </c>
      <c r="C1689" s="37" t="n">
        <v>2.2779</v>
      </c>
    </row>
    <row r="1690" customFormat="false" ht="15" hidden="false" customHeight="false" outlineLevel="0" collapsed="false">
      <c r="B1690" s="36" t="n">
        <v>41533</v>
      </c>
      <c r="C1690" s="37" t="n">
        <v>2.2643</v>
      </c>
    </row>
    <row r="1691" customFormat="false" ht="15" hidden="false" customHeight="false" outlineLevel="0" collapsed="false">
      <c r="B1691" s="36" t="n">
        <v>41534</v>
      </c>
      <c r="C1691" s="37" t="n">
        <v>2.2611</v>
      </c>
    </row>
    <row r="1692" customFormat="false" ht="15" hidden="false" customHeight="false" outlineLevel="0" collapsed="false">
      <c r="B1692" s="36" t="n">
        <v>41535</v>
      </c>
      <c r="C1692" s="37" t="n">
        <v>2.2483</v>
      </c>
    </row>
    <row r="1693" customFormat="false" ht="15" hidden="false" customHeight="false" outlineLevel="0" collapsed="false">
      <c r="B1693" s="36" t="n">
        <v>41536</v>
      </c>
      <c r="C1693" s="37" t="n">
        <v>2.2029</v>
      </c>
    </row>
    <row r="1694" customFormat="false" ht="15" hidden="false" customHeight="false" outlineLevel="0" collapsed="false">
      <c r="B1694" s="36" t="n">
        <v>41537</v>
      </c>
      <c r="C1694" s="37" t="n">
        <v>2.2047</v>
      </c>
    </row>
    <row r="1695" customFormat="false" ht="15" hidden="false" customHeight="false" outlineLevel="0" collapsed="false">
      <c r="B1695" s="36" t="n">
        <v>41540</v>
      </c>
      <c r="C1695" s="37" t="n">
        <v>2.2026</v>
      </c>
    </row>
    <row r="1696" customFormat="false" ht="15" hidden="false" customHeight="false" outlineLevel="0" collapsed="false">
      <c r="B1696" s="36" t="n">
        <v>41541</v>
      </c>
      <c r="C1696" s="37" t="n">
        <v>2.2025</v>
      </c>
    </row>
    <row r="1697" customFormat="false" ht="15" hidden="false" customHeight="false" outlineLevel="0" collapsed="false">
      <c r="B1697" s="36" t="n">
        <v>41542</v>
      </c>
      <c r="C1697" s="37" t="n">
        <v>2.2218</v>
      </c>
    </row>
    <row r="1698" customFormat="false" ht="15" hidden="false" customHeight="false" outlineLevel="0" collapsed="false">
      <c r="B1698" s="36" t="n">
        <v>41543</v>
      </c>
      <c r="C1698" s="37" t="n">
        <v>2.2279</v>
      </c>
    </row>
    <row r="1699" customFormat="false" ht="15" hidden="false" customHeight="false" outlineLevel="0" collapsed="false">
      <c r="B1699" s="36" t="n">
        <v>41544</v>
      </c>
      <c r="C1699" s="37" t="n">
        <v>2.2565</v>
      </c>
    </row>
    <row r="1700" customFormat="false" ht="15" hidden="false" customHeight="false" outlineLevel="0" collapsed="false">
      <c r="B1700" s="36" t="n">
        <v>41547</v>
      </c>
      <c r="C1700" s="37" t="n">
        <v>2.2294</v>
      </c>
    </row>
    <row r="1701" customFormat="false" ht="15" hidden="false" customHeight="false" outlineLevel="0" collapsed="false">
      <c r="B1701" s="36" t="n">
        <v>41548</v>
      </c>
      <c r="C1701" s="37" t="n">
        <v>2.2118</v>
      </c>
    </row>
    <row r="1702" customFormat="false" ht="15" hidden="false" customHeight="false" outlineLevel="0" collapsed="false">
      <c r="B1702" s="36" t="n">
        <v>41549</v>
      </c>
      <c r="C1702" s="37" t="n">
        <v>2.2082</v>
      </c>
    </row>
    <row r="1703" customFormat="false" ht="15" hidden="false" customHeight="false" outlineLevel="0" collapsed="false">
      <c r="B1703" s="36" t="n">
        <v>41550</v>
      </c>
      <c r="C1703" s="37" t="n">
        <v>2.2063</v>
      </c>
    </row>
    <row r="1704" customFormat="false" ht="15" hidden="false" customHeight="false" outlineLevel="0" collapsed="false">
      <c r="B1704" s="36" t="n">
        <v>41551</v>
      </c>
      <c r="C1704" s="37" t="n">
        <v>2.2045</v>
      </c>
    </row>
    <row r="1705" customFormat="false" ht="15" hidden="false" customHeight="false" outlineLevel="0" collapsed="false">
      <c r="B1705" s="36" t="n">
        <v>41554</v>
      </c>
      <c r="C1705" s="37" t="n">
        <v>2.2081</v>
      </c>
    </row>
    <row r="1706" customFormat="false" ht="15" hidden="false" customHeight="false" outlineLevel="0" collapsed="false">
      <c r="B1706" s="36" t="n">
        <v>41555</v>
      </c>
      <c r="C1706" s="37" t="n">
        <v>2.201</v>
      </c>
    </row>
    <row r="1707" customFormat="false" ht="15" hidden="false" customHeight="false" outlineLevel="0" collapsed="false">
      <c r="B1707" s="36" t="n">
        <v>41556</v>
      </c>
      <c r="C1707" s="37" t="n">
        <v>2.2048</v>
      </c>
    </row>
    <row r="1708" customFormat="false" ht="15" hidden="false" customHeight="false" outlineLevel="0" collapsed="false">
      <c r="B1708" s="36" t="n">
        <v>41557</v>
      </c>
      <c r="C1708" s="37" t="n">
        <v>2.1844</v>
      </c>
    </row>
    <row r="1709" customFormat="false" ht="15" hidden="false" customHeight="false" outlineLevel="0" collapsed="false">
      <c r="B1709" s="36" t="n">
        <v>41558</v>
      </c>
      <c r="C1709" s="37" t="n">
        <v>2.1815</v>
      </c>
    </row>
    <row r="1710" customFormat="false" ht="15" hidden="false" customHeight="false" outlineLevel="0" collapsed="false">
      <c r="B1710" s="36" t="n">
        <v>41561</v>
      </c>
      <c r="C1710" s="37" t="n">
        <v>2.1811</v>
      </c>
    </row>
    <row r="1711" customFormat="false" ht="15" hidden="false" customHeight="false" outlineLevel="0" collapsed="false">
      <c r="B1711" s="36" t="n">
        <v>41562</v>
      </c>
      <c r="C1711" s="37" t="n">
        <v>2.1812</v>
      </c>
    </row>
    <row r="1712" customFormat="false" ht="15" hidden="false" customHeight="false" outlineLevel="0" collapsed="false">
      <c r="B1712" s="36" t="n">
        <v>41563</v>
      </c>
      <c r="C1712" s="37" t="n">
        <v>2.1623</v>
      </c>
    </row>
    <row r="1713" customFormat="false" ht="15" hidden="false" customHeight="false" outlineLevel="0" collapsed="false">
      <c r="B1713" s="36" t="n">
        <v>41564</v>
      </c>
      <c r="C1713" s="37" t="n">
        <v>2.1605</v>
      </c>
    </row>
    <row r="1714" customFormat="false" ht="15" hidden="false" customHeight="false" outlineLevel="0" collapsed="false">
      <c r="B1714" s="36" t="n">
        <v>41565</v>
      </c>
      <c r="C1714" s="37" t="n">
        <v>2.161</v>
      </c>
    </row>
    <row r="1715" customFormat="false" ht="15" hidden="false" customHeight="false" outlineLevel="0" collapsed="false">
      <c r="B1715" s="36" t="n">
        <v>41568</v>
      </c>
      <c r="C1715" s="37" t="n">
        <v>2.1732</v>
      </c>
    </row>
    <row r="1716" customFormat="false" ht="15" hidden="false" customHeight="false" outlineLevel="0" collapsed="false">
      <c r="B1716" s="36" t="n">
        <v>41569</v>
      </c>
      <c r="C1716" s="37" t="n">
        <v>2.1754</v>
      </c>
    </row>
    <row r="1717" customFormat="false" ht="15" hidden="false" customHeight="false" outlineLevel="0" collapsed="false">
      <c r="B1717" s="36" t="n">
        <v>41570</v>
      </c>
      <c r="C1717" s="37" t="n">
        <v>2.1821</v>
      </c>
    </row>
    <row r="1718" customFormat="false" ht="15" hidden="false" customHeight="false" outlineLevel="0" collapsed="false">
      <c r="B1718" s="36" t="n">
        <v>41571</v>
      </c>
      <c r="C1718" s="37" t="n">
        <v>2.1997</v>
      </c>
    </row>
    <row r="1719" customFormat="false" ht="15" hidden="false" customHeight="false" outlineLevel="0" collapsed="false">
      <c r="B1719" s="36" t="n">
        <v>41572</v>
      </c>
      <c r="C1719" s="37" t="n">
        <v>2.1842</v>
      </c>
    </row>
    <row r="1720" customFormat="false" ht="15" hidden="false" customHeight="false" outlineLevel="0" collapsed="false">
      <c r="B1720" s="36" t="n">
        <v>41575</v>
      </c>
      <c r="C1720" s="37" t="n">
        <v>2.184</v>
      </c>
    </row>
    <row r="1721" customFormat="false" ht="15" hidden="false" customHeight="false" outlineLevel="0" collapsed="false">
      <c r="B1721" s="36" t="n">
        <v>41576</v>
      </c>
      <c r="C1721" s="37" t="n">
        <v>2.1798</v>
      </c>
    </row>
    <row r="1722" customFormat="false" ht="15" hidden="false" customHeight="false" outlineLevel="0" collapsed="false">
      <c r="B1722" s="36" t="n">
        <v>41577</v>
      </c>
      <c r="C1722" s="37" t="n">
        <v>2.1882</v>
      </c>
    </row>
    <row r="1723" customFormat="false" ht="15" hidden="false" customHeight="false" outlineLevel="0" collapsed="false">
      <c r="B1723" s="36" t="n">
        <v>41578</v>
      </c>
      <c r="C1723" s="37" t="n">
        <v>2.202</v>
      </c>
    </row>
    <row r="1724" customFormat="false" ht="15" hidden="false" customHeight="false" outlineLevel="0" collapsed="false">
      <c r="B1724" s="36" t="n">
        <v>41579</v>
      </c>
      <c r="C1724" s="37" t="n">
        <v>2.2462</v>
      </c>
    </row>
    <row r="1725" customFormat="false" ht="15" hidden="false" customHeight="false" outlineLevel="0" collapsed="false">
      <c r="B1725" s="36" t="n">
        <v>41582</v>
      </c>
      <c r="C1725" s="37" t="n">
        <v>2.242</v>
      </c>
    </row>
    <row r="1726" customFormat="false" ht="15" hidden="false" customHeight="false" outlineLevel="0" collapsed="false">
      <c r="B1726" s="36" t="n">
        <v>41583</v>
      </c>
      <c r="C1726" s="37" t="n">
        <v>2.2741</v>
      </c>
    </row>
    <row r="1727" customFormat="false" ht="15" hidden="false" customHeight="false" outlineLevel="0" collapsed="false">
      <c r="B1727" s="36" t="n">
        <v>41584</v>
      </c>
      <c r="C1727" s="37" t="n">
        <v>2.2779</v>
      </c>
    </row>
    <row r="1728" customFormat="false" ht="15" hidden="false" customHeight="false" outlineLevel="0" collapsed="false">
      <c r="B1728" s="36" t="n">
        <v>41585</v>
      </c>
      <c r="C1728" s="37" t="n">
        <v>2.2819</v>
      </c>
    </row>
    <row r="1729" customFormat="false" ht="15" hidden="false" customHeight="false" outlineLevel="0" collapsed="false">
      <c r="B1729" s="36" t="n">
        <v>41586</v>
      </c>
      <c r="C1729" s="37" t="n">
        <v>2.3164</v>
      </c>
    </row>
    <row r="1730" customFormat="false" ht="15" hidden="false" customHeight="false" outlineLevel="0" collapsed="false">
      <c r="B1730" s="36" t="n">
        <v>41589</v>
      </c>
      <c r="C1730" s="37" t="n">
        <v>2.3136</v>
      </c>
    </row>
    <row r="1731" customFormat="false" ht="15" hidden="false" customHeight="false" outlineLevel="0" collapsed="false">
      <c r="B1731" s="36" t="n">
        <v>41590</v>
      </c>
      <c r="C1731" s="37" t="n">
        <v>2.3356</v>
      </c>
    </row>
    <row r="1732" customFormat="false" ht="15" hidden="false" customHeight="false" outlineLevel="0" collapsed="false">
      <c r="B1732" s="36" t="n">
        <v>41591</v>
      </c>
      <c r="C1732" s="37" t="n">
        <v>2.3228</v>
      </c>
    </row>
    <row r="1733" customFormat="false" ht="15" hidden="false" customHeight="false" outlineLevel="0" collapsed="false">
      <c r="B1733" s="36" t="n">
        <v>41592</v>
      </c>
      <c r="C1733" s="37" t="n">
        <v>2.3283</v>
      </c>
    </row>
    <row r="1734" customFormat="false" ht="15" hidden="false" customHeight="false" outlineLevel="0" collapsed="false">
      <c r="B1734" s="36" t="n">
        <v>41596</v>
      </c>
      <c r="C1734" s="37" t="n">
        <v>2.2822</v>
      </c>
    </row>
    <row r="1735" customFormat="false" ht="15" hidden="false" customHeight="false" outlineLevel="0" collapsed="false">
      <c r="B1735" s="36" t="n">
        <v>41597</v>
      </c>
      <c r="C1735" s="37" t="n">
        <v>2.2656</v>
      </c>
    </row>
    <row r="1736" customFormat="false" ht="15" hidden="false" customHeight="false" outlineLevel="0" collapsed="false">
      <c r="B1736" s="36" t="n">
        <v>41598</v>
      </c>
      <c r="C1736" s="37" t="n">
        <v>2.2713</v>
      </c>
    </row>
    <row r="1737" customFormat="false" ht="15" hidden="false" customHeight="false" outlineLevel="0" collapsed="false">
      <c r="B1737" s="36" t="n">
        <v>41599</v>
      </c>
      <c r="C1737" s="37" t="n">
        <v>2.3061</v>
      </c>
    </row>
    <row r="1738" customFormat="false" ht="15" hidden="false" customHeight="false" outlineLevel="0" collapsed="false">
      <c r="B1738" s="36" t="n">
        <v>41600</v>
      </c>
      <c r="C1738" s="37" t="n">
        <v>2.2906</v>
      </c>
    </row>
    <row r="1739" customFormat="false" ht="15" hidden="false" customHeight="false" outlineLevel="0" collapsed="false">
      <c r="B1739" s="36" t="n">
        <v>41603</v>
      </c>
      <c r="C1739" s="37" t="n">
        <v>2.2865</v>
      </c>
    </row>
    <row r="1740" customFormat="false" ht="15" hidden="false" customHeight="false" outlineLevel="0" collapsed="false">
      <c r="B1740" s="36" t="n">
        <v>41604</v>
      </c>
      <c r="C1740" s="37" t="n">
        <v>2.3034</v>
      </c>
    </row>
    <row r="1741" customFormat="false" ht="15" hidden="false" customHeight="false" outlineLevel="0" collapsed="false">
      <c r="B1741" s="36" t="n">
        <v>41605</v>
      </c>
      <c r="C1741" s="37" t="n">
        <v>2.3052</v>
      </c>
    </row>
    <row r="1742" customFormat="false" ht="15" hidden="false" customHeight="false" outlineLevel="0" collapsed="false">
      <c r="B1742" s="36" t="n">
        <v>41606</v>
      </c>
      <c r="C1742" s="37" t="n">
        <v>2.3202</v>
      </c>
    </row>
    <row r="1743" customFormat="false" ht="15" hidden="false" customHeight="false" outlineLevel="0" collapsed="false">
      <c r="B1743" s="36" t="n">
        <v>41607</v>
      </c>
      <c r="C1743" s="37" t="n">
        <v>2.3243</v>
      </c>
    </row>
    <row r="1744" customFormat="false" ht="15" hidden="false" customHeight="false" outlineLevel="0" collapsed="false">
      <c r="B1744" s="36" t="n">
        <v>41610</v>
      </c>
      <c r="C1744" s="37" t="n">
        <v>2.3443</v>
      </c>
    </row>
    <row r="1745" customFormat="false" ht="15" hidden="false" customHeight="false" outlineLevel="0" collapsed="false">
      <c r="B1745" s="36" t="n">
        <v>41611</v>
      </c>
      <c r="C1745" s="37" t="n">
        <v>2.3552</v>
      </c>
    </row>
    <row r="1746" customFormat="false" ht="15" hidden="false" customHeight="false" outlineLevel="0" collapsed="false">
      <c r="B1746" s="36" t="n">
        <v>41612</v>
      </c>
      <c r="C1746" s="37" t="n">
        <v>2.3734</v>
      </c>
    </row>
    <row r="1747" customFormat="false" ht="15" hidden="false" customHeight="false" outlineLevel="0" collapsed="false">
      <c r="B1747" s="36" t="n">
        <v>41613</v>
      </c>
      <c r="C1747" s="37" t="n">
        <v>2.3741</v>
      </c>
    </row>
    <row r="1748" customFormat="false" ht="15" hidden="false" customHeight="false" outlineLevel="0" collapsed="false">
      <c r="B1748" s="36" t="n">
        <v>41614</v>
      </c>
      <c r="C1748" s="37" t="n">
        <v>2.3519</v>
      </c>
    </row>
    <row r="1749" customFormat="false" ht="15" hidden="false" customHeight="false" outlineLevel="0" collapsed="false">
      <c r="B1749" s="36" t="n">
        <v>41617</v>
      </c>
      <c r="C1749" s="37" t="n">
        <v>2.3218</v>
      </c>
    </row>
    <row r="1750" customFormat="false" ht="15" hidden="false" customHeight="false" outlineLevel="0" collapsed="false">
      <c r="B1750" s="36" t="n">
        <v>41618</v>
      </c>
      <c r="C1750" s="37" t="n">
        <v>2.3096</v>
      </c>
    </row>
    <row r="1751" customFormat="false" ht="15" hidden="false" customHeight="false" outlineLevel="0" collapsed="false">
      <c r="B1751" s="36" t="n">
        <v>41619</v>
      </c>
      <c r="C1751" s="37" t="n">
        <v>2.3256</v>
      </c>
    </row>
    <row r="1752" customFormat="false" ht="15" hidden="false" customHeight="false" outlineLevel="0" collapsed="false">
      <c r="B1752" s="36" t="n">
        <v>41620</v>
      </c>
      <c r="C1752" s="37" t="n">
        <v>2.3333</v>
      </c>
    </row>
    <row r="1753" customFormat="false" ht="15" hidden="false" customHeight="false" outlineLevel="0" collapsed="false">
      <c r="B1753" s="36" t="n">
        <v>41621</v>
      </c>
      <c r="C1753" s="37" t="n">
        <v>2.3348</v>
      </c>
    </row>
    <row r="1754" customFormat="false" ht="15" hidden="false" customHeight="false" outlineLevel="0" collapsed="false">
      <c r="B1754" s="36" t="n">
        <v>41624</v>
      </c>
      <c r="C1754" s="37" t="n">
        <v>2.3249</v>
      </c>
    </row>
    <row r="1755" customFormat="false" ht="15" hidden="false" customHeight="false" outlineLevel="0" collapsed="false">
      <c r="B1755" s="36" t="n">
        <v>41625</v>
      </c>
      <c r="C1755" s="37" t="n">
        <v>2.3215</v>
      </c>
    </row>
    <row r="1756" customFormat="false" ht="15" hidden="false" customHeight="false" outlineLevel="0" collapsed="false">
      <c r="B1756" s="36" t="n">
        <v>41626</v>
      </c>
      <c r="C1756" s="37" t="n">
        <v>2.3268</v>
      </c>
    </row>
    <row r="1757" customFormat="false" ht="15" hidden="false" customHeight="false" outlineLevel="0" collapsed="false">
      <c r="B1757" s="36" t="n">
        <v>41627</v>
      </c>
      <c r="C1757" s="37" t="n">
        <v>2.3522</v>
      </c>
    </row>
    <row r="1758" customFormat="false" ht="15" hidden="false" customHeight="false" outlineLevel="0" collapsed="false">
      <c r="B1758" s="36" t="n">
        <v>41628</v>
      </c>
      <c r="C1758" s="37" t="n">
        <v>2.3811</v>
      </c>
    </row>
    <row r="1759" customFormat="false" ht="15" hidden="false" customHeight="false" outlineLevel="0" collapsed="false">
      <c r="B1759" s="36" t="n">
        <v>41631</v>
      </c>
      <c r="C1759" s="37" t="n">
        <v>2.37</v>
      </c>
    </row>
    <row r="1760" customFormat="false" ht="15" hidden="false" customHeight="false" outlineLevel="0" collapsed="false">
      <c r="B1760" s="36" t="n">
        <v>41632</v>
      </c>
      <c r="C1760" s="37" t="n">
        <v>2.3543</v>
      </c>
    </row>
    <row r="1761" customFormat="false" ht="15" hidden="false" customHeight="false" outlineLevel="0" collapsed="false">
      <c r="B1761" s="36" t="n">
        <v>41634</v>
      </c>
      <c r="C1761" s="37" t="n">
        <v>2.3501</v>
      </c>
    </row>
    <row r="1762" customFormat="false" ht="15" hidden="false" customHeight="false" outlineLevel="0" collapsed="false">
      <c r="B1762" s="36" t="n">
        <v>41635</v>
      </c>
      <c r="C1762" s="37" t="n">
        <v>2.3532</v>
      </c>
    </row>
    <row r="1763" customFormat="false" ht="15" hidden="false" customHeight="false" outlineLevel="0" collapsed="false">
      <c r="B1763" s="36" t="n">
        <v>41638</v>
      </c>
      <c r="C1763" s="37" t="n">
        <v>2.342</v>
      </c>
    </row>
    <row r="1764" customFormat="false" ht="15" hidden="false" customHeight="false" outlineLevel="0" collapsed="false">
      <c r="B1764" s="36" t="n">
        <v>41639</v>
      </c>
      <c r="C1764" s="37" t="n">
        <v>2.342</v>
      </c>
    </row>
    <row r="1765" customFormat="false" ht="15" hidden="false" customHeight="false" outlineLevel="0" collapsed="false">
      <c r="B1765" s="36" t="n">
        <v>41641</v>
      </c>
      <c r="C1765" s="37" t="n">
        <v>2.3969</v>
      </c>
    </row>
    <row r="1766" customFormat="false" ht="15" hidden="false" customHeight="false" outlineLevel="0" collapsed="false">
      <c r="B1766" s="36" t="n">
        <v>41642</v>
      </c>
      <c r="C1766" s="37" t="n">
        <v>2.3734</v>
      </c>
    </row>
    <row r="1767" customFormat="false" ht="15" hidden="false" customHeight="false" outlineLevel="0" collapsed="false">
      <c r="B1767" s="36" t="n">
        <v>41645</v>
      </c>
      <c r="C1767" s="37" t="n">
        <v>2.3783</v>
      </c>
    </row>
    <row r="1768" customFormat="false" ht="15" hidden="false" customHeight="false" outlineLevel="0" collapsed="false">
      <c r="B1768" s="36" t="n">
        <v>41646</v>
      </c>
      <c r="C1768" s="37" t="n">
        <v>2.3628</v>
      </c>
    </row>
    <row r="1769" customFormat="false" ht="15" hidden="false" customHeight="false" outlineLevel="0" collapsed="false">
      <c r="B1769" s="36" t="n">
        <v>41647</v>
      </c>
      <c r="C1769" s="37" t="n">
        <v>2.3773</v>
      </c>
    </row>
    <row r="1770" customFormat="false" ht="15" hidden="false" customHeight="false" outlineLevel="0" collapsed="false">
      <c r="B1770" s="36" t="n">
        <v>41648</v>
      </c>
      <c r="C1770" s="37" t="n">
        <v>2.3954</v>
      </c>
    </row>
    <row r="1771" customFormat="false" ht="15" hidden="false" customHeight="false" outlineLevel="0" collapsed="false">
      <c r="B1771" s="36" t="n">
        <v>41649</v>
      </c>
      <c r="C1771" s="37" t="n">
        <v>2.3813</v>
      </c>
    </row>
    <row r="1772" customFormat="false" ht="15" hidden="false" customHeight="false" outlineLevel="0" collapsed="false">
      <c r="B1772" s="36" t="n">
        <v>41652</v>
      </c>
      <c r="C1772" s="37" t="n">
        <v>2.3485</v>
      </c>
    </row>
    <row r="1773" customFormat="false" ht="15" hidden="false" customHeight="false" outlineLevel="0" collapsed="false">
      <c r="B1773" s="36" t="n">
        <v>41653</v>
      </c>
      <c r="C1773" s="37" t="n">
        <v>2.3611</v>
      </c>
    </row>
    <row r="1774" customFormat="false" ht="15" hidden="false" customHeight="false" outlineLevel="0" collapsed="false">
      <c r="B1774" s="36" t="n">
        <v>41654</v>
      </c>
      <c r="C1774" s="37" t="n">
        <v>2.3465</v>
      </c>
    </row>
    <row r="1775" customFormat="false" ht="15" hidden="false" customHeight="false" outlineLevel="0" collapsed="false">
      <c r="B1775" s="36" t="n">
        <v>41655</v>
      </c>
      <c r="C1775" s="37" t="n">
        <v>2.3677</v>
      </c>
    </row>
    <row r="1776" customFormat="false" ht="15" hidden="false" customHeight="false" outlineLevel="0" collapsed="false">
      <c r="B1776" s="36" t="n">
        <v>41656</v>
      </c>
      <c r="C1776" s="37" t="n">
        <v>2.3595</v>
      </c>
    </row>
    <row r="1777" customFormat="false" ht="15" hidden="false" customHeight="false" outlineLevel="0" collapsed="false">
      <c r="B1777" s="36" t="n">
        <v>41659</v>
      </c>
      <c r="C1777" s="37" t="n">
        <v>2.3329</v>
      </c>
    </row>
    <row r="1778" customFormat="false" ht="15" hidden="false" customHeight="false" outlineLevel="0" collapsed="false">
      <c r="B1778" s="36" t="n">
        <v>41660</v>
      </c>
      <c r="C1778" s="37" t="n">
        <v>2.3602</v>
      </c>
    </row>
    <row r="1779" customFormat="false" ht="15" hidden="false" customHeight="false" outlineLevel="0" collapsed="false">
      <c r="B1779" s="36" t="n">
        <v>41661</v>
      </c>
      <c r="C1779" s="37" t="n">
        <v>2.3595</v>
      </c>
    </row>
    <row r="1780" customFormat="false" ht="15" hidden="false" customHeight="false" outlineLevel="0" collapsed="false">
      <c r="B1780" s="36" t="n">
        <v>41662</v>
      </c>
      <c r="C1780" s="37" t="n">
        <v>2.3755</v>
      </c>
    </row>
    <row r="1781" customFormat="false" ht="15" hidden="false" customHeight="false" outlineLevel="0" collapsed="false">
      <c r="B1781" s="36" t="n">
        <v>41663</v>
      </c>
      <c r="C1781" s="37" t="n">
        <v>2.4123</v>
      </c>
    </row>
    <row r="1782" customFormat="false" ht="15" hidden="false" customHeight="false" outlineLevel="0" collapsed="false">
      <c r="B1782" s="36" t="n">
        <v>41666</v>
      </c>
      <c r="C1782" s="37" t="n">
        <v>2.4038</v>
      </c>
    </row>
    <row r="1783" customFormat="false" ht="15" hidden="false" customHeight="false" outlineLevel="0" collapsed="false">
      <c r="B1783" s="36" t="n">
        <v>41667</v>
      </c>
      <c r="C1783" s="37" t="n">
        <v>2.4159</v>
      </c>
    </row>
    <row r="1784" customFormat="false" ht="15" hidden="false" customHeight="false" outlineLevel="0" collapsed="false">
      <c r="B1784" s="36" t="n">
        <v>41668</v>
      </c>
      <c r="C1784" s="37" t="n">
        <v>2.439</v>
      </c>
    </row>
    <row r="1785" customFormat="false" ht="15" hidden="false" customHeight="false" outlineLevel="0" collapsed="false">
      <c r="B1785" s="36" t="n">
        <v>41669</v>
      </c>
      <c r="C1785" s="37" t="n">
        <v>2.4218</v>
      </c>
    </row>
    <row r="1786" customFormat="false" ht="15" hidden="false" customHeight="false" outlineLevel="0" collapsed="false">
      <c r="B1786" s="36" t="n">
        <v>41670</v>
      </c>
      <c r="C1786" s="37" t="n">
        <v>2.4257</v>
      </c>
    </row>
    <row r="1787" customFormat="false" ht="15" hidden="false" customHeight="false" outlineLevel="0" collapsed="false">
      <c r="B1787" s="36" t="n">
        <v>41673</v>
      </c>
      <c r="C1787" s="37" t="n">
        <v>2.4084</v>
      </c>
    </row>
    <row r="1788" customFormat="false" ht="15" hidden="false" customHeight="false" outlineLevel="0" collapsed="false">
      <c r="B1788" s="36" t="n">
        <v>41674</v>
      </c>
      <c r="C1788" s="37" t="n">
        <v>2.4171</v>
      </c>
    </row>
    <row r="1789" customFormat="false" ht="15" hidden="false" customHeight="false" outlineLevel="0" collapsed="false">
      <c r="B1789" s="36" t="n">
        <v>41675</v>
      </c>
      <c r="C1789" s="37" t="n">
        <v>2.4101</v>
      </c>
    </row>
    <row r="1790" customFormat="false" ht="15" hidden="false" customHeight="false" outlineLevel="0" collapsed="false">
      <c r="B1790" s="36" t="n">
        <v>41676</v>
      </c>
      <c r="C1790" s="37" t="n">
        <v>2.4035</v>
      </c>
    </row>
    <row r="1791" customFormat="false" ht="15" hidden="false" customHeight="false" outlineLevel="0" collapsed="false">
      <c r="B1791" s="36" t="n">
        <v>41677</v>
      </c>
      <c r="C1791" s="37" t="n">
        <v>2.3811</v>
      </c>
    </row>
    <row r="1792" customFormat="false" ht="15" hidden="false" customHeight="false" outlineLevel="0" collapsed="false">
      <c r="B1792" s="36" t="n">
        <v>41680</v>
      </c>
      <c r="C1792" s="37" t="n">
        <v>2.393</v>
      </c>
    </row>
    <row r="1793" customFormat="false" ht="15" hidden="false" customHeight="false" outlineLevel="0" collapsed="false">
      <c r="B1793" s="36" t="n">
        <v>41681</v>
      </c>
      <c r="C1793" s="37" t="n">
        <v>2.407</v>
      </c>
    </row>
    <row r="1794" customFormat="false" ht="15" hidden="false" customHeight="false" outlineLevel="0" collapsed="false">
      <c r="B1794" s="36" t="n">
        <v>41682</v>
      </c>
      <c r="C1794" s="37" t="n">
        <v>2.408</v>
      </c>
    </row>
    <row r="1795" customFormat="false" ht="15" hidden="false" customHeight="false" outlineLevel="0" collapsed="false">
      <c r="B1795" s="36" t="n">
        <v>41683</v>
      </c>
      <c r="C1795" s="37" t="n">
        <v>2.4232</v>
      </c>
    </row>
    <row r="1796" customFormat="false" ht="15" hidden="false" customHeight="false" outlineLevel="0" collapsed="false">
      <c r="B1796" s="36" t="n">
        <v>41684</v>
      </c>
      <c r="C1796" s="37" t="n">
        <v>2.3919</v>
      </c>
    </row>
    <row r="1797" customFormat="false" ht="15" hidden="false" customHeight="false" outlineLevel="0" collapsed="false">
      <c r="B1797" s="36" t="n">
        <v>41687</v>
      </c>
      <c r="C1797" s="37" t="n">
        <v>2.3864</v>
      </c>
    </row>
    <row r="1798" customFormat="false" ht="15" hidden="false" customHeight="false" outlineLevel="0" collapsed="false">
      <c r="B1798" s="36" t="n">
        <v>41688</v>
      </c>
      <c r="C1798" s="37" t="n">
        <v>2.3977</v>
      </c>
    </row>
    <row r="1799" customFormat="false" ht="15" hidden="false" customHeight="false" outlineLevel="0" collapsed="false">
      <c r="B1799" s="36" t="n">
        <v>41689</v>
      </c>
      <c r="C1799" s="37" t="n">
        <v>2.398</v>
      </c>
    </row>
    <row r="1800" customFormat="false" ht="15" hidden="false" customHeight="false" outlineLevel="0" collapsed="false">
      <c r="B1800" s="36" t="n">
        <v>41690</v>
      </c>
      <c r="C1800" s="37" t="n">
        <v>2.3793</v>
      </c>
    </row>
    <row r="1801" customFormat="false" ht="15" hidden="false" customHeight="false" outlineLevel="0" collapsed="false">
      <c r="B1801" s="36" t="n">
        <v>41691</v>
      </c>
      <c r="C1801" s="37" t="n">
        <v>2.3619</v>
      </c>
    </row>
    <row r="1802" customFormat="false" ht="15" hidden="false" customHeight="false" outlineLevel="0" collapsed="false">
      <c r="B1802" s="36" t="n">
        <v>41694</v>
      </c>
      <c r="C1802" s="37" t="n">
        <v>2.3385</v>
      </c>
    </row>
    <row r="1803" customFormat="false" ht="15" hidden="false" customHeight="false" outlineLevel="0" collapsed="false">
      <c r="B1803" s="36" t="n">
        <v>41695</v>
      </c>
      <c r="C1803" s="37" t="n">
        <v>2.3361</v>
      </c>
    </row>
    <row r="1804" customFormat="false" ht="15" hidden="false" customHeight="false" outlineLevel="0" collapsed="false">
      <c r="B1804" s="36" t="n">
        <v>41696</v>
      </c>
      <c r="C1804" s="37" t="n">
        <v>2.3448</v>
      </c>
    </row>
    <row r="1805" customFormat="false" ht="15" hidden="false" customHeight="false" outlineLevel="0" collapsed="false">
      <c r="B1805" s="36" t="n">
        <v>41697</v>
      </c>
      <c r="C1805" s="37" t="n">
        <v>2.3431</v>
      </c>
    </row>
    <row r="1806" customFormat="false" ht="15" hidden="false" customHeight="false" outlineLevel="0" collapsed="false">
      <c r="B1806" s="36" t="n">
        <v>41698</v>
      </c>
      <c r="C1806" s="37" t="n">
        <v>2.3327</v>
      </c>
    </row>
    <row r="1807" customFormat="false" ht="15" hidden="false" customHeight="false" outlineLevel="0" collapsed="false">
      <c r="B1807" s="36" t="n">
        <v>41703</v>
      </c>
      <c r="C1807" s="37" t="n">
        <v>2.3234</v>
      </c>
    </row>
    <row r="1808" customFormat="false" ht="15" hidden="false" customHeight="false" outlineLevel="0" collapsed="false">
      <c r="B1808" s="36" t="n">
        <v>41704</v>
      </c>
      <c r="C1808" s="37" t="n">
        <v>2.3088</v>
      </c>
    </row>
    <row r="1809" customFormat="false" ht="15" hidden="false" customHeight="false" outlineLevel="0" collapsed="false">
      <c r="B1809" s="36" t="n">
        <v>41705</v>
      </c>
      <c r="C1809" s="37" t="n">
        <v>2.3376</v>
      </c>
    </row>
    <row r="1810" customFormat="false" ht="15" hidden="false" customHeight="false" outlineLevel="0" collapsed="false">
      <c r="B1810" s="36" t="n">
        <v>41708</v>
      </c>
      <c r="C1810" s="37" t="n">
        <v>2.3404</v>
      </c>
    </row>
    <row r="1811" customFormat="false" ht="15" hidden="false" customHeight="false" outlineLevel="0" collapsed="false">
      <c r="B1811" s="36" t="n">
        <v>41709</v>
      </c>
      <c r="C1811" s="37" t="n">
        <v>2.3455</v>
      </c>
    </row>
    <row r="1812" customFormat="false" ht="15" hidden="false" customHeight="false" outlineLevel="0" collapsed="false">
      <c r="B1812" s="36" t="n">
        <v>41710</v>
      </c>
      <c r="C1812" s="37" t="n">
        <v>2.3643</v>
      </c>
    </row>
    <row r="1813" customFormat="false" ht="15" hidden="false" customHeight="false" outlineLevel="0" collapsed="false">
      <c r="B1813" s="36" t="n">
        <v>41711</v>
      </c>
      <c r="C1813" s="37" t="n">
        <v>2.348</v>
      </c>
    </row>
    <row r="1814" customFormat="false" ht="15" hidden="false" customHeight="false" outlineLevel="0" collapsed="false">
      <c r="B1814" s="36" t="n">
        <v>41712</v>
      </c>
      <c r="C1814" s="37" t="n">
        <v>2.3631</v>
      </c>
    </row>
    <row r="1815" customFormat="false" ht="15" hidden="false" customHeight="false" outlineLevel="0" collapsed="false">
      <c r="B1815" s="36" t="n">
        <v>41715</v>
      </c>
      <c r="C1815" s="37" t="n">
        <v>2.3513</v>
      </c>
    </row>
    <row r="1816" customFormat="false" ht="15" hidden="false" customHeight="false" outlineLevel="0" collapsed="false">
      <c r="B1816" s="36" t="n">
        <v>41716</v>
      </c>
      <c r="C1816" s="37" t="n">
        <v>2.3516</v>
      </c>
    </row>
    <row r="1817" customFormat="false" ht="15" hidden="false" customHeight="false" outlineLevel="0" collapsed="false">
      <c r="B1817" s="36" t="n">
        <v>41717</v>
      </c>
      <c r="C1817" s="37" t="n">
        <v>2.3333</v>
      </c>
    </row>
    <row r="1818" customFormat="false" ht="15" hidden="false" customHeight="false" outlineLevel="0" collapsed="false">
      <c r="B1818" s="36" t="n">
        <v>41718</v>
      </c>
      <c r="C1818" s="37" t="n">
        <v>2.3414</v>
      </c>
    </row>
    <row r="1819" customFormat="false" ht="15" hidden="false" customHeight="false" outlineLevel="0" collapsed="false">
      <c r="B1819" s="36" t="n">
        <v>41719</v>
      </c>
      <c r="C1819" s="37" t="n">
        <v>2.3239</v>
      </c>
    </row>
    <row r="1820" customFormat="false" ht="15" hidden="false" customHeight="false" outlineLevel="0" collapsed="false">
      <c r="B1820" s="36" t="n">
        <v>41722</v>
      </c>
      <c r="C1820" s="37" t="n">
        <v>2.3242</v>
      </c>
    </row>
    <row r="1821" customFormat="false" ht="15" hidden="false" customHeight="false" outlineLevel="0" collapsed="false">
      <c r="B1821" s="36" t="n">
        <v>41723</v>
      </c>
      <c r="C1821" s="37" t="n">
        <v>2.3118</v>
      </c>
    </row>
    <row r="1822" customFormat="false" ht="15" hidden="false" customHeight="false" outlineLevel="0" collapsed="false">
      <c r="B1822" s="36" t="n">
        <v>41724</v>
      </c>
      <c r="C1822" s="37" t="n">
        <v>2.3113</v>
      </c>
    </row>
    <row r="1823" customFormat="false" ht="15" hidden="false" customHeight="false" outlineLevel="0" collapsed="false">
      <c r="B1823" s="36" t="n">
        <v>41725</v>
      </c>
      <c r="C1823" s="37" t="n">
        <v>2.2824</v>
      </c>
    </row>
    <row r="1824" customFormat="false" ht="15" hidden="false" customHeight="false" outlineLevel="0" collapsed="false">
      <c r="B1824" s="36" t="n">
        <v>41726</v>
      </c>
      <c r="C1824" s="37" t="n">
        <v>2.2597</v>
      </c>
    </row>
    <row r="1825" customFormat="false" ht="15" hidden="false" customHeight="false" outlineLevel="0" collapsed="false">
      <c r="B1825" s="36" t="n">
        <v>41729</v>
      </c>
      <c r="C1825" s="37" t="n">
        <v>2.2624</v>
      </c>
    </row>
    <row r="1826" customFormat="false" ht="15" hidden="false" customHeight="false" outlineLevel="0" collapsed="false">
      <c r="B1826" s="36" t="n">
        <v>41730</v>
      </c>
      <c r="C1826" s="37" t="n">
        <v>2.2614</v>
      </c>
    </row>
    <row r="1827" customFormat="false" ht="15" hidden="false" customHeight="false" outlineLevel="0" collapsed="false">
      <c r="B1827" s="36" t="n">
        <v>41731</v>
      </c>
      <c r="C1827" s="37" t="n">
        <v>2.2705</v>
      </c>
    </row>
    <row r="1828" customFormat="false" ht="15" hidden="false" customHeight="false" outlineLevel="0" collapsed="false">
      <c r="B1828" s="36" t="n">
        <v>41732</v>
      </c>
      <c r="C1828" s="37" t="n">
        <v>2.2805</v>
      </c>
    </row>
    <row r="1829" customFormat="false" ht="15" hidden="false" customHeight="false" outlineLevel="0" collapsed="false">
      <c r="B1829" s="36" t="n">
        <v>41733</v>
      </c>
      <c r="C1829" s="37" t="n">
        <v>2.2414</v>
      </c>
    </row>
    <row r="1830" customFormat="false" ht="15" hidden="false" customHeight="false" outlineLevel="0" collapsed="false">
      <c r="B1830" s="36" t="n">
        <v>41736</v>
      </c>
      <c r="C1830" s="37" t="n">
        <v>2.232</v>
      </c>
    </row>
    <row r="1831" customFormat="false" ht="15" hidden="false" customHeight="false" outlineLevel="0" collapsed="false">
      <c r="B1831" s="36" t="n">
        <v>41737</v>
      </c>
      <c r="C1831" s="37" t="n">
        <v>2.1968</v>
      </c>
    </row>
    <row r="1832" customFormat="false" ht="15" hidden="false" customHeight="false" outlineLevel="0" collapsed="false">
      <c r="B1832" s="36" t="n">
        <v>41738</v>
      </c>
      <c r="C1832" s="37" t="n">
        <v>2.2105</v>
      </c>
    </row>
    <row r="1833" customFormat="false" ht="15" hidden="false" customHeight="false" outlineLevel="0" collapsed="false">
      <c r="B1833" s="36" t="n">
        <v>41739</v>
      </c>
      <c r="C1833" s="37" t="n">
        <v>2.1982</v>
      </c>
    </row>
    <row r="1834" customFormat="false" ht="15" hidden="false" customHeight="false" outlineLevel="0" collapsed="false">
      <c r="B1834" s="36" t="n">
        <v>41740</v>
      </c>
      <c r="C1834" s="37" t="n">
        <v>2.2053</v>
      </c>
    </row>
    <row r="1835" customFormat="false" ht="15" hidden="false" customHeight="false" outlineLevel="0" collapsed="false">
      <c r="B1835" s="36" t="n">
        <v>41743</v>
      </c>
      <c r="C1835" s="37" t="n">
        <v>2.209</v>
      </c>
    </row>
    <row r="1836" customFormat="false" ht="15" hidden="false" customHeight="false" outlineLevel="0" collapsed="false">
      <c r="B1836" s="36" t="n">
        <v>41744</v>
      </c>
      <c r="C1836" s="37" t="n">
        <v>2.2251</v>
      </c>
    </row>
    <row r="1837" customFormat="false" ht="15" hidden="false" customHeight="false" outlineLevel="0" collapsed="false">
      <c r="B1837" s="36" t="n">
        <v>41745</v>
      </c>
      <c r="C1837" s="37" t="n">
        <v>2.2336</v>
      </c>
    </row>
    <row r="1838" customFormat="false" ht="15" hidden="false" customHeight="false" outlineLevel="0" collapsed="false">
      <c r="B1838" s="36" t="n">
        <v>41746</v>
      </c>
      <c r="C1838" s="37" t="n">
        <v>2.2476</v>
      </c>
    </row>
    <row r="1839" customFormat="false" ht="15" hidden="false" customHeight="false" outlineLevel="0" collapsed="false">
      <c r="B1839" s="36" t="n">
        <v>41751</v>
      </c>
      <c r="C1839" s="37" t="n">
        <v>2.2443</v>
      </c>
    </row>
    <row r="1840" customFormat="false" ht="15" hidden="false" customHeight="false" outlineLevel="0" collapsed="false">
      <c r="B1840" s="36" t="n">
        <v>41752</v>
      </c>
      <c r="C1840" s="37" t="n">
        <v>2.242</v>
      </c>
    </row>
    <row r="1841" customFormat="false" ht="15" hidden="false" customHeight="false" outlineLevel="0" collapsed="false">
      <c r="B1841" s="36" t="n">
        <v>41753</v>
      </c>
      <c r="C1841" s="37" t="n">
        <v>2.2223</v>
      </c>
    </row>
    <row r="1842" customFormat="false" ht="15" hidden="false" customHeight="false" outlineLevel="0" collapsed="false">
      <c r="B1842" s="36" t="n">
        <v>41754</v>
      </c>
      <c r="C1842" s="37" t="n">
        <v>2.2319</v>
      </c>
    </row>
    <row r="1843" customFormat="false" ht="15" hidden="false" customHeight="false" outlineLevel="0" collapsed="false">
      <c r="B1843" s="36" t="n">
        <v>41757</v>
      </c>
      <c r="C1843" s="37" t="n">
        <v>2.2364</v>
      </c>
    </row>
    <row r="1844" customFormat="false" ht="15" hidden="false" customHeight="false" outlineLevel="0" collapsed="false">
      <c r="B1844" s="36" t="n">
        <v>41758</v>
      </c>
      <c r="C1844" s="37" t="n">
        <v>2.2193</v>
      </c>
    </row>
    <row r="1845" customFormat="false" ht="15" hidden="false" customHeight="false" outlineLevel="0" collapsed="false">
      <c r="B1845" s="36" t="n">
        <v>41759</v>
      </c>
      <c r="C1845" s="37" t="n">
        <v>2.2354</v>
      </c>
    </row>
    <row r="1846" customFormat="false" ht="15" hidden="false" customHeight="false" outlineLevel="0" collapsed="false">
      <c r="B1846" s="36" t="n">
        <v>41761</v>
      </c>
      <c r="C1846" s="37" t="n">
        <v>2.2215</v>
      </c>
    </row>
    <row r="1847" customFormat="false" ht="15" hidden="false" customHeight="false" outlineLevel="0" collapsed="false">
      <c r="B1847" s="36" t="n">
        <v>41764</v>
      </c>
      <c r="C1847" s="37" t="n">
        <v>2.228</v>
      </c>
    </row>
    <row r="1848" customFormat="false" ht="15" hidden="false" customHeight="false" outlineLevel="0" collapsed="false">
      <c r="B1848" s="36" t="n">
        <v>41765</v>
      </c>
      <c r="C1848" s="37" t="n">
        <v>2.2316</v>
      </c>
    </row>
    <row r="1849" customFormat="false" ht="15" hidden="false" customHeight="false" outlineLevel="0" collapsed="false">
      <c r="B1849" s="36" t="n">
        <v>41766</v>
      </c>
      <c r="C1849" s="37" t="n">
        <v>2.2276</v>
      </c>
    </row>
    <row r="1850" customFormat="false" ht="15" hidden="false" customHeight="false" outlineLevel="0" collapsed="false">
      <c r="B1850" s="36" t="n">
        <v>41767</v>
      </c>
      <c r="C1850" s="37" t="n">
        <v>2.2101</v>
      </c>
    </row>
    <row r="1851" customFormat="false" ht="15" hidden="false" customHeight="false" outlineLevel="0" collapsed="false">
      <c r="B1851" s="36" t="n">
        <v>41768</v>
      </c>
      <c r="C1851" s="37" t="n">
        <v>2.2186</v>
      </c>
    </row>
    <row r="1852" customFormat="false" ht="15" hidden="false" customHeight="false" outlineLevel="0" collapsed="false">
      <c r="B1852" s="36" t="n">
        <v>41771</v>
      </c>
      <c r="C1852" s="37" t="n">
        <v>2.2158</v>
      </c>
    </row>
    <row r="1853" customFormat="false" ht="15" hidden="false" customHeight="false" outlineLevel="0" collapsed="false">
      <c r="B1853" s="36" t="n">
        <v>41772</v>
      </c>
      <c r="C1853" s="37" t="n">
        <v>2.2095</v>
      </c>
    </row>
    <row r="1854" customFormat="false" ht="15" hidden="false" customHeight="false" outlineLevel="0" collapsed="false">
      <c r="B1854" s="36" t="n">
        <v>41773</v>
      </c>
      <c r="C1854" s="37" t="n">
        <v>2.2123</v>
      </c>
    </row>
    <row r="1855" customFormat="false" ht="15" hidden="false" customHeight="false" outlineLevel="0" collapsed="false">
      <c r="B1855" s="36" t="n">
        <v>41774</v>
      </c>
      <c r="C1855" s="37" t="n">
        <v>2.216</v>
      </c>
    </row>
    <row r="1856" customFormat="false" ht="15" hidden="false" customHeight="false" outlineLevel="0" collapsed="false">
      <c r="B1856" s="36" t="n">
        <v>41775</v>
      </c>
      <c r="C1856" s="37" t="n">
        <v>2.2104</v>
      </c>
    </row>
    <row r="1857" customFormat="false" ht="15" hidden="false" customHeight="false" outlineLevel="0" collapsed="false">
      <c r="B1857" s="36" t="n">
        <v>41778</v>
      </c>
      <c r="C1857" s="37" t="n">
        <v>2.2105</v>
      </c>
    </row>
    <row r="1858" customFormat="false" ht="15" hidden="false" customHeight="false" outlineLevel="0" collapsed="false">
      <c r="B1858" s="36" t="n">
        <v>41779</v>
      </c>
      <c r="C1858" s="37" t="n">
        <v>2.215</v>
      </c>
    </row>
    <row r="1859" customFormat="false" ht="15" hidden="false" customHeight="false" outlineLevel="0" collapsed="false">
      <c r="B1859" s="36" t="n">
        <v>41780</v>
      </c>
      <c r="C1859" s="37" t="n">
        <v>2.2105</v>
      </c>
    </row>
    <row r="1860" customFormat="false" ht="15" hidden="false" customHeight="false" outlineLevel="0" collapsed="false">
      <c r="B1860" s="36" t="n">
        <v>41781</v>
      </c>
      <c r="C1860" s="37" t="n">
        <v>2.2125</v>
      </c>
    </row>
    <row r="1861" customFormat="false" ht="15" hidden="false" customHeight="false" outlineLevel="0" collapsed="false">
      <c r="B1861" s="36" t="n">
        <v>41782</v>
      </c>
      <c r="C1861" s="37" t="n">
        <v>2.2181</v>
      </c>
    </row>
    <row r="1862" customFormat="false" ht="15" hidden="false" customHeight="false" outlineLevel="0" collapsed="false">
      <c r="B1862" s="36" t="n">
        <v>41785</v>
      </c>
      <c r="C1862" s="37" t="n">
        <v>2.2203</v>
      </c>
    </row>
    <row r="1863" customFormat="false" ht="15" hidden="false" customHeight="false" outlineLevel="0" collapsed="false">
      <c r="B1863" s="36" t="n">
        <v>41786</v>
      </c>
      <c r="C1863" s="37" t="n">
        <v>2.2348</v>
      </c>
    </row>
    <row r="1864" customFormat="false" ht="15" hidden="false" customHeight="false" outlineLevel="0" collapsed="false">
      <c r="B1864" s="36" t="n">
        <v>41787</v>
      </c>
      <c r="C1864" s="37" t="n">
        <v>2.2399</v>
      </c>
    </row>
    <row r="1865" customFormat="false" ht="15" hidden="false" customHeight="false" outlineLevel="0" collapsed="false">
      <c r="B1865" s="36" t="n">
        <v>41788</v>
      </c>
      <c r="C1865" s="37" t="n">
        <v>2.2245</v>
      </c>
    </row>
    <row r="1866" customFormat="false" ht="15" hidden="false" customHeight="false" outlineLevel="0" collapsed="false">
      <c r="B1866" s="36" t="n">
        <v>41789</v>
      </c>
      <c r="C1866" s="37" t="n">
        <v>2.2384</v>
      </c>
    </row>
    <row r="1867" customFormat="false" ht="15" hidden="false" customHeight="false" outlineLevel="0" collapsed="false">
      <c r="B1867" s="36" t="n">
        <v>41792</v>
      </c>
      <c r="C1867" s="37" t="n">
        <v>2.2634</v>
      </c>
    </row>
    <row r="1868" customFormat="false" ht="15" hidden="false" customHeight="false" outlineLevel="0" collapsed="false">
      <c r="B1868" s="36" t="n">
        <v>41793</v>
      </c>
      <c r="C1868" s="37" t="n">
        <v>2.2648</v>
      </c>
    </row>
    <row r="1869" customFormat="false" ht="15" hidden="false" customHeight="false" outlineLevel="0" collapsed="false">
      <c r="B1869" s="36" t="n">
        <v>41794</v>
      </c>
      <c r="C1869" s="37" t="n">
        <v>2.2796</v>
      </c>
    </row>
    <row r="1870" customFormat="false" ht="15" hidden="false" customHeight="false" outlineLevel="0" collapsed="false">
      <c r="B1870" s="36" t="n">
        <v>41795</v>
      </c>
      <c r="C1870" s="37" t="n">
        <v>2.2689</v>
      </c>
    </row>
    <row r="1871" customFormat="false" ht="15" hidden="false" customHeight="false" outlineLevel="0" collapsed="false">
      <c r="B1871" s="36" t="n">
        <v>41796</v>
      </c>
      <c r="C1871" s="37" t="n">
        <v>2.2439</v>
      </c>
    </row>
    <row r="1872" customFormat="false" ht="15" hidden="false" customHeight="false" outlineLevel="0" collapsed="false">
      <c r="B1872" s="36" t="n">
        <v>41799</v>
      </c>
      <c r="C1872" s="37" t="n">
        <v>2.233</v>
      </c>
    </row>
    <row r="1873" customFormat="false" ht="15" hidden="false" customHeight="false" outlineLevel="0" collapsed="false">
      <c r="B1873" s="36" t="n">
        <v>41800</v>
      </c>
      <c r="C1873" s="37" t="n">
        <v>2.229</v>
      </c>
    </row>
    <row r="1874" customFormat="false" ht="15" hidden="false" customHeight="false" outlineLevel="0" collapsed="false">
      <c r="B1874" s="36" t="n">
        <v>41801</v>
      </c>
      <c r="C1874" s="37" t="n">
        <v>2.2301</v>
      </c>
    </row>
    <row r="1875" customFormat="false" ht="15" hidden="false" customHeight="false" outlineLevel="0" collapsed="false">
      <c r="B1875" s="36" t="n">
        <v>41802</v>
      </c>
      <c r="C1875" s="37" t="n">
        <v>2.2298</v>
      </c>
    </row>
    <row r="1876" customFormat="false" ht="15" hidden="false" customHeight="false" outlineLevel="0" collapsed="false">
      <c r="B1876" s="36" t="n">
        <v>41803</v>
      </c>
      <c r="C1876" s="37" t="n">
        <v>2.2341</v>
      </c>
    </row>
    <row r="1877" customFormat="false" ht="15" hidden="false" customHeight="false" outlineLevel="0" collapsed="false">
      <c r="B1877" s="36" t="n">
        <v>41806</v>
      </c>
      <c r="C1877" s="37" t="n">
        <v>2.2307</v>
      </c>
    </row>
    <row r="1878" customFormat="false" ht="15" hidden="false" customHeight="false" outlineLevel="0" collapsed="false">
      <c r="B1878" s="36" t="n">
        <v>41807</v>
      </c>
      <c r="C1878" s="37" t="n">
        <v>2.248</v>
      </c>
    </row>
    <row r="1879" customFormat="false" ht="15" hidden="false" customHeight="false" outlineLevel="0" collapsed="false">
      <c r="B1879" s="36" t="n">
        <v>41808</v>
      </c>
      <c r="C1879" s="37" t="n">
        <v>2.2528</v>
      </c>
    </row>
    <row r="1880" customFormat="false" ht="15" hidden="false" customHeight="false" outlineLevel="0" collapsed="false">
      <c r="B1880" s="36" t="n">
        <v>41810</v>
      </c>
      <c r="C1880" s="37" t="n">
        <v>2.2374</v>
      </c>
    </row>
    <row r="1881" customFormat="false" ht="15" hidden="false" customHeight="false" outlineLevel="0" collapsed="false">
      <c r="B1881" s="36" t="n">
        <v>41813</v>
      </c>
      <c r="C1881" s="37" t="n">
        <v>2.2189</v>
      </c>
    </row>
    <row r="1882" customFormat="false" ht="15" hidden="false" customHeight="false" outlineLevel="0" collapsed="false">
      <c r="B1882" s="36" t="n">
        <v>41814</v>
      </c>
      <c r="C1882" s="37" t="n">
        <v>2.2211</v>
      </c>
    </row>
    <row r="1883" customFormat="false" ht="15" hidden="false" customHeight="false" outlineLevel="0" collapsed="false">
      <c r="B1883" s="36" t="n">
        <v>41815</v>
      </c>
      <c r="C1883" s="37" t="n">
        <v>2.2046</v>
      </c>
    </row>
    <row r="1884" customFormat="false" ht="15" hidden="false" customHeight="false" outlineLevel="0" collapsed="false">
      <c r="B1884" s="36" t="n">
        <v>41816</v>
      </c>
      <c r="C1884" s="37" t="n">
        <v>2.2083</v>
      </c>
    </row>
    <row r="1885" customFormat="false" ht="15" hidden="false" customHeight="false" outlineLevel="0" collapsed="false">
      <c r="B1885" s="36" t="n">
        <v>41817</v>
      </c>
      <c r="C1885" s="37" t="n">
        <v>2.1969</v>
      </c>
    </row>
    <row r="1886" customFormat="false" ht="15" hidden="false" customHeight="false" outlineLevel="0" collapsed="false">
      <c r="B1886" s="36" t="n">
        <v>41820</v>
      </c>
      <c r="C1886" s="37" t="n">
        <v>2.2019</v>
      </c>
    </row>
    <row r="1887" customFormat="false" ht="15" hidden="false" customHeight="false" outlineLevel="0" collapsed="false">
      <c r="B1887" s="36" t="n">
        <v>41821</v>
      </c>
      <c r="C1887" s="37" t="n">
        <v>2.2048</v>
      </c>
    </row>
    <row r="1888" customFormat="false" ht="15" hidden="false" customHeight="false" outlineLevel="0" collapsed="false">
      <c r="B1888" s="36" t="n">
        <v>41822</v>
      </c>
      <c r="C1888" s="37" t="n">
        <v>2.2127</v>
      </c>
    </row>
    <row r="1889" customFormat="false" ht="15" hidden="false" customHeight="false" outlineLevel="0" collapsed="false">
      <c r="B1889" s="36" t="n">
        <v>41823</v>
      </c>
      <c r="C1889" s="37" t="n">
        <v>2.2275</v>
      </c>
    </row>
    <row r="1890" customFormat="false" ht="15" hidden="false" customHeight="false" outlineLevel="0" collapsed="false">
      <c r="B1890" s="36" t="n">
        <v>41824</v>
      </c>
      <c r="C1890" s="37" t="n">
        <v>2.2143</v>
      </c>
    </row>
    <row r="1891" customFormat="false" ht="15" hidden="false" customHeight="false" outlineLevel="0" collapsed="false">
      <c r="B1891" s="36" t="n">
        <v>41827</v>
      </c>
      <c r="C1891" s="37" t="n">
        <v>2.2195</v>
      </c>
    </row>
    <row r="1892" customFormat="false" ht="15" hidden="false" customHeight="false" outlineLevel="0" collapsed="false">
      <c r="B1892" s="36" t="n">
        <v>41828</v>
      </c>
      <c r="C1892" s="37" t="n">
        <v>2.2144</v>
      </c>
    </row>
    <row r="1893" customFormat="false" ht="15" hidden="false" customHeight="false" outlineLevel="0" collapsed="false">
      <c r="B1893" s="36" t="n">
        <v>41829</v>
      </c>
      <c r="C1893" s="37" t="n">
        <v>2.2128</v>
      </c>
    </row>
    <row r="1894" customFormat="false" ht="15" hidden="false" customHeight="false" outlineLevel="0" collapsed="false">
      <c r="B1894" s="36" t="n">
        <v>41830</v>
      </c>
      <c r="C1894" s="37" t="n">
        <v>2.2231</v>
      </c>
    </row>
    <row r="1895" customFormat="false" ht="15" hidden="false" customHeight="false" outlineLevel="0" collapsed="false">
      <c r="B1895" s="36" t="n">
        <v>41831</v>
      </c>
      <c r="C1895" s="37" t="n">
        <v>2.2222</v>
      </c>
    </row>
    <row r="1896" customFormat="false" ht="15" hidden="false" customHeight="false" outlineLevel="0" collapsed="false">
      <c r="B1896" s="36" t="n">
        <v>41834</v>
      </c>
      <c r="C1896" s="37" t="n">
        <v>2.217</v>
      </c>
    </row>
    <row r="1897" customFormat="false" ht="15" hidden="false" customHeight="false" outlineLevel="0" collapsed="false">
      <c r="B1897" s="36" t="n">
        <v>41835</v>
      </c>
      <c r="C1897" s="37" t="n">
        <v>2.2189</v>
      </c>
    </row>
    <row r="1898" customFormat="false" ht="15" hidden="false" customHeight="false" outlineLevel="0" collapsed="false">
      <c r="B1898" s="36" t="n">
        <v>41836</v>
      </c>
      <c r="C1898" s="37" t="n">
        <v>2.2187</v>
      </c>
    </row>
    <row r="1899" customFormat="false" ht="15" hidden="false" customHeight="false" outlineLevel="0" collapsed="false">
      <c r="B1899" s="36" t="n">
        <v>41837</v>
      </c>
      <c r="C1899" s="37" t="n">
        <v>2.2397</v>
      </c>
    </row>
    <row r="1900" customFormat="false" ht="15" hidden="false" customHeight="false" outlineLevel="0" collapsed="false">
      <c r="B1900" s="36" t="n">
        <v>41838</v>
      </c>
      <c r="C1900" s="37" t="n">
        <v>2.2356</v>
      </c>
    </row>
    <row r="1901" customFormat="false" ht="15" hidden="false" customHeight="false" outlineLevel="0" collapsed="false">
      <c r="B1901" s="36" t="n">
        <v>41841</v>
      </c>
      <c r="C1901" s="37" t="n">
        <v>2.2232</v>
      </c>
    </row>
    <row r="1902" customFormat="false" ht="15" hidden="false" customHeight="false" outlineLevel="0" collapsed="false">
      <c r="B1902" s="36" t="n">
        <v>41842</v>
      </c>
      <c r="C1902" s="37" t="n">
        <v>2.2123</v>
      </c>
    </row>
    <row r="1903" customFormat="false" ht="15" hidden="false" customHeight="false" outlineLevel="0" collapsed="false">
      <c r="B1903" s="36" t="n">
        <v>41843</v>
      </c>
      <c r="C1903" s="37" t="n">
        <v>2.2196</v>
      </c>
    </row>
    <row r="1904" customFormat="false" ht="15" hidden="false" customHeight="false" outlineLevel="0" collapsed="false">
      <c r="B1904" s="36" t="n">
        <v>41844</v>
      </c>
      <c r="C1904" s="37" t="n">
        <v>2.2198</v>
      </c>
    </row>
    <row r="1905" customFormat="false" ht="15" hidden="false" customHeight="false" outlineLevel="0" collapsed="false">
      <c r="B1905" s="36" t="n">
        <v>41845</v>
      </c>
      <c r="C1905" s="37" t="n">
        <v>2.2287</v>
      </c>
    </row>
    <row r="1906" customFormat="false" ht="15" hidden="false" customHeight="false" outlineLevel="0" collapsed="false">
      <c r="B1906" s="36" t="n">
        <v>41848</v>
      </c>
      <c r="C1906" s="37" t="n">
        <v>2.2296</v>
      </c>
    </row>
    <row r="1907" customFormat="false" ht="15" hidden="false" customHeight="false" outlineLevel="0" collapsed="false">
      <c r="B1907" s="36" t="n">
        <v>41849</v>
      </c>
      <c r="C1907" s="37" t="n">
        <v>2.2272</v>
      </c>
    </row>
    <row r="1908" customFormat="false" ht="15" hidden="false" customHeight="false" outlineLevel="0" collapsed="false">
      <c r="B1908" s="36" t="n">
        <v>41850</v>
      </c>
      <c r="C1908" s="37" t="n">
        <v>2.2441</v>
      </c>
    </row>
    <row r="1909" customFormat="false" ht="15" hidden="false" customHeight="false" outlineLevel="0" collapsed="false">
      <c r="B1909" s="36" t="n">
        <v>41851</v>
      </c>
      <c r="C1909" s="37" t="n">
        <v>2.2668</v>
      </c>
    </row>
    <row r="1910" customFormat="false" ht="15" hidden="false" customHeight="false" outlineLevel="0" collapsed="false">
      <c r="B1910" s="36" t="n">
        <v>41852</v>
      </c>
      <c r="C1910" s="37" t="n">
        <v>2.26</v>
      </c>
    </row>
    <row r="1911" customFormat="false" ht="15" hidden="false" customHeight="false" outlineLevel="0" collapsed="false">
      <c r="B1911" s="36" t="n">
        <v>41855</v>
      </c>
      <c r="C1911" s="37" t="n">
        <v>2.2571</v>
      </c>
    </row>
    <row r="1912" customFormat="false" ht="15" hidden="false" customHeight="false" outlineLevel="0" collapsed="false">
      <c r="B1912" s="36" t="n">
        <v>41856</v>
      </c>
      <c r="C1912" s="37" t="n">
        <v>2.275</v>
      </c>
    </row>
    <row r="1913" customFormat="false" ht="15" hidden="false" customHeight="false" outlineLevel="0" collapsed="false">
      <c r="B1913" s="36" t="n">
        <v>41857</v>
      </c>
      <c r="C1913" s="37" t="n">
        <v>2.2784</v>
      </c>
    </row>
    <row r="1914" customFormat="false" ht="15" hidden="false" customHeight="false" outlineLevel="0" collapsed="false">
      <c r="B1914" s="36" t="n">
        <v>41858</v>
      </c>
      <c r="C1914" s="37" t="n">
        <v>2.2796</v>
      </c>
    </row>
    <row r="1915" customFormat="false" ht="15" hidden="false" customHeight="false" outlineLevel="0" collapsed="false">
      <c r="B1915" s="36" t="n">
        <v>41859</v>
      </c>
      <c r="C1915" s="37" t="n">
        <v>2.298</v>
      </c>
    </row>
    <row r="1916" customFormat="false" ht="15" hidden="false" customHeight="false" outlineLevel="0" collapsed="false">
      <c r="B1916" s="36" t="n">
        <v>41862</v>
      </c>
      <c r="C1916" s="37" t="n">
        <v>2.2773</v>
      </c>
    </row>
    <row r="1917" customFormat="false" ht="15" hidden="false" customHeight="false" outlineLevel="0" collapsed="false">
      <c r="B1917" s="36" t="n">
        <v>41863</v>
      </c>
      <c r="C1917" s="37" t="n">
        <v>2.2764</v>
      </c>
    </row>
    <row r="1918" customFormat="false" ht="15" hidden="false" customHeight="false" outlineLevel="0" collapsed="false">
      <c r="B1918" s="36" t="n">
        <v>41864</v>
      </c>
      <c r="C1918" s="37" t="n">
        <v>2.2686</v>
      </c>
    </row>
    <row r="1919" customFormat="false" ht="15" hidden="false" customHeight="false" outlineLevel="0" collapsed="false">
      <c r="B1919" s="36" t="n">
        <v>41865</v>
      </c>
      <c r="C1919" s="37" t="n">
        <v>2.2697</v>
      </c>
    </row>
    <row r="1920" customFormat="false" ht="15" hidden="false" customHeight="false" outlineLevel="0" collapsed="false">
      <c r="B1920" s="36" t="n">
        <v>41866</v>
      </c>
      <c r="C1920" s="37" t="n">
        <v>2.2684</v>
      </c>
    </row>
    <row r="1921" customFormat="false" ht="15" hidden="false" customHeight="false" outlineLevel="0" collapsed="false">
      <c r="B1921" s="36" t="n">
        <v>41869</v>
      </c>
      <c r="C1921" s="37" t="n">
        <v>2.2589</v>
      </c>
    </row>
    <row r="1922" customFormat="false" ht="15" hidden="false" customHeight="false" outlineLevel="0" collapsed="false">
      <c r="B1922" s="36" t="n">
        <v>41870</v>
      </c>
      <c r="C1922" s="37" t="n">
        <v>2.2581</v>
      </c>
    </row>
    <row r="1923" customFormat="false" ht="15" hidden="false" customHeight="false" outlineLevel="0" collapsed="false">
      <c r="B1923" s="36" t="n">
        <v>41871</v>
      </c>
      <c r="C1923" s="37" t="n">
        <v>2.2544</v>
      </c>
    </row>
    <row r="1924" customFormat="false" ht="15" hidden="false" customHeight="false" outlineLevel="0" collapsed="false">
      <c r="B1924" s="36" t="n">
        <v>41872</v>
      </c>
      <c r="C1924" s="37" t="n">
        <v>2.2576</v>
      </c>
    </row>
    <row r="1925" customFormat="false" ht="15" hidden="false" customHeight="false" outlineLevel="0" collapsed="false">
      <c r="B1925" s="36" t="n">
        <v>41873</v>
      </c>
      <c r="C1925" s="37" t="n">
        <v>2.2772</v>
      </c>
    </row>
    <row r="1926" customFormat="false" ht="15" hidden="false" customHeight="false" outlineLevel="0" collapsed="false">
      <c r="B1926" s="36" t="n">
        <v>41876</v>
      </c>
      <c r="C1926" s="37" t="n">
        <v>2.2802</v>
      </c>
    </row>
    <row r="1927" customFormat="false" ht="15" hidden="false" customHeight="false" outlineLevel="0" collapsed="false">
      <c r="B1927" s="36" t="n">
        <v>41877</v>
      </c>
      <c r="C1927" s="37" t="n">
        <v>2.2742</v>
      </c>
    </row>
    <row r="1928" customFormat="false" ht="15" hidden="false" customHeight="false" outlineLevel="0" collapsed="false">
      <c r="B1928" s="36" t="n">
        <v>41878</v>
      </c>
      <c r="C1928" s="37" t="n">
        <v>2.2585</v>
      </c>
    </row>
    <row r="1929" customFormat="false" ht="15" hidden="false" customHeight="false" outlineLevel="0" collapsed="false">
      <c r="B1929" s="36" t="n">
        <v>41879</v>
      </c>
      <c r="C1929" s="37" t="n">
        <v>2.2493</v>
      </c>
    </row>
    <row r="1930" customFormat="false" ht="15" hidden="false" customHeight="false" outlineLevel="0" collapsed="false">
      <c r="B1930" s="36" t="n">
        <v>41880</v>
      </c>
      <c r="C1930" s="37" t="n">
        <v>2.239</v>
      </c>
    </row>
    <row r="1931" customFormat="false" ht="15" hidden="false" customHeight="false" outlineLevel="0" collapsed="false">
      <c r="B1931" s="36" t="n">
        <v>41883</v>
      </c>
      <c r="C1931" s="37" t="n">
        <v>2.2358</v>
      </c>
    </row>
    <row r="1932" customFormat="false" ht="15" hidden="false" customHeight="false" outlineLevel="0" collapsed="false">
      <c r="B1932" s="36" t="n">
        <v>41884</v>
      </c>
      <c r="C1932" s="37" t="n">
        <v>2.2515</v>
      </c>
    </row>
    <row r="1933" customFormat="false" ht="15" hidden="false" customHeight="false" outlineLevel="0" collapsed="false">
      <c r="B1933" s="36" t="n">
        <v>41885</v>
      </c>
      <c r="C1933" s="37" t="n">
        <v>2.2313</v>
      </c>
    </row>
    <row r="1934" customFormat="false" ht="15" hidden="false" customHeight="false" outlineLevel="0" collapsed="false">
      <c r="B1934" s="36" t="n">
        <v>41886</v>
      </c>
      <c r="C1934" s="37" t="n">
        <v>2.235</v>
      </c>
    </row>
    <row r="1935" customFormat="false" ht="15" hidden="false" customHeight="false" outlineLevel="0" collapsed="false">
      <c r="B1935" s="36" t="n">
        <v>41887</v>
      </c>
      <c r="C1935" s="37" t="n">
        <v>2.241</v>
      </c>
    </row>
    <row r="1936" customFormat="false" ht="15" hidden="false" customHeight="false" outlineLevel="0" collapsed="false">
      <c r="B1936" s="36" t="n">
        <v>41890</v>
      </c>
      <c r="C1936" s="37" t="n">
        <v>2.2485</v>
      </c>
    </row>
    <row r="1937" customFormat="false" ht="15" hidden="false" customHeight="false" outlineLevel="0" collapsed="false">
      <c r="B1937" s="36" t="n">
        <v>41891</v>
      </c>
      <c r="C1937" s="37" t="n">
        <v>2.2807</v>
      </c>
    </row>
    <row r="1938" customFormat="false" ht="15" hidden="false" customHeight="false" outlineLevel="0" collapsed="false">
      <c r="B1938" s="36" t="n">
        <v>41892</v>
      </c>
      <c r="C1938" s="37" t="n">
        <v>2.2961</v>
      </c>
    </row>
    <row r="1939" customFormat="false" ht="15" hidden="false" customHeight="false" outlineLevel="0" collapsed="false">
      <c r="B1939" s="36" t="n">
        <v>41893</v>
      </c>
      <c r="C1939" s="37" t="n">
        <v>2.2874</v>
      </c>
    </row>
    <row r="1940" customFormat="false" ht="15" hidden="false" customHeight="false" outlineLevel="0" collapsed="false">
      <c r="B1940" s="36" t="n">
        <v>41894</v>
      </c>
      <c r="C1940" s="37" t="n">
        <v>2.3244</v>
      </c>
    </row>
    <row r="1941" customFormat="false" ht="15" hidden="false" customHeight="false" outlineLevel="0" collapsed="false">
      <c r="B1941" s="36" t="n">
        <v>41897</v>
      </c>
      <c r="C1941" s="37" t="n">
        <v>2.3395</v>
      </c>
    </row>
    <row r="1942" customFormat="false" ht="15" hidden="false" customHeight="false" outlineLevel="0" collapsed="false">
      <c r="B1942" s="36" t="n">
        <v>41898</v>
      </c>
      <c r="C1942" s="37" t="n">
        <v>2.3345</v>
      </c>
    </row>
    <row r="1943" customFormat="false" ht="15" hidden="false" customHeight="false" outlineLevel="0" collapsed="false">
      <c r="B1943" s="36" t="n">
        <v>41899</v>
      </c>
      <c r="C1943" s="37" t="n">
        <v>2.3378</v>
      </c>
    </row>
    <row r="1944" customFormat="false" ht="15" hidden="false" customHeight="false" outlineLevel="0" collapsed="false">
      <c r="B1944" s="36" t="n">
        <v>41900</v>
      </c>
      <c r="C1944" s="37" t="n">
        <v>2.3661</v>
      </c>
    </row>
    <row r="1945" customFormat="false" ht="15" hidden="false" customHeight="false" outlineLevel="0" collapsed="false">
      <c r="B1945" s="36" t="n">
        <v>41901</v>
      </c>
      <c r="C1945" s="37" t="n">
        <v>2.365</v>
      </c>
    </row>
    <row r="1946" customFormat="false" ht="15" hidden="false" customHeight="false" outlineLevel="0" collapsed="false">
      <c r="B1946" s="36" t="n">
        <v>41904</v>
      </c>
      <c r="C1946" s="37" t="n">
        <v>2.3864</v>
      </c>
    </row>
    <row r="1947" customFormat="false" ht="15" hidden="false" customHeight="false" outlineLevel="0" collapsed="false">
      <c r="B1947" s="36" t="n">
        <v>41905</v>
      </c>
      <c r="C1947" s="37" t="n">
        <v>2.402</v>
      </c>
    </row>
    <row r="1948" customFormat="false" ht="15" hidden="false" customHeight="false" outlineLevel="0" collapsed="false">
      <c r="B1948" s="36" t="n">
        <v>41906</v>
      </c>
      <c r="C1948" s="37" t="n">
        <v>2.4064</v>
      </c>
    </row>
    <row r="1949" customFormat="false" ht="15" hidden="false" customHeight="false" outlineLevel="0" collapsed="false">
      <c r="B1949" s="36" t="n">
        <v>41907</v>
      </c>
      <c r="C1949" s="37" t="n">
        <v>2.4078</v>
      </c>
    </row>
    <row r="1950" customFormat="false" ht="15" hidden="false" customHeight="false" outlineLevel="0" collapsed="false">
      <c r="B1950" s="36" t="n">
        <v>41908</v>
      </c>
      <c r="C1950" s="37" t="n">
        <v>2.4304</v>
      </c>
    </row>
    <row r="1951" customFormat="false" ht="15" hidden="false" customHeight="false" outlineLevel="0" collapsed="false">
      <c r="B1951" s="36" t="n">
        <v>41911</v>
      </c>
      <c r="C1951" s="37" t="n">
        <v>2.4516</v>
      </c>
    </row>
    <row r="1952" customFormat="false" ht="15" hidden="false" customHeight="false" outlineLevel="0" collapsed="false">
      <c r="B1952" s="36" t="n">
        <v>41912</v>
      </c>
      <c r="C1952" s="37" t="n">
        <v>2.4504</v>
      </c>
    </row>
    <row r="1953" customFormat="false" ht="15" hidden="false" customHeight="false" outlineLevel="0" collapsed="false">
      <c r="B1953" s="36" t="n">
        <v>41913</v>
      </c>
      <c r="C1953" s="37" t="n">
        <v>2.4617</v>
      </c>
    </row>
    <row r="1954" customFormat="false" ht="15" hidden="false" customHeight="false" outlineLevel="0" collapsed="false">
      <c r="B1954" s="36" t="n">
        <v>41914</v>
      </c>
      <c r="C1954" s="37" t="n">
        <v>2.4779</v>
      </c>
    </row>
    <row r="1955" customFormat="false" ht="15" hidden="false" customHeight="false" outlineLevel="0" collapsed="false">
      <c r="B1955" s="36" t="n">
        <v>41915</v>
      </c>
      <c r="C1955" s="37" t="n">
        <v>2.4926</v>
      </c>
    </row>
    <row r="1956" customFormat="false" ht="15" hidden="false" customHeight="false" outlineLevel="0" collapsed="false">
      <c r="B1956" s="36" t="n">
        <v>41918</v>
      </c>
      <c r="C1956" s="37" t="n">
        <v>2.4092</v>
      </c>
    </row>
    <row r="1957" customFormat="false" ht="15" hidden="false" customHeight="false" outlineLevel="0" collapsed="false">
      <c r="B1957" s="36" t="n">
        <v>41919</v>
      </c>
      <c r="C1957" s="37" t="n">
        <v>2.4032</v>
      </c>
    </row>
    <row r="1958" customFormat="false" ht="15" hidden="false" customHeight="false" outlineLevel="0" collapsed="false">
      <c r="B1958" s="36" t="n">
        <v>41920</v>
      </c>
      <c r="C1958" s="37" t="n">
        <v>2.4065</v>
      </c>
    </row>
    <row r="1959" customFormat="false" ht="15" hidden="false" customHeight="false" outlineLevel="0" collapsed="false">
      <c r="B1959" s="36" t="n">
        <v>41921</v>
      </c>
      <c r="C1959" s="37" t="n">
        <v>2.3908</v>
      </c>
    </row>
    <row r="1960" customFormat="false" ht="15" hidden="false" customHeight="false" outlineLevel="0" collapsed="false">
      <c r="B1960" s="36" t="n">
        <v>41922</v>
      </c>
      <c r="C1960" s="37" t="n">
        <v>2.4096</v>
      </c>
    </row>
    <row r="1961" customFormat="false" ht="15" hidden="false" customHeight="false" outlineLevel="0" collapsed="false">
      <c r="B1961" s="36" t="n">
        <v>41925</v>
      </c>
      <c r="C1961" s="37" t="n">
        <v>2.3917</v>
      </c>
    </row>
    <row r="1962" customFormat="false" ht="15" hidden="false" customHeight="false" outlineLevel="0" collapsed="false">
      <c r="B1962" s="36" t="n">
        <v>41926</v>
      </c>
      <c r="C1962" s="37" t="n">
        <v>2.3985</v>
      </c>
    </row>
    <row r="1963" customFormat="false" ht="15" hidden="false" customHeight="false" outlineLevel="0" collapsed="false">
      <c r="B1963" s="36" t="n">
        <v>41927</v>
      </c>
      <c r="C1963" s="37" t="n">
        <v>2.431</v>
      </c>
    </row>
    <row r="1964" customFormat="false" ht="15" hidden="false" customHeight="false" outlineLevel="0" collapsed="false">
      <c r="B1964" s="36" t="n">
        <v>41928</v>
      </c>
      <c r="C1964" s="37" t="n">
        <v>2.4763</v>
      </c>
    </row>
    <row r="1965" customFormat="false" ht="15" hidden="false" customHeight="false" outlineLevel="0" collapsed="false">
      <c r="B1965" s="36" t="n">
        <v>41929</v>
      </c>
      <c r="C1965" s="37" t="n">
        <v>2.447</v>
      </c>
    </row>
    <row r="1966" customFormat="false" ht="15" hidden="false" customHeight="false" outlineLevel="0" collapsed="false">
      <c r="B1966" s="36" t="n">
        <v>41932</v>
      </c>
      <c r="C1966" s="37" t="n">
        <v>2.4548</v>
      </c>
    </row>
    <row r="1967" customFormat="false" ht="15" hidden="false" customHeight="false" outlineLevel="0" collapsed="false">
      <c r="B1967" s="36" t="n">
        <v>41933</v>
      </c>
      <c r="C1967" s="37" t="n">
        <v>2.4791</v>
      </c>
    </row>
    <row r="1968" customFormat="false" ht="15" hidden="false" customHeight="false" outlineLevel="0" collapsed="false">
      <c r="B1968" s="36" t="n">
        <v>41934</v>
      </c>
      <c r="C1968" s="37" t="n">
        <v>2.4775</v>
      </c>
    </row>
    <row r="1969" customFormat="false" ht="15" hidden="false" customHeight="false" outlineLevel="0" collapsed="false">
      <c r="B1969" s="36" t="n">
        <v>41935</v>
      </c>
      <c r="C1969" s="37" t="n">
        <v>2.4998</v>
      </c>
    </row>
    <row r="1970" customFormat="false" ht="15" hidden="false" customHeight="false" outlineLevel="0" collapsed="false">
      <c r="B1970" s="36" t="n">
        <v>41936</v>
      </c>
      <c r="C1970" s="37" t="n">
        <v>2.4799</v>
      </c>
    </row>
    <row r="1971" customFormat="false" ht="15" hidden="false" customHeight="false" outlineLevel="0" collapsed="false">
      <c r="B1971" s="36" t="n">
        <v>41939</v>
      </c>
      <c r="C1971" s="37" t="n">
        <v>2.5335</v>
      </c>
    </row>
    <row r="1972" customFormat="false" ht="15" hidden="false" customHeight="false" outlineLevel="0" collapsed="false">
      <c r="B1972" s="36" t="n">
        <v>41940</v>
      </c>
      <c r="C1972" s="37" t="n">
        <v>2.4863</v>
      </c>
    </row>
    <row r="1973" customFormat="false" ht="15" hidden="false" customHeight="false" outlineLevel="0" collapsed="false">
      <c r="B1973" s="36" t="n">
        <v>41941</v>
      </c>
      <c r="C1973" s="37" t="n">
        <v>2.434</v>
      </c>
    </row>
    <row r="1974" customFormat="false" ht="15" hidden="false" customHeight="false" outlineLevel="0" collapsed="false">
      <c r="B1974" s="36" t="n">
        <v>41942</v>
      </c>
      <c r="C1974" s="37" t="n">
        <v>2.4113</v>
      </c>
    </row>
    <row r="1975" customFormat="false" ht="15" hidden="false" customHeight="false" outlineLevel="0" collapsed="false">
      <c r="B1975" s="36" t="n">
        <v>41943</v>
      </c>
      <c r="C1975" s="37" t="n">
        <v>2.4436</v>
      </c>
    </row>
    <row r="1976" customFormat="false" ht="15" hidden="false" customHeight="false" outlineLevel="0" collapsed="false">
      <c r="B1976" s="36" t="n">
        <v>41946</v>
      </c>
      <c r="C1976" s="37" t="n">
        <v>2.4833</v>
      </c>
    </row>
    <row r="1977" customFormat="false" ht="15" hidden="false" customHeight="false" outlineLevel="0" collapsed="false">
      <c r="B1977" s="36" t="n">
        <v>41947</v>
      </c>
      <c r="C1977" s="37" t="n">
        <v>2.5189</v>
      </c>
    </row>
    <row r="1978" customFormat="false" ht="15" hidden="false" customHeight="false" outlineLevel="0" collapsed="false">
      <c r="B1978" s="36" t="n">
        <v>41948</v>
      </c>
      <c r="C1978" s="37" t="n">
        <v>2.5162</v>
      </c>
    </row>
    <row r="1979" customFormat="false" ht="15" hidden="false" customHeight="false" outlineLevel="0" collapsed="false">
      <c r="B1979" s="36" t="n">
        <v>41949</v>
      </c>
      <c r="C1979" s="37" t="n">
        <v>2.5319</v>
      </c>
    </row>
    <row r="1980" customFormat="false" ht="15" hidden="false" customHeight="false" outlineLevel="0" collapsed="false">
      <c r="B1980" s="36" t="n">
        <v>41950</v>
      </c>
      <c r="C1980" s="37" t="n">
        <v>2.5715</v>
      </c>
    </row>
    <row r="1981" customFormat="false" ht="15" hidden="false" customHeight="false" outlineLevel="0" collapsed="false">
      <c r="B1981" s="36" t="n">
        <v>41953</v>
      </c>
      <c r="C1981" s="37" t="n">
        <v>2.5384</v>
      </c>
    </row>
    <row r="1982" customFormat="false" ht="15" hidden="false" customHeight="false" outlineLevel="0" collapsed="false">
      <c r="B1982" s="36" t="n">
        <v>41954</v>
      </c>
      <c r="C1982" s="37" t="n">
        <v>2.5638</v>
      </c>
    </row>
    <row r="1983" customFormat="false" ht="15" hidden="false" customHeight="false" outlineLevel="0" collapsed="false">
      <c r="B1983" s="36" t="n">
        <v>41955</v>
      </c>
      <c r="C1983" s="37" t="n">
        <v>2.5544</v>
      </c>
    </row>
    <row r="1984" customFormat="false" ht="15" hidden="false" customHeight="false" outlineLevel="0" collapsed="false">
      <c r="B1984" s="36" t="n">
        <v>41956</v>
      </c>
      <c r="C1984" s="37" t="n">
        <v>2.5719</v>
      </c>
    </row>
    <row r="1985" customFormat="false" ht="15" hidden="false" customHeight="false" outlineLevel="0" collapsed="false">
      <c r="B1985" s="36" t="n">
        <v>41957</v>
      </c>
      <c r="C1985" s="37" t="n">
        <v>2.6129</v>
      </c>
    </row>
    <row r="1986" customFormat="false" ht="15" hidden="false" customHeight="false" outlineLevel="0" collapsed="false">
      <c r="B1986" s="36" t="n">
        <v>41960</v>
      </c>
      <c r="C1986" s="37" t="n">
        <v>2.6029</v>
      </c>
    </row>
    <row r="1987" customFormat="false" ht="15" hidden="false" customHeight="false" outlineLevel="0" collapsed="false">
      <c r="B1987" s="36" t="n">
        <v>41961</v>
      </c>
      <c r="C1987" s="37" t="n">
        <v>2.5961</v>
      </c>
    </row>
    <row r="1988" customFormat="false" ht="15" hidden="false" customHeight="false" outlineLevel="0" collapsed="false">
      <c r="B1988" s="36" t="n">
        <v>41962</v>
      </c>
      <c r="C1988" s="37" t="n">
        <v>2.5843</v>
      </c>
    </row>
    <row r="1989" customFormat="false" ht="15" hidden="false" customHeight="false" outlineLevel="0" collapsed="false">
      <c r="B1989" s="36" t="n">
        <v>41963</v>
      </c>
      <c r="C1989" s="37" t="n">
        <v>2.544</v>
      </c>
    </row>
    <row r="1990" customFormat="false" ht="15" hidden="false" customHeight="false" outlineLevel="0" collapsed="false">
      <c r="B1990" s="36" t="n">
        <v>41964</v>
      </c>
      <c r="C1990" s="37" t="n">
        <v>2.5384</v>
      </c>
    </row>
    <row r="1991" customFormat="false" ht="15" hidden="false" customHeight="false" outlineLevel="0" collapsed="false">
      <c r="B1991" s="36" t="n">
        <v>41967</v>
      </c>
      <c r="C1991" s="37" t="n">
        <v>2.5276</v>
      </c>
    </row>
    <row r="1992" customFormat="false" ht="15" hidden="false" customHeight="false" outlineLevel="0" collapsed="false">
      <c r="B1992" s="36" t="n">
        <v>41968</v>
      </c>
      <c r="C1992" s="37" t="n">
        <v>2.523</v>
      </c>
    </row>
    <row r="1993" customFormat="false" ht="15" hidden="false" customHeight="false" outlineLevel="0" collapsed="false">
      <c r="B1993" s="36" t="n">
        <v>41969</v>
      </c>
      <c r="C1993" s="37" t="n">
        <v>2.5097</v>
      </c>
    </row>
    <row r="1994" customFormat="false" ht="15" hidden="false" customHeight="false" outlineLevel="0" collapsed="false">
      <c r="B1994" s="36" t="n">
        <v>41970</v>
      </c>
      <c r="C1994" s="37" t="n">
        <v>2.5059</v>
      </c>
    </row>
    <row r="1995" customFormat="false" ht="15" hidden="false" customHeight="false" outlineLevel="0" collapsed="false">
      <c r="B1995" s="36" t="n">
        <v>41971</v>
      </c>
      <c r="C1995" s="37" t="n">
        <v>2.5595</v>
      </c>
    </row>
    <row r="1996" customFormat="false" ht="15" hidden="false" customHeight="false" outlineLevel="0" collapsed="false">
      <c r="B1996" s="36" t="n">
        <v>41974</v>
      </c>
      <c r="C1996" s="37" t="n">
        <v>2.5618</v>
      </c>
    </row>
    <row r="1997" customFormat="false" ht="15" hidden="false" customHeight="false" outlineLevel="0" collapsed="false">
      <c r="B1997" s="36" t="n">
        <v>41975</v>
      </c>
      <c r="C1997" s="37" t="n">
        <v>2.5658</v>
      </c>
    </row>
    <row r="1998" customFormat="false" ht="15" hidden="false" customHeight="false" outlineLevel="0" collapsed="false">
      <c r="B1998" s="36" t="n">
        <v>41976</v>
      </c>
      <c r="C1998" s="37" t="n">
        <v>2.5601</v>
      </c>
    </row>
    <row r="1999" customFormat="false" ht="15" hidden="false" customHeight="false" outlineLevel="0" collapsed="false">
      <c r="B1999" s="36" t="n">
        <v>41977</v>
      </c>
      <c r="C1999" s="37" t="n">
        <v>2.5791</v>
      </c>
    </row>
    <row r="2000" customFormat="false" ht="15" hidden="false" customHeight="false" outlineLevel="0" collapsed="false">
      <c r="B2000" s="36" t="n">
        <v>41978</v>
      </c>
      <c r="C2000" s="37" t="n">
        <v>2.5882</v>
      </c>
    </row>
    <row r="2001" customFormat="false" ht="15" hidden="false" customHeight="false" outlineLevel="0" collapsed="false">
      <c r="B2001" s="36" t="n">
        <v>41981</v>
      </c>
      <c r="C2001" s="37" t="n">
        <v>2.5917</v>
      </c>
    </row>
    <row r="2002" customFormat="false" ht="15" hidden="false" customHeight="false" outlineLevel="0" collapsed="false">
      <c r="B2002" s="36" t="n">
        <v>41982</v>
      </c>
      <c r="C2002" s="37" t="n">
        <v>2.601</v>
      </c>
    </row>
    <row r="2003" customFormat="false" ht="15" hidden="false" customHeight="false" outlineLevel="0" collapsed="false">
      <c r="B2003" s="36" t="n">
        <v>41983</v>
      </c>
      <c r="C2003" s="37" t="n">
        <v>2.5925</v>
      </c>
    </row>
    <row r="2004" customFormat="false" ht="15" hidden="false" customHeight="false" outlineLevel="0" collapsed="false">
      <c r="B2004" s="36" t="n">
        <v>41984</v>
      </c>
      <c r="C2004" s="37" t="n">
        <v>2.6265</v>
      </c>
    </row>
    <row r="2005" customFormat="false" ht="15" hidden="false" customHeight="false" outlineLevel="0" collapsed="false">
      <c r="B2005" s="36" t="n">
        <v>41985</v>
      </c>
      <c r="C2005" s="37" t="n">
        <v>2.6552</v>
      </c>
    </row>
    <row r="2006" customFormat="false" ht="15" hidden="false" customHeight="false" outlineLevel="0" collapsed="false">
      <c r="B2006" s="36" t="n">
        <v>41988</v>
      </c>
      <c r="C2006" s="37" t="n">
        <v>2.6711</v>
      </c>
    </row>
    <row r="2007" customFormat="false" ht="15" hidden="false" customHeight="false" outlineLevel="0" collapsed="false">
      <c r="B2007" s="36" t="n">
        <v>41989</v>
      </c>
      <c r="C2007" s="37" t="n">
        <v>2.7397</v>
      </c>
    </row>
    <row r="2008" customFormat="false" ht="15" hidden="false" customHeight="false" outlineLevel="0" collapsed="false">
      <c r="B2008" s="36" t="n">
        <v>41990</v>
      </c>
      <c r="C2008" s="37" t="n">
        <v>2.724</v>
      </c>
    </row>
    <row r="2009" customFormat="false" ht="15" hidden="false" customHeight="false" outlineLevel="0" collapsed="false">
      <c r="B2009" s="36" t="n">
        <v>41991</v>
      </c>
      <c r="C2009" s="37" t="n">
        <v>2.6669</v>
      </c>
    </row>
    <row r="2010" customFormat="false" ht="15" hidden="false" customHeight="false" outlineLevel="0" collapsed="false">
      <c r="B2010" s="36" t="n">
        <v>41992</v>
      </c>
      <c r="C2010" s="37" t="n">
        <v>2.648</v>
      </c>
    </row>
    <row r="2011" customFormat="false" ht="15" hidden="false" customHeight="false" outlineLevel="0" collapsed="false">
      <c r="B2011" s="36" t="n">
        <v>41995</v>
      </c>
      <c r="C2011" s="37" t="n">
        <v>2.652</v>
      </c>
    </row>
    <row r="2012" customFormat="false" ht="15" hidden="false" customHeight="false" outlineLevel="0" collapsed="false">
      <c r="B2012" s="36" t="n">
        <v>41996</v>
      </c>
      <c r="C2012" s="37" t="n">
        <v>2.6769</v>
      </c>
    </row>
    <row r="2013" customFormat="false" ht="15" hidden="false" customHeight="false" outlineLevel="0" collapsed="false">
      <c r="B2013" s="36" t="n">
        <v>41997</v>
      </c>
      <c r="C2013" s="37" t="n">
        <v>2.6822</v>
      </c>
    </row>
    <row r="2014" customFormat="false" ht="15" hidden="false" customHeight="false" outlineLevel="0" collapsed="false">
      <c r="B2014" s="36" t="n">
        <v>41999</v>
      </c>
      <c r="C2014" s="37" t="n">
        <v>2.6806</v>
      </c>
    </row>
    <row r="2015" customFormat="false" ht="15" hidden="false" customHeight="false" outlineLevel="0" collapsed="false">
      <c r="B2015" s="36" t="n">
        <v>42002</v>
      </c>
      <c r="C2015" s="37" t="n">
        <v>2.6777</v>
      </c>
    </row>
    <row r="2016" customFormat="false" ht="15" hidden="false" customHeight="false" outlineLevel="0" collapsed="false">
      <c r="B2016" s="36" t="n">
        <v>42003</v>
      </c>
      <c r="C2016" s="37" t="n">
        <v>2.6556</v>
      </c>
    </row>
    <row r="2017" customFormat="false" ht="15" hidden="false" customHeight="false" outlineLevel="0" collapsed="false">
      <c r="B2017" s="36" t="n">
        <v>42004</v>
      </c>
      <c r="C2017" s="37" t="n">
        <v>2.6556</v>
      </c>
    </row>
    <row r="2018" customFormat="false" ht="15" hidden="false" customHeight="false" outlineLevel="0" collapsed="false">
      <c r="B2018" s="36" t="n">
        <v>42006</v>
      </c>
      <c r="C2018" s="37" t="n">
        <v>2.6923</v>
      </c>
    </row>
    <row r="2019" customFormat="false" ht="15" hidden="false" customHeight="false" outlineLevel="0" collapsed="false">
      <c r="B2019" s="36" t="n">
        <v>42009</v>
      </c>
      <c r="C2019" s="37" t="n">
        <v>2.7101</v>
      </c>
    </row>
    <row r="2020" customFormat="false" ht="15" hidden="false" customHeight="false" outlineLevel="0" collapsed="false">
      <c r="B2020" s="36" t="n">
        <v>42010</v>
      </c>
      <c r="C2020" s="37" t="n">
        <v>2.7016</v>
      </c>
    </row>
    <row r="2021" customFormat="false" ht="15" hidden="false" customHeight="false" outlineLevel="0" collapsed="false">
      <c r="B2021" s="36" t="n">
        <v>42011</v>
      </c>
      <c r="C2021" s="37" t="n">
        <v>2.6801</v>
      </c>
    </row>
    <row r="2022" customFormat="false" ht="15" hidden="false" customHeight="false" outlineLevel="0" collapsed="false">
      <c r="B2022" s="36" t="n">
        <v>42012</v>
      </c>
      <c r="C2022" s="37" t="n">
        <v>2.6913</v>
      </c>
    </row>
    <row r="2023" customFormat="false" ht="15" hidden="false" customHeight="false" outlineLevel="0" collapsed="false">
      <c r="B2023" s="36" t="n">
        <v>42013</v>
      </c>
      <c r="C2023" s="37" t="n">
        <v>2.6577</v>
      </c>
    </row>
    <row r="2024" customFormat="false" ht="15" hidden="false" customHeight="false" outlineLevel="0" collapsed="false">
      <c r="B2024" s="36" t="n">
        <v>42016</v>
      </c>
      <c r="C2024" s="37" t="n">
        <v>2.6569</v>
      </c>
    </row>
    <row r="2025" customFormat="false" ht="15" hidden="false" customHeight="false" outlineLevel="0" collapsed="false">
      <c r="B2025" s="36" t="n">
        <v>42017</v>
      </c>
      <c r="C2025" s="37" t="n">
        <v>2.6479</v>
      </c>
    </row>
    <row r="2026" customFormat="false" ht="15" hidden="false" customHeight="false" outlineLevel="0" collapsed="false">
      <c r="B2026" s="36" t="n">
        <v>42018</v>
      </c>
      <c r="C2026" s="37" t="n">
        <v>2.6216</v>
      </c>
    </row>
    <row r="2027" customFormat="false" ht="15" hidden="false" customHeight="false" outlineLevel="0" collapsed="false">
      <c r="B2027" s="36" t="n">
        <v>42019</v>
      </c>
      <c r="C2027" s="37" t="n">
        <v>2.6116</v>
      </c>
    </row>
    <row r="2028" customFormat="false" ht="15" hidden="false" customHeight="false" outlineLevel="0" collapsed="false">
      <c r="B2028" s="36" t="n">
        <v>42020</v>
      </c>
      <c r="C2028" s="37" t="n">
        <v>2.6187</v>
      </c>
    </row>
    <row r="2029" customFormat="false" ht="15" hidden="false" customHeight="false" outlineLevel="0" collapsed="false">
      <c r="B2029" s="36" t="n">
        <v>42023</v>
      </c>
      <c r="C2029" s="37" t="n">
        <v>2.6237</v>
      </c>
    </row>
    <row r="2030" customFormat="false" ht="15" hidden="false" customHeight="false" outlineLevel="0" collapsed="false">
      <c r="B2030" s="36" t="n">
        <v>42024</v>
      </c>
      <c r="C2030" s="37" t="n">
        <v>2.6241</v>
      </c>
    </row>
    <row r="2031" customFormat="false" ht="15" hidden="false" customHeight="false" outlineLevel="0" collapsed="false">
      <c r="B2031" s="36" t="n">
        <v>42025</v>
      </c>
      <c r="C2031" s="37" t="n">
        <v>2.5961</v>
      </c>
    </row>
    <row r="2032" customFormat="false" ht="15" hidden="false" customHeight="false" outlineLevel="0" collapsed="false">
      <c r="B2032" s="36" t="n">
        <v>42026</v>
      </c>
      <c r="C2032" s="37" t="n">
        <v>2.5748</v>
      </c>
    </row>
    <row r="2033" customFormat="false" ht="15" hidden="false" customHeight="false" outlineLevel="0" collapsed="false">
      <c r="B2033" s="36" t="n">
        <v>42027</v>
      </c>
      <c r="C2033" s="37" t="n">
        <v>2.585</v>
      </c>
    </row>
    <row r="2034" customFormat="false" ht="15" hidden="false" customHeight="false" outlineLevel="0" collapsed="false">
      <c r="B2034" s="36" t="n">
        <v>42030</v>
      </c>
      <c r="C2034" s="37" t="n">
        <v>2.596</v>
      </c>
    </row>
    <row r="2035" customFormat="false" ht="15" hidden="false" customHeight="false" outlineLevel="0" collapsed="false">
      <c r="B2035" s="36" t="n">
        <v>42031</v>
      </c>
      <c r="C2035" s="37" t="n">
        <v>2.5803</v>
      </c>
    </row>
    <row r="2036" customFormat="false" ht="15" hidden="false" customHeight="false" outlineLevel="0" collapsed="false">
      <c r="B2036" s="36" t="n">
        <v>42032</v>
      </c>
      <c r="C2036" s="37" t="n">
        <v>2.5791</v>
      </c>
    </row>
    <row r="2037" customFormat="false" ht="15" hidden="false" customHeight="false" outlineLevel="0" collapsed="false">
      <c r="B2037" s="36" t="n">
        <v>42033</v>
      </c>
      <c r="C2037" s="37" t="n">
        <v>2.5954</v>
      </c>
    </row>
    <row r="2038" customFormat="false" ht="15" hidden="false" customHeight="false" outlineLevel="0" collapsed="false">
      <c r="B2038" s="36" t="n">
        <v>42034</v>
      </c>
      <c r="C2038" s="37" t="n">
        <v>2.6617</v>
      </c>
    </row>
    <row r="2039" customFormat="false" ht="15" hidden="false" customHeight="false" outlineLevel="0" collapsed="false">
      <c r="B2039" s="36" t="n">
        <v>42037</v>
      </c>
      <c r="C2039" s="37" t="n">
        <v>2.6888</v>
      </c>
    </row>
    <row r="2040" customFormat="false" ht="15" hidden="false" customHeight="false" outlineLevel="0" collapsed="false">
      <c r="B2040" s="36" t="n">
        <v>42038</v>
      </c>
      <c r="C2040" s="37" t="n">
        <v>2.7053</v>
      </c>
    </row>
    <row r="2041" customFormat="false" ht="15" hidden="false" customHeight="false" outlineLevel="0" collapsed="false">
      <c r="B2041" s="36" t="n">
        <v>42039</v>
      </c>
      <c r="C2041" s="37" t="n">
        <v>2.7142</v>
      </c>
    </row>
    <row r="2042" customFormat="false" ht="15" hidden="false" customHeight="false" outlineLevel="0" collapsed="false">
      <c r="B2042" s="36" t="n">
        <v>42040</v>
      </c>
      <c r="C2042" s="37" t="n">
        <v>2.738</v>
      </c>
    </row>
    <row r="2043" customFormat="false" ht="15" hidden="false" customHeight="false" outlineLevel="0" collapsed="false">
      <c r="B2043" s="36" t="n">
        <v>42041</v>
      </c>
      <c r="C2043" s="37" t="n">
        <v>2.7635</v>
      </c>
    </row>
    <row r="2044" customFormat="false" ht="15" hidden="false" customHeight="false" outlineLevel="0" collapsed="false">
      <c r="B2044" s="36" t="n">
        <v>42044</v>
      </c>
      <c r="C2044" s="37" t="n">
        <v>2.7867</v>
      </c>
    </row>
    <row r="2045" customFormat="false" ht="15" hidden="false" customHeight="false" outlineLevel="0" collapsed="false">
      <c r="B2045" s="36" t="n">
        <v>42045</v>
      </c>
      <c r="C2045" s="37" t="n">
        <v>2.8069</v>
      </c>
    </row>
    <row r="2046" customFormat="false" ht="15" hidden="false" customHeight="false" outlineLevel="0" collapsed="false">
      <c r="B2046" s="36" t="n">
        <v>42046</v>
      </c>
      <c r="C2046" s="37" t="n">
        <v>2.857</v>
      </c>
    </row>
    <row r="2047" customFormat="false" ht="15" hidden="false" customHeight="false" outlineLevel="0" collapsed="false">
      <c r="B2047" s="36" t="n">
        <v>42047</v>
      </c>
      <c r="C2047" s="37" t="n">
        <v>2.8619</v>
      </c>
    </row>
    <row r="2048" customFormat="false" ht="15" hidden="false" customHeight="false" outlineLevel="0" collapsed="false">
      <c r="B2048" s="36" t="n">
        <v>42048</v>
      </c>
      <c r="C2048" s="37" t="n">
        <v>2.8385</v>
      </c>
    </row>
    <row r="2049" customFormat="false" ht="15" hidden="false" customHeight="false" outlineLevel="0" collapsed="false">
      <c r="B2049" s="36" t="n">
        <v>42053</v>
      </c>
      <c r="C2049" s="37" t="n">
        <v>2.8424</v>
      </c>
    </row>
    <row r="2050" customFormat="false" ht="15" hidden="false" customHeight="false" outlineLevel="0" collapsed="false">
      <c r="B2050" s="36" t="n">
        <v>42054</v>
      </c>
      <c r="C2050" s="37" t="n">
        <v>2.8539</v>
      </c>
    </row>
    <row r="2051" customFormat="false" ht="15" hidden="false" customHeight="false" outlineLevel="0" collapsed="false">
      <c r="B2051" s="36" t="n">
        <v>42055</v>
      </c>
      <c r="C2051" s="37" t="n">
        <v>2.8694</v>
      </c>
    </row>
    <row r="2052" customFormat="false" ht="15" hidden="false" customHeight="false" outlineLevel="0" collapsed="false">
      <c r="B2052" s="36" t="n">
        <v>42058</v>
      </c>
      <c r="C2052" s="37" t="n">
        <v>2.8805</v>
      </c>
    </row>
    <row r="2053" customFormat="false" ht="15" hidden="false" customHeight="false" outlineLevel="0" collapsed="false">
      <c r="B2053" s="36" t="n">
        <v>42059</v>
      </c>
      <c r="C2053" s="37" t="n">
        <v>2.8643</v>
      </c>
    </row>
    <row r="2054" customFormat="false" ht="15" hidden="false" customHeight="false" outlineLevel="0" collapsed="false">
      <c r="B2054" s="36" t="n">
        <v>42060</v>
      </c>
      <c r="C2054" s="37" t="n">
        <v>2.864</v>
      </c>
    </row>
    <row r="2055" customFormat="false" ht="15" hidden="false" customHeight="false" outlineLevel="0" collapsed="false">
      <c r="B2055" s="36" t="n">
        <v>42061</v>
      </c>
      <c r="C2055" s="37" t="n">
        <v>2.8721</v>
      </c>
    </row>
    <row r="2056" customFormat="false" ht="15" hidden="false" customHeight="false" outlineLevel="0" collapsed="false">
      <c r="B2056" s="36" t="n">
        <v>42062</v>
      </c>
      <c r="C2056" s="37" t="n">
        <v>2.8777</v>
      </c>
    </row>
    <row r="2057" customFormat="false" ht="15" hidden="false" customHeight="false" outlineLevel="0" collapsed="false">
      <c r="B2057" s="36" t="n">
        <v>42065</v>
      </c>
      <c r="C2057" s="37" t="n">
        <v>2.8649</v>
      </c>
    </row>
    <row r="2058" customFormat="false" ht="15" hidden="false" customHeight="false" outlineLevel="0" collapsed="false">
      <c r="B2058" s="36" t="n">
        <v>42066</v>
      </c>
      <c r="C2058" s="37" t="n">
        <v>2.9045</v>
      </c>
    </row>
    <row r="2059" customFormat="false" ht="15" hidden="false" customHeight="false" outlineLevel="0" collapsed="false">
      <c r="B2059" s="36" t="n">
        <v>42067</v>
      </c>
      <c r="C2059" s="37" t="n">
        <v>2.9798</v>
      </c>
    </row>
    <row r="2060" customFormat="false" ht="15" hidden="false" customHeight="false" outlineLevel="0" collapsed="false">
      <c r="B2060" s="36" t="n">
        <v>42068</v>
      </c>
      <c r="C2060" s="37" t="n">
        <v>2.9925</v>
      </c>
    </row>
    <row r="2061" customFormat="false" ht="15" hidden="false" customHeight="false" outlineLevel="0" collapsed="false">
      <c r="B2061" s="36" t="n">
        <v>42069</v>
      </c>
      <c r="C2061" s="37" t="n">
        <v>3.036</v>
      </c>
    </row>
    <row r="2062" customFormat="false" ht="15" hidden="false" customHeight="false" outlineLevel="0" collapsed="false">
      <c r="B2062" s="36" t="n">
        <v>42072</v>
      </c>
      <c r="C2062" s="37" t="n">
        <v>3.1012</v>
      </c>
    </row>
    <row r="2063" customFormat="false" ht="15" hidden="false" customHeight="false" outlineLevel="0" collapsed="false">
      <c r="B2063" s="36" t="n">
        <v>42073</v>
      </c>
      <c r="C2063" s="37" t="n">
        <v>3.1293</v>
      </c>
    </row>
    <row r="2064" customFormat="false" ht="15" hidden="false" customHeight="false" outlineLevel="0" collapsed="false">
      <c r="B2064" s="36" t="n">
        <v>42074</v>
      </c>
      <c r="C2064" s="37" t="n">
        <v>3.1156</v>
      </c>
    </row>
    <row r="2065" customFormat="false" ht="15" hidden="false" customHeight="false" outlineLevel="0" collapsed="false">
      <c r="B2065" s="36" t="n">
        <v>42075</v>
      </c>
      <c r="C2065" s="37" t="n">
        <v>3.1165</v>
      </c>
    </row>
    <row r="2066" customFormat="false" ht="15" hidden="false" customHeight="false" outlineLevel="0" collapsed="false">
      <c r="B2066" s="36" t="n">
        <v>42076</v>
      </c>
      <c r="C2066" s="37" t="n">
        <v>3.2258</v>
      </c>
    </row>
    <row r="2067" customFormat="false" ht="15" hidden="false" customHeight="false" outlineLevel="0" collapsed="false">
      <c r="B2067" s="36" t="n">
        <v>42079</v>
      </c>
      <c r="C2067" s="37" t="n">
        <v>3.2251</v>
      </c>
    </row>
    <row r="2068" customFormat="false" ht="15" hidden="false" customHeight="false" outlineLevel="0" collapsed="false">
      <c r="B2068" s="36" t="n">
        <v>42080</v>
      </c>
      <c r="C2068" s="37" t="n">
        <v>3.2677</v>
      </c>
    </row>
    <row r="2069" customFormat="false" ht="15" hidden="false" customHeight="false" outlineLevel="0" collapsed="false">
      <c r="B2069" s="36" t="n">
        <v>42081</v>
      </c>
      <c r="C2069" s="37" t="n">
        <v>3.2512</v>
      </c>
    </row>
    <row r="2070" customFormat="false" ht="15" hidden="false" customHeight="false" outlineLevel="0" collapsed="false">
      <c r="B2070" s="36" t="n">
        <v>42082</v>
      </c>
      <c r="C2070" s="37" t="n">
        <v>3.2635</v>
      </c>
    </row>
    <row r="2071" customFormat="false" ht="15" hidden="false" customHeight="false" outlineLevel="0" collapsed="false">
      <c r="B2071" s="36" t="n">
        <v>42083</v>
      </c>
      <c r="C2071" s="37" t="n">
        <v>3.2417</v>
      </c>
    </row>
    <row r="2072" customFormat="false" ht="15" hidden="false" customHeight="false" outlineLevel="0" collapsed="false">
      <c r="B2072" s="36" t="n">
        <v>42086</v>
      </c>
      <c r="C2072" s="37" t="n">
        <v>3.1793</v>
      </c>
    </row>
    <row r="2073" customFormat="false" ht="15" hidden="false" customHeight="false" outlineLevel="0" collapsed="false">
      <c r="B2073" s="36" t="n">
        <v>42087</v>
      </c>
      <c r="C2073" s="37" t="n">
        <v>3.1304</v>
      </c>
    </row>
    <row r="2074" customFormat="false" ht="15" hidden="false" customHeight="false" outlineLevel="0" collapsed="false">
      <c r="B2074" s="36" t="n">
        <v>42088</v>
      </c>
      <c r="C2074" s="37" t="n">
        <v>3.1469</v>
      </c>
    </row>
    <row r="2075" customFormat="false" ht="15" hidden="false" customHeight="false" outlineLevel="0" collapsed="false">
      <c r="B2075" s="36" t="n">
        <v>42089</v>
      </c>
      <c r="C2075" s="37" t="n">
        <v>3.1909</v>
      </c>
    </row>
    <row r="2076" customFormat="false" ht="15" hidden="false" customHeight="false" outlineLevel="0" collapsed="false">
      <c r="B2076" s="36" t="n">
        <v>42090</v>
      </c>
      <c r="C2076" s="37" t="n">
        <v>3.2253</v>
      </c>
    </row>
    <row r="2077" customFormat="false" ht="15" hidden="false" customHeight="false" outlineLevel="0" collapsed="false">
      <c r="B2077" s="36" t="n">
        <v>42093</v>
      </c>
      <c r="C2077" s="37" t="n">
        <v>3.2595</v>
      </c>
    </row>
    <row r="2078" customFormat="false" ht="15" hidden="false" customHeight="false" outlineLevel="0" collapsed="false">
      <c r="B2078" s="36" t="n">
        <v>42094</v>
      </c>
      <c r="C2078" s="37" t="n">
        <v>3.2074</v>
      </c>
    </row>
    <row r="2079" customFormat="false" ht="15" hidden="false" customHeight="false" outlineLevel="0" collapsed="false">
      <c r="B2079" s="36" t="n">
        <v>42095</v>
      </c>
      <c r="C2079" s="37" t="n">
        <v>3.1549</v>
      </c>
    </row>
    <row r="2080" customFormat="false" ht="15" hidden="false" customHeight="false" outlineLevel="0" collapsed="false">
      <c r="B2080" s="36" t="n">
        <v>42096</v>
      </c>
      <c r="C2080" s="37" t="n">
        <v>3.1486</v>
      </c>
    </row>
    <row r="2081" customFormat="false" ht="15" hidden="false" customHeight="false" outlineLevel="0" collapsed="false">
      <c r="B2081" s="36" t="n">
        <v>42100</v>
      </c>
      <c r="C2081" s="37" t="n">
        <v>3.092</v>
      </c>
    </row>
    <row r="2082" customFormat="false" ht="15" hidden="false" customHeight="false" outlineLevel="0" collapsed="false">
      <c r="B2082" s="36" t="n">
        <v>42101</v>
      </c>
      <c r="C2082" s="37" t="n">
        <v>3.1225</v>
      </c>
    </row>
    <row r="2083" customFormat="false" ht="15" hidden="false" customHeight="false" outlineLevel="0" collapsed="false">
      <c r="B2083" s="36" t="n">
        <v>42102</v>
      </c>
      <c r="C2083" s="37" t="n">
        <v>3.0828</v>
      </c>
    </row>
    <row r="2084" customFormat="false" ht="15" hidden="false" customHeight="false" outlineLevel="0" collapsed="false">
      <c r="B2084" s="36" t="n">
        <v>42103</v>
      </c>
      <c r="C2084" s="37" t="n">
        <v>3.0459</v>
      </c>
    </row>
    <row r="2085" customFormat="false" ht="15" hidden="false" customHeight="false" outlineLevel="0" collapsed="false">
      <c r="B2085" s="36" t="n">
        <v>42104</v>
      </c>
      <c r="C2085" s="37" t="n">
        <v>3.0789</v>
      </c>
    </row>
    <row r="2086" customFormat="false" ht="15" hidden="false" customHeight="false" outlineLevel="0" collapsed="false">
      <c r="B2086" s="36" t="n">
        <v>42107</v>
      </c>
      <c r="C2086" s="37" t="n">
        <v>3.1005</v>
      </c>
    </row>
    <row r="2087" customFormat="false" ht="15" hidden="false" customHeight="false" outlineLevel="0" collapsed="false">
      <c r="B2087" s="36" t="n">
        <v>42108</v>
      </c>
      <c r="C2087" s="37" t="n">
        <v>3.0874</v>
      </c>
    </row>
    <row r="2088" customFormat="false" ht="15" hidden="false" customHeight="false" outlineLevel="0" collapsed="false">
      <c r="B2088" s="36" t="n">
        <v>42109</v>
      </c>
      <c r="C2088" s="37" t="n">
        <v>3.0675</v>
      </c>
    </row>
    <row r="2089" customFormat="false" ht="15" hidden="false" customHeight="false" outlineLevel="0" collapsed="false">
      <c r="B2089" s="36" t="n">
        <v>42110</v>
      </c>
      <c r="C2089" s="37" t="n">
        <v>3.0243</v>
      </c>
    </row>
    <row r="2090" customFormat="false" ht="15" hidden="false" customHeight="false" outlineLevel="0" collapsed="false">
      <c r="B2090" s="36" t="n">
        <v>42111</v>
      </c>
      <c r="C2090" s="37" t="n">
        <v>3.0538</v>
      </c>
    </row>
    <row r="2091" customFormat="false" ht="15" hidden="false" customHeight="false" outlineLevel="0" collapsed="false">
      <c r="B2091" s="36" t="n">
        <v>42114</v>
      </c>
      <c r="C2091" s="37" t="n">
        <v>3.0467</v>
      </c>
    </row>
    <row r="2092" customFormat="false" ht="15" hidden="false" customHeight="false" outlineLevel="0" collapsed="false">
      <c r="B2092" s="36" t="n">
        <v>42116</v>
      </c>
      <c r="C2092" s="37" t="n">
        <v>3.018</v>
      </c>
    </row>
    <row r="2093" customFormat="false" ht="15" hidden="false" customHeight="false" outlineLevel="0" collapsed="false">
      <c r="B2093" s="36" t="n">
        <v>42117</v>
      </c>
      <c r="C2093" s="37" t="n">
        <v>3.0077</v>
      </c>
    </row>
    <row r="2094" customFormat="false" ht="15" hidden="false" customHeight="false" outlineLevel="0" collapsed="false">
      <c r="B2094" s="36" t="n">
        <v>42118</v>
      </c>
      <c r="C2094" s="37" t="n">
        <v>2.9739</v>
      </c>
    </row>
    <row r="2095" customFormat="false" ht="15" hidden="false" customHeight="false" outlineLevel="0" collapsed="false">
      <c r="B2095" s="36" t="n">
        <v>42121</v>
      </c>
      <c r="C2095" s="37" t="n">
        <v>2.9229</v>
      </c>
    </row>
    <row r="2096" customFormat="false" ht="15" hidden="false" customHeight="false" outlineLevel="0" collapsed="false">
      <c r="B2096" s="36" t="n">
        <v>42122</v>
      </c>
      <c r="C2096" s="37" t="n">
        <v>2.8937</v>
      </c>
    </row>
    <row r="2097" customFormat="false" ht="15" hidden="false" customHeight="false" outlineLevel="0" collapsed="false">
      <c r="B2097" s="36" t="n">
        <v>42123</v>
      </c>
      <c r="C2097" s="37" t="n">
        <v>2.9369</v>
      </c>
    </row>
    <row r="2098" customFormat="false" ht="15" hidden="false" customHeight="false" outlineLevel="0" collapsed="false">
      <c r="B2098" s="36" t="n">
        <v>42124</v>
      </c>
      <c r="C2098" s="37" t="n">
        <v>2.993</v>
      </c>
    </row>
    <row r="2099" customFormat="false" ht="15" hidden="false" customHeight="false" outlineLevel="0" collapsed="false">
      <c r="B2099" s="36" t="n">
        <v>42128</v>
      </c>
      <c r="C2099" s="37" t="n">
        <v>3.0748</v>
      </c>
    </row>
    <row r="2100" customFormat="false" ht="15" hidden="false" customHeight="false" outlineLevel="0" collapsed="false">
      <c r="B2100" s="36" t="n">
        <v>42129</v>
      </c>
      <c r="C2100" s="37" t="n">
        <v>3.0619</v>
      </c>
    </row>
    <row r="2101" customFormat="false" ht="15" hidden="false" customHeight="false" outlineLevel="0" collapsed="false">
      <c r="B2101" s="36" t="n">
        <v>42130</v>
      </c>
      <c r="C2101" s="37" t="n">
        <v>3.0414</v>
      </c>
    </row>
    <row r="2102" customFormat="false" ht="15" hidden="false" customHeight="false" outlineLevel="0" collapsed="false">
      <c r="B2102" s="36" t="n">
        <v>42131</v>
      </c>
      <c r="C2102" s="37" t="n">
        <v>3.0415</v>
      </c>
    </row>
    <row r="2103" customFormat="false" ht="15" hidden="false" customHeight="false" outlineLevel="0" collapsed="false">
      <c r="B2103" s="36" t="n">
        <v>42132</v>
      </c>
      <c r="C2103" s="37" t="n">
        <v>2.9959</v>
      </c>
    </row>
    <row r="2104" customFormat="false" ht="15" hidden="false" customHeight="false" outlineLevel="0" collapsed="false">
      <c r="B2104" s="36" t="n">
        <v>42135</v>
      </c>
      <c r="C2104" s="37" t="n">
        <v>3.0169</v>
      </c>
    </row>
    <row r="2105" customFormat="false" ht="15" hidden="false" customHeight="false" outlineLevel="0" collapsed="false">
      <c r="B2105" s="36" t="n">
        <v>42136</v>
      </c>
      <c r="C2105" s="37" t="n">
        <v>3.0382</v>
      </c>
    </row>
    <row r="2106" customFormat="false" ht="15" hidden="false" customHeight="false" outlineLevel="0" collapsed="false">
      <c r="B2106" s="36" t="n">
        <v>42137</v>
      </c>
      <c r="C2106" s="37" t="n">
        <v>3.0096</v>
      </c>
    </row>
    <row r="2107" customFormat="false" ht="15" hidden="false" customHeight="false" outlineLevel="0" collapsed="false">
      <c r="B2107" s="36" t="n">
        <v>42138</v>
      </c>
      <c r="C2107" s="37" t="n">
        <v>3.0026</v>
      </c>
    </row>
    <row r="2108" customFormat="false" ht="15" hidden="false" customHeight="false" outlineLevel="0" collapsed="false">
      <c r="B2108" s="36" t="n">
        <v>42139</v>
      </c>
      <c r="C2108" s="37" t="n">
        <v>2.9887</v>
      </c>
    </row>
    <row r="2109" customFormat="false" ht="15" hidden="false" customHeight="false" outlineLevel="0" collapsed="false">
      <c r="B2109" s="36" t="n">
        <v>42142</v>
      </c>
      <c r="C2109" s="37" t="n">
        <v>3.0139</v>
      </c>
    </row>
    <row r="2110" customFormat="false" ht="15" hidden="false" customHeight="false" outlineLevel="0" collapsed="false">
      <c r="B2110" s="36" t="n">
        <v>42143</v>
      </c>
      <c r="C2110" s="37" t="n">
        <v>3.0278</v>
      </c>
    </row>
    <row r="2111" customFormat="false" ht="15" hidden="false" customHeight="false" outlineLevel="0" collapsed="false">
      <c r="B2111" s="36" t="n">
        <v>42144</v>
      </c>
      <c r="C2111" s="37" t="n">
        <v>3.034</v>
      </c>
    </row>
    <row r="2112" customFormat="false" ht="15" hidden="false" customHeight="false" outlineLevel="0" collapsed="false">
      <c r="B2112" s="36" t="n">
        <v>42145</v>
      </c>
      <c r="C2112" s="37" t="n">
        <v>3.0289</v>
      </c>
    </row>
    <row r="2113" customFormat="false" ht="15" hidden="false" customHeight="false" outlineLevel="0" collapsed="false">
      <c r="B2113" s="36" t="n">
        <v>42146</v>
      </c>
      <c r="C2113" s="37" t="n">
        <v>3.0647</v>
      </c>
    </row>
    <row r="2114" customFormat="false" ht="15" hidden="false" customHeight="false" outlineLevel="0" collapsed="false">
      <c r="B2114" s="36" t="n">
        <v>42149</v>
      </c>
      <c r="C2114" s="37" t="n">
        <v>3.1206</v>
      </c>
    </row>
    <row r="2115" customFormat="false" ht="15" hidden="false" customHeight="false" outlineLevel="0" collapsed="false">
      <c r="B2115" s="36" t="n">
        <v>42150</v>
      </c>
      <c r="C2115" s="37" t="n">
        <v>3.1345</v>
      </c>
    </row>
    <row r="2116" customFormat="false" ht="15" hidden="false" customHeight="false" outlineLevel="0" collapsed="false">
      <c r="B2116" s="36" t="n">
        <v>42151</v>
      </c>
      <c r="C2116" s="37" t="n">
        <v>3.1734</v>
      </c>
    </row>
    <row r="2117" customFormat="false" ht="15" hidden="false" customHeight="false" outlineLevel="0" collapsed="false">
      <c r="B2117" s="36" t="n">
        <v>42152</v>
      </c>
      <c r="C2117" s="37" t="n">
        <v>3.1741</v>
      </c>
    </row>
    <row r="2118" customFormat="false" ht="15" hidden="false" customHeight="false" outlineLevel="0" collapsed="false">
      <c r="B2118" s="36" t="n">
        <v>42153</v>
      </c>
      <c r="C2118" s="37" t="n">
        <v>3.1781</v>
      </c>
    </row>
    <row r="2119" customFormat="false" ht="15" hidden="false" customHeight="false" outlineLevel="0" collapsed="false">
      <c r="B2119" s="36" t="n">
        <v>42156</v>
      </c>
      <c r="C2119" s="37" t="n">
        <v>3.1783</v>
      </c>
    </row>
    <row r="2120" customFormat="false" ht="15" hidden="false" customHeight="false" outlineLevel="0" collapsed="false">
      <c r="B2120" s="36" t="n">
        <v>42157</v>
      </c>
      <c r="C2120" s="37" t="n">
        <v>3.1437</v>
      </c>
    </row>
    <row r="2121" customFormat="false" ht="15" hidden="false" customHeight="false" outlineLevel="0" collapsed="false">
      <c r="B2121" s="36" t="n">
        <v>42158</v>
      </c>
      <c r="C2121" s="37" t="n">
        <v>3.1178</v>
      </c>
    </row>
    <row r="2122" customFormat="false" ht="15" hidden="false" customHeight="false" outlineLevel="0" collapsed="false">
      <c r="B2122" s="36" t="n">
        <v>42160</v>
      </c>
      <c r="C2122" s="37" t="n">
        <v>3.1677</v>
      </c>
    </row>
    <row r="2123" customFormat="false" ht="15" hidden="false" customHeight="false" outlineLevel="0" collapsed="false">
      <c r="B2123" s="36" t="n">
        <v>42163</v>
      </c>
      <c r="C2123" s="37" t="n">
        <v>3.1184</v>
      </c>
    </row>
    <row r="2124" customFormat="false" ht="15" hidden="false" customHeight="false" outlineLevel="0" collapsed="false">
      <c r="B2124" s="36" t="n">
        <v>42164</v>
      </c>
      <c r="C2124" s="37" t="n">
        <v>3.0985</v>
      </c>
    </row>
    <row r="2125" customFormat="false" ht="15" hidden="false" customHeight="false" outlineLevel="0" collapsed="false">
      <c r="B2125" s="36" t="n">
        <v>42165</v>
      </c>
      <c r="C2125" s="37" t="n">
        <v>3.0837</v>
      </c>
    </row>
    <row r="2126" customFormat="false" ht="15" hidden="false" customHeight="false" outlineLevel="0" collapsed="false">
      <c r="B2126" s="36" t="n">
        <v>42166</v>
      </c>
      <c r="C2126" s="37" t="n">
        <v>3.1508</v>
      </c>
    </row>
    <row r="2127" customFormat="false" ht="15" hidden="false" customHeight="false" outlineLevel="0" collapsed="false">
      <c r="B2127" s="36" t="n">
        <v>42167</v>
      </c>
      <c r="C2127" s="37" t="n">
        <v>3.1101</v>
      </c>
    </row>
    <row r="2128" customFormat="false" ht="15" hidden="false" customHeight="false" outlineLevel="0" collapsed="false">
      <c r="B2128" s="36" t="n">
        <v>42170</v>
      </c>
      <c r="C2128" s="37" t="n">
        <v>3.103</v>
      </c>
    </row>
    <row r="2129" customFormat="false" ht="15" hidden="false" customHeight="false" outlineLevel="0" collapsed="false">
      <c r="B2129" s="36" t="n">
        <v>42171</v>
      </c>
      <c r="C2129" s="37" t="n">
        <v>3.1076</v>
      </c>
    </row>
    <row r="2130" customFormat="false" ht="15" hidden="false" customHeight="false" outlineLevel="0" collapsed="false">
      <c r="B2130" s="36" t="n">
        <v>42172</v>
      </c>
      <c r="C2130" s="37" t="n">
        <v>3.0983</v>
      </c>
    </row>
    <row r="2131" customFormat="false" ht="15" hidden="false" customHeight="false" outlineLevel="0" collapsed="false">
      <c r="B2131" s="36" t="n">
        <v>42173</v>
      </c>
      <c r="C2131" s="37" t="n">
        <v>3.0466</v>
      </c>
    </row>
    <row r="2132" customFormat="false" ht="15" hidden="false" customHeight="false" outlineLevel="0" collapsed="false">
      <c r="B2132" s="36" t="n">
        <v>42174</v>
      </c>
      <c r="C2132" s="37" t="n">
        <v>3.0782</v>
      </c>
    </row>
    <row r="2133" customFormat="false" ht="15" hidden="false" customHeight="false" outlineLevel="0" collapsed="false">
      <c r="B2133" s="36" t="n">
        <v>42177</v>
      </c>
      <c r="C2133" s="37" t="n">
        <v>3.0751</v>
      </c>
    </row>
    <row r="2134" customFormat="false" ht="15" hidden="false" customHeight="false" outlineLevel="0" collapsed="false">
      <c r="B2134" s="36" t="n">
        <v>42178</v>
      </c>
      <c r="C2134" s="37" t="n">
        <v>3.1036</v>
      </c>
    </row>
    <row r="2135" customFormat="false" ht="15" hidden="false" customHeight="false" outlineLevel="0" collapsed="false">
      <c r="B2135" s="36" t="n">
        <v>42179</v>
      </c>
      <c r="C2135" s="37" t="n">
        <v>3.0846</v>
      </c>
    </row>
    <row r="2136" customFormat="false" ht="15" hidden="false" customHeight="false" outlineLevel="0" collapsed="false">
      <c r="B2136" s="36" t="n">
        <v>42180</v>
      </c>
      <c r="C2136" s="37" t="n">
        <v>3.1009</v>
      </c>
    </row>
    <row r="2137" customFormat="false" ht="15" hidden="false" customHeight="false" outlineLevel="0" collapsed="false">
      <c r="B2137" s="36" t="n">
        <v>42181</v>
      </c>
      <c r="C2137" s="37" t="n">
        <v>3.1265</v>
      </c>
    </row>
    <row r="2138" customFormat="false" ht="15" hidden="false" customHeight="false" outlineLevel="0" collapsed="false">
      <c r="B2138" s="36" t="n">
        <v>42184</v>
      </c>
      <c r="C2138" s="37" t="n">
        <v>3.1383</v>
      </c>
    </row>
    <row r="2139" customFormat="false" ht="15" hidden="false" customHeight="false" outlineLevel="0" collapsed="false">
      <c r="B2139" s="36" t="n">
        <v>42185</v>
      </c>
      <c r="C2139" s="37" t="n">
        <v>3.1019</v>
      </c>
    </row>
    <row r="2140" customFormat="false" ht="15" hidden="false" customHeight="false" outlineLevel="0" collapsed="false">
      <c r="B2140" s="36" t="n">
        <v>42186</v>
      </c>
      <c r="C2140" s="37" t="n">
        <v>3.1185</v>
      </c>
    </row>
    <row r="2141" customFormat="false" ht="15" hidden="false" customHeight="false" outlineLevel="0" collapsed="false">
      <c r="B2141" s="36" t="n">
        <v>42187</v>
      </c>
      <c r="C2141" s="37" t="n">
        <v>3.1166</v>
      </c>
    </row>
    <row r="2142" customFormat="false" ht="15" hidden="false" customHeight="false" outlineLevel="0" collapsed="false">
      <c r="B2142" s="36" t="n">
        <v>42188</v>
      </c>
      <c r="C2142" s="37" t="n">
        <v>3.1265</v>
      </c>
    </row>
    <row r="2143" customFormat="false" ht="15" hidden="false" customHeight="false" outlineLevel="0" collapsed="false">
      <c r="B2143" s="36" t="n">
        <v>42191</v>
      </c>
      <c r="C2143" s="37" t="n">
        <v>3.1425</v>
      </c>
    </row>
    <row r="2144" customFormat="false" ht="15" hidden="false" customHeight="false" outlineLevel="0" collapsed="false">
      <c r="B2144" s="36" t="n">
        <v>42192</v>
      </c>
      <c r="C2144" s="37" t="n">
        <v>3.1803</v>
      </c>
    </row>
    <row r="2145" customFormat="false" ht="15" hidden="false" customHeight="false" outlineLevel="0" collapsed="false">
      <c r="B2145" s="36" t="n">
        <v>42193</v>
      </c>
      <c r="C2145" s="37" t="n">
        <v>3.2275</v>
      </c>
    </row>
    <row r="2146" customFormat="false" ht="15" hidden="false" customHeight="false" outlineLevel="0" collapsed="false">
      <c r="B2146" s="36" t="n">
        <v>42194</v>
      </c>
      <c r="C2146" s="37" t="n">
        <v>3.2152</v>
      </c>
    </row>
    <row r="2147" customFormat="false" ht="15" hidden="false" customHeight="false" outlineLevel="0" collapsed="false">
      <c r="B2147" s="36" t="n">
        <v>42195</v>
      </c>
      <c r="C2147" s="37" t="n">
        <v>3.1891</v>
      </c>
    </row>
    <row r="2148" customFormat="false" ht="15" hidden="false" customHeight="false" outlineLevel="0" collapsed="false">
      <c r="B2148" s="36" t="n">
        <v>42198</v>
      </c>
      <c r="C2148" s="37" t="n">
        <v>3.1588</v>
      </c>
    </row>
    <row r="2149" customFormat="false" ht="15" hidden="false" customHeight="false" outlineLevel="0" collapsed="false">
      <c r="B2149" s="36" t="n">
        <v>42199</v>
      </c>
      <c r="C2149" s="37" t="n">
        <v>3.1224</v>
      </c>
    </row>
    <row r="2150" customFormat="false" ht="15" hidden="false" customHeight="false" outlineLevel="0" collapsed="false">
      <c r="B2150" s="36" t="n">
        <v>42200</v>
      </c>
      <c r="C2150" s="37" t="n">
        <v>3.1526</v>
      </c>
    </row>
    <row r="2151" customFormat="false" ht="15" hidden="false" customHeight="false" outlineLevel="0" collapsed="false">
      <c r="B2151" s="36" t="n">
        <v>42201</v>
      </c>
      <c r="C2151" s="37" t="n">
        <v>3.1369</v>
      </c>
    </row>
    <row r="2152" customFormat="false" ht="15" hidden="false" customHeight="false" outlineLevel="0" collapsed="false">
      <c r="B2152" s="36" t="n">
        <v>42202</v>
      </c>
      <c r="C2152" s="37" t="n">
        <v>3.1826</v>
      </c>
    </row>
    <row r="2153" customFormat="false" ht="15" hidden="false" customHeight="false" outlineLevel="0" collapsed="false">
      <c r="B2153" s="36" t="n">
        <v>42205</v>
      </c>
      <c r="C2153" s="37" t="n">
        <v>3.2143</v>
      </c>
    </row>
    <row r="2154" customFormat="false" ht="15" hidden="false" customHeight="false" outlineLevel="0" collapsed="false">
      <c r="B2154" s="36" t="n">
        <v>42206</v>
      </c>
      <c r="C2154" s="37" t="n">
        <v>3.1807</v>
      </c>
    </row>
    <row r="2155" customFormat="false" ht="15" hidden="false" customHeight="false" outlineLevel="0" collapsed="false">
      <c r="B2155" s="36" t="n">
        <v>42207</v>
      </c>
      <c r="C2155" s="37" t="n">
        <v>3.2088</v>
      </c>
    </row>
    <row r="2156" customFormat="false" ht="15" hidden="false" customHeight="false" outlineLevel="0" collapsed="false">
      <c r="B2156" s="36" t="n">
        <v>42208</v>
      </c>
      <c r="C2156" s="37" t="n">
        <v>3.2844</v>
      </c>
    </row>
    <row r="2157" customFormat="false" ht="15" hidden="false" customHeight="false" outlineLevel="0" collapsed="false">
      <c r="B2157" s="36" t="n">
        <v>42209</v>
      </c>
      <c r="C2157" s="37" t="n">
        <v>3.3248</v>
      </c>
    </row>
    <row r="2158" customFormat="false" ht="15" hidden="false" customHeight="false" outlineLevel="0" collapsed="false">
      <c r="B2158" s="36" t="n">
        <v>42212</v>
      </c>
      <c r="C2158" s="37" t="n">
        <v>3.3551</v>
      </c>
    </row>
    <row r="2159" customFormat="false" ht="15" hidden="false" customHeight="false" outlineLevel="0" collapsed="false">
      <c r="B2159" s="36" t="n">
        <v>42213</v>
      </c>
      <c r="C2159" s="37" t="n">
        <v>3.3808</v>
      </c>
    </row>
    <row r="2160" customFormat="false" ht="15" hidden="false" customHeight="false" outlineLevel="0" collapsed="false">
      <c r="B2160" s="36" t="n">
        <v>42214</v>
      </c>
      <c r="C2160" s="37" t="n">
        <v>3.3413</v>
      </c>
    </row>
    <row r="2161" customFormat="false" ht="15" hidden="false" customHeight="false" outlineLevel="0" collapsed="false">
      <c r="B2161" s="36" t="n">
        <v>42215</v>
      </c>
      <c r="C2161" s="37" t="n">
        <v>3.3646</v>
      </c>
    </row>
    <row r="2162" customFormat="false" ht="15" hidden="false" customHeight="false" outlineLevel="0" collapsed="false">
      <c r="B2162" s="36" t="n">
        <v>42216</v>
      </c>
      <c r="C2162" s="37" t="n">
        <v>3.3934</v>
      </c>
    </row>
    <row r="2163" customFormat="false" ht="15" hidden="false" customHeight="false" outlineLevel="0" collapsed="false">
      <c r="B2163" s="36" t="n">
        <v>42219</v>
      </c>
      <c r="C2163" s="37" t="n">
        <v>3.4419</v>
      </c>
    </row>
    <row r="2164" customFormat="false" ht="15" hidden="false" customHeight="false" outlineLevel="0" collapsed="false">
      <c r="B2164" s="36" t="n">
        <v>42220</v>
      </c>
      <c r="C2164" s="37" t="n">
        <v>3.4669</v>
      </c>
    </row>
    <row r="2165" customFormat="false" ht="15" hidden="false" customHeight="false" outlineLevel="0" collapsed="false">
      <c r="B2165" s="36" t="n">
        <v>42221</v>
      </c>
      <c r="C2165" s="37" t="n">
        <v>3.4844</v>
      </c>
    </row>
    <row r="2166" customFormat="false" ht="15" hidden="false" customHeight="false" outlineLevel="0" collapsed="false">
      <c r="B2166" s="36" t="n">
        <v>42222</v>
      </c>
      <c r="C2166" s="37" t="n">
        <v>3.5341</v>
      </c>
    </row>
    <row r="2167" customFormat="false" ht="15" hidden="false" customHeight="false" outlineLevel="0" collapsed="false">
      <c r="B2167" s="36" t="n">
        <v>42223</v>
      </c>
      <c r="C2167" s="37" t="n">
        <v>3.5175</v>
      </c>
    </row>
    <row r="2168" customFormat="false" ht="15" hidden="false" customHeight="false" outlineLevel="0" collapsed="false">
      <c r="B2168" s="36" t="n">
        <v>42226</v>
      </c>
      <c r="C2168" s="37" t="n">
        <v>3.4903</v>
      </c>
    </row>
    <row r="2169" customFormat="false" ht="15" hidden="false" customHeight="false" outlineLevel="0" collapsed="false">
      <c r="B2169" s="36" t="n">
        <v>42227</v>
      </c>
      <c r="C2169" s="37" t="n">
        <v>3.4919</v>
      </c>
    </row>
    <row r="2170" customFormat="false" ht="15" hidden="false" customHeight="false" outlineLevel="0" collapsed="false">
      <c r="B2170" s="36" t="n">
        <v>42228</v>
      </c>
      <c r="C2170" s="37" t="n">
        <v>3.482</v>
      </c>
    </row>
    <row r="2171" customFormat="false" ht="15" hidden="false" customHeight="false" outlineLevel="0" collapsed="false">
      <c r="B2171" s="36" t="n">
        <v>42229</v>
      </c>
      <c r="C2171" s="37" t="n">
        <v>3.5068</v>
      </c>
    </row>
    <row r="2172" customFormat="false" ht="15" hidden="false" customHeight="false" outlineLevel="0" collapsed="false">
      <c r="B2172" s="36" t="n">
        <v>42230</v>
      </c>
      <c r="C2172" s="37" t="n">
        <v>3.4755</v>
      </c>
    </row>
    <row r="2173" customFormat="false" ht="15" hidden="false" customHeight="false" outlineLevel="0" collapsed="false">
      <c r="B2173" s="36" t="n">
        <v>42233</v>
      </c>
      <c r="C2173" s="37" t="n">
        <v>3.4739</v>
      </c>
    </row>
    <row r="2174" customFormat="false" ht="15" hidden="false" customHeight="false" outlineLevel="0" collapsed="false">
      <c r="B2174" s="36" t="n">
        <v>42234</v>
      </c>
      <c r="C2174" s="37" t="n">
        <v>3.4805</v>
      </c>
    </row>
    <row r="2175" customFormat="false" ht="15" hidden="false" customHeight="false" outlineLevel="0" collapsed="false">
      <c r="B2175" s="36" t="n">
        <v>42235</v>
      </c>
      <c r="C2175" s="37" t="n">
        <v>3.4843</v>
      </c>
    </row>
    <row r="2176" customFormat="false" ht="15" hidden="false" customHeight="false" outlineLevel="0" collapsed="false">
      <c r="B2176" s="36" t="n">
        <v>42236</v>
      </c>
      <c r="C2176" s="37" t="n">
        <v>3.4745</v>
      </c>
    </row>
    <row r="2177" customFormat="false" ht="15" hidden="false" customHeight="false" outlineLevel="0" collapsed="false">
      <c r="B2177" s="36" t="n">
        <v>42237</v>
      </c>
      <c r="C2177" s="37" t="n">
        <v>3.489</v>
      </c>
    </row>
    <row r="2178" customFormat="false" ht="15" hidden="false" customHeight="false" outlineLevel="0" collapsed="false">
      <c r="B2178" s="36" t="n">
        <v>42240</v>
      </c>
      <c r="C2178" s="37" t="n">
        <v>3.5488</v>
      </c>
    </row>
    <row r="2179" customFormat="false" ht="15" hidden="false" customHeight="false" outlineLevel="0" collapsed="false">
      <c r="B2179" s="36" t="n">
        <v>42241</v>
      </c>
      <c r="C2179" s="37" t="n">
        <v>3.5339</v>
      </c>
    </row>
    <row r="2180" customFormat="false" ht="15" hidden="false" customHeight="false" outlineLevel="0" collapsed="false">
      <c r="B2180" s="36" t="n">
        <v>42242</v>
      </c>
      <c r="C2180" s="37" t="n">
        <v>3.632</v>
      </c>
    </row>
    <row r="2181" customFormat="false" ht="15" hidden="false" customHeight="false" outlineLevel="0" collapsed="false">
      <c r="B2181" s="36" t="n">
        <v>42243</v>
      </c>
      <c r="C2181" s="37" t="n">
        <v>3.5549</v>
      </c>
    </row>
    <row r="2182" customFormat="false" ht="15" hidden="false" customHeight="false" outlineLevel="0" collapsed="false">
      <c r="B2182" s="36" t="n">
        <v>42244</v>
      </c>
      <c r="C2182" s="37" t="n">
        <v>3.5784</v>
      </c>
    </row>
    <row r="2183" customFormat="false" ht="15" hidden="false" customHeight="false" outlineLevel="0" collapsed="false">
      <c r="B2183" s="36" t="n">
        <v>42247</v>
      </c>
      <c r="C2183" s="37" t="n">
        <v>3.6461</v>
      </c>
    </row>
    <row r="2184" customFormat="false" ht="15" hidden="false" customHeight="false" outlineLevel="0" collapsed="false">
      <c r="B2184" s="36" t="n">
        <v>42248</v>
      </c>
      <c r="C2184" s="37" t="n">
        <v>3.6719</v>
      </c>
    </row>
    <row r="2185" customFormat="false" ht="15" hidden="false" customHeight="false" outlineLevel="0" collapsed="false">
      <c r="B2185" s="36" t="n">
        <v>42249</v>
      </c>
      <c r="C2185" s="37" t="n">
        <v>3.7307</v>
      </c>
    </row>
    <row r="2186" customFormat="false" ht="15" hidden="false" customHeight="false" outlineLevel="0" collapsed="false">
      <c r="B2186" s="36" t="n">
        <v>42250</v>
      </c>
      <c r="C2186" s="37" t="n">
        <v>3.7753</v>
      </c>
    </row>
    <row r="2187" customFormat="false" ht="15" hidden="false" customHeight="false" outlineLevel="0" collapsed="false">
      <c r="B2187" s="36" t="n">
        <v>42251</v>
      </c>
      <c r="C2187" s="37" t="n">
        <v>3.798</v>
      </c>
    </row>
    <row r="2188" customFormat="false" ht="15" hidden="false" customHeight="false" outlineLevel="0" collapsed="false">
      <c r="B2188" s="36" t="n">
        <v>42255</v>
      </c>
      <c r="C2188" s="37" t="n">
        <v>3.8021</v>
      </c>
    </row>
    <row r="2189" customFormat="false" ht="15" hidden="false" customHeight="false" outlineLevel="0" collapsed="false">
      <c r="B2189" s="36" t="n">
        <v>42256</v>
      </c>
      <c r="C2189" s="37" t="n">
        <v>3.7864</v>
      </c>
    </row>
    <row r="2190" customFormat="false" ht="15" hidden="false" customHeight="false" outlineLevel="0" collapsed="false">
      <c r="B2190" s="36" t="n">
        <v>42257</v>
      </c>
      <c r="C2190" s="37" t="n">
        <v>3.8691</v>
      </c>
    </row>
    <row r="2191" customFormat="false" ht="15" hidden="false" customHeight="false" outlineLevel="0" collapsed="false">
      <c r="B2191" s="36" t="n">
        <v>42258</v>
      </c>
      <c r="C2191" s="37" t="n">
        <v>3.8692</v>
      </c>
    </row>
    <row r="2192" customFormat="false" ht="15" hidden="false" customHeight="false" outlineLevel="0" collapsed="false">
      <c r="B2192" s="36" t="n">
        <v>42261</v>
      </c>
      <c r="C2192" s="37" t="n">
        <v>3.8647</v>
      </c>
    </row>
    <row r="2193" customFormat="false" ht="15" hidden="false" customHeight="false" outlineLevel="0" collapsed="false">
      <c r="B2193" s="36" t="n">
        <v>42262</v>
      </c>
      <c r="C2193" s="37" t="n">
        <v>3.8593</v>
      </c>
    </row>
    <row r="2194" customFormat="false" ht="15" hidden="false" customHeight="false" outlineLevel="0" collapsed="false">
      <c r="B2194" s="36" t="n">
        <v>42263</v>
      </c>
      <c r="C2194" s="37" t="n">
        <v>3.8361</v>
      </c>
    </row>
    <row r="2195" customFormat="false" ht="15" hidden="false" customHeight="false" outlineLevel="0" collapsed="false">
      <c r="B2195" s="36" t="n">
        <v>42264</v>
      </c>
      <c r="C2195" s="37" t="n">
        <v>3.8915</v>
      </c>
    </row>
    <row r="2196" customFormat="false" ht="15" hidden="false" customHeight="false" outlineLevel="0" collapsed="false">
      <c r="B2196" s="36" t="n">
        <v>42265</v>
      </c>
      <c r="C2196" s="37" t="n">
        <v>3.9015</v>
      </c>
    </row>
    <row r="2197" customFormat="false" ht="15" hidden="false" customHeight="false" outlineLevel="0" collapsed="false">
      <c r="B2197" s="36" t="n">
        <v>42268</v>
      </c>
      <c r="C2197" s="37" t="n">
        <v>3.9815</v>
      </c>
    </row>
    <row r="2198" customFormat="false" ht="15" hidden="false" customHeight="false" outlineLevel="0" collapsed="false">
      <c r="B2198" s="36" t="n">
        <v>42269</v>
      </c>
      <c r="C2198" s="37" t="n">
        <v>4.0419</v>
      </c>
    </row>
    <row r="2199" customFormat="false" ht="15" hidden="false" customHeight="false" outlineLevel="0" collapsed="false">
      <c r="B2199" s="36" t="n">
        <v>42270</v>
      </c>
      <c r="C2199" s="37" t="n">
        <v>4.1034</v>
      </c>
    </row>
    <row r="2200" customFormat="false" ht="15" hidden="false" customHeight="false" outlineLevel="0" collapsed="false">
      <c r="B2200" s="36" t="n">
        <v>42271</v>
      </c>
      <c r="C2200" s="37" t="n">
        <v>4.1942</v>
      </c>
    </row>
    <row r="2201" customFormat="false" ht="15" hidden="false" customHeight="false" outlineLevel="0" collapsed="false">
      <c r="B2201" s="36" t="n">
        <v>42272</v>
      </c>
      <c r="C2201" s="37" t="n">
        <v>3.9472</v>
      </c>
    </row>
    <row r="2202" customFormat="false" ht="15" hidden="false" customHeight="false" outlineLevel="0" collapsed="false">
      <c r="B2202" s="36" t="n">
        <v>42275</v>
      </c>
      <c r="C2202" s="37" t="n">
        <v>4.0093</v>
      </c>
    </row>
    <row r="2203" customFormat="false" ht="15" hidden="false" customHeight="false" outlineLevel="0" collapsed="false">
      <c r="B2203" s="36" t="n">
        <v>42276</v>
      </c>
      <c r="C2203" s="37" t="n">
        <v>4.1165</v>
      </c>
    </row>
    <row r="2204" customFormat="false" ht="15" hidden="false" customHeight="false" outlineLevel="0" collapsed="false">
      <c r="B2204" s="36" t="n">
        <v>42277</v>
      </c>
      <c r="C2204" s="37" t="n">
        <v>3.9722</v>
      </c>
    </row>
    <row r="2205" customFormat="false" ht="15" hidden="false" customHeight="false" outlineLevel="0" collapsed="false">
      <c r="B2205" s="36" t="n">
        <v>42278</v>
      </c>
      <c r="C2205" s="37" t="n">
        <v>3.9788</v>
      </c>
    </row>
    <row r="2206" customFormat="false" ht="15" hidden="false" customHeight="false" outlineLevel="0" collapsed="false">
      <c r="B2206" s="36" t="n">
        <v>42279</v>
      </c>
      <c r="C2206" s="37" t="n">
        <v>4.0003</v>
      </c>
    </row>
    <row r="2207" customFormat="false" ht="15" hidden="false" customHeight="false" outlineLevel="0" collapsed="false">
      <c r="B2207" s="36" t="n">
        <v>42282</v>
      </c>
      <c r="C2207" s="37" t="n">
        <v>3.9135</v>
      </c>
    </row>
    <row r="2208" customFormat="false" ht="15" hidden="false" customHeight="false" outlineLevel="0" collapsed="false">
      <c r="B2208" s="36" t="n">
        <v>42283</v>
      </c>
      <c r="C2208" s="37" t="n">
        <v>3.8561</v>
      </c>
    </row>
    <row r="2209" customFormat="false" ht="15" hidden="false" customHeight="false" outlineLevel="0" collapsed="false">
      <c r="B2209" s="36" t="n">
        <v>42284</v>
      </c>
      <c r="C2209" s="37" t="n">
        <v>3.8053</v>
      </c>
    </row>
    <row r="2210" customFormat="false" ht="15" hidden="false" customHeight="false" outlineLevel="0" collapsed="false">
      <c r="B2210" s="36" t="n">
        <v>42285</v>
      </c>
      <c r="C2210" s="37" t="n">
        <v>3.8511</v>
      </c>
    </row>
    <row r="2211" customFormat="false" ht="15" hidden="false" customHeight="false" outlineLevel="0" collapsed="false">
      <c r="B2211" s="36" t="n">
        <v>42286</v>
      </c>
      <c r="C2211" s="37" t="n">
        <v>3.738</v>
      </c>
    </row>
    <row r="2212" customFormat="false" ht="15" hidden="false" customHeight="false" outlineLevel="0" collapsed="false">
      <c r="B2212" s="36" t="n">
        <v>42290</v>
      </c>
      <c r="C2212" s="37" t="n">
        <v>3.8243</v>
      </c>
    </row>
    <row r="2213" customFormat="false" ht="15" hidden="false" customHeight="false" outlineLevel="0" collapsed="false">
      <c r="B2213" s="36" t="n">
        <v>42291</v>
      </c>
      <c r="C2213" s="37" t="n">
        <v>3.8501</v>
      </c>
    </row>
    <row r="2214" customFormat="false" ht="15" hidden="false" customHeight="false" outlineLevel="0" collapsed="false">
      <c r="B2214" s="36" t="n">
        <v>42292</v>
      </c>
      <c r="C2214" s="37" t="n">
        <v>3.8337</v>
      </c>
    </row>
    <row r="2215" customFormat="false" ht="15" hidden="false" customHeight="false" outlineLevel="0" collapsed="false">
      <c r="B2215" s="36" t="n">
        <v>42293</v>
      </c>
      <c r="C2215" s="37" t="n">
        <v>3.8432</v>
      </c>
    </row>
    <row r="2216" customFormat="false" ht="15" hidden="false" customHeight="false" outlineLevel="0" collapsed="false">
      <c r="B2216" s="36" t="n">
        <v>42296</v>
      </c>
      <c r="C2216" s="37" t="n">
        <v>3.9009</v>
      </c>
    </row>
    <row r="2217" customFormat="false" ht="15" hidden="false" customHeight="false" outlineLevel="0" collapsed="false">
      <c r="B2217" s="36" t="n">
        <v>42297</v>
      </c>
      <c r="C2217" s="37" t="n">
        <v>3.865</v>
      </c>
    </row>
    <row r="2218" customFormat="false" ht="15" hidden="false" customHeight="false" outlineLevel="0" collapsed="false">
      <c r="B2218" s="36" t="n">
        <v>42298</v>
      </c>
      <c r="C2218" s="37" t="n">
        <v>3.938</v>
      </c>
    </row>
    <row r="2219" customFormat="false" ht="15" hidden="false" customHeight="false" outlineLevel="0" collapsed="false">
      <c r="B2219" s="36" t="n">
        <v>42299</v>
      </c>
      <c r="C2219" s="37" t="n">
        <v>3.9354</v>
      </c>
    </row>
    <row r="2220" customFormat="false" ht="15" hidden="false" customHeight="false" outlineLevel="0" collapsed="false">
      <c r="B2220" s="36" t="n">
        <v>42300</v>
      </c>
      <c r="C2220" s="37" t="n">
        <v>3.8982</v>
      </c>
    </row>
    <row r="2221" customFormat="false" ht="15" hidden="false" customHeight="false" outlineLevel="0" collapsed="false">
      <c r="B2221" s="36" t="n">
        <v>42303</v>
      </c>
      <c r="C2221" s="37" t="n">
        <v>3.8575</v>
      </c>
    </row>
    <row r="2222" customFormat="false" ht="15" hidden="false" customHeight="false" outlineLevel="0" collapsed="false">
      <c r="B2222" s="36" t="n">
        <v>42304</v>
      </c>
      <c r="C2222" s="37" t="n">
        <v>3.9108</v>
      </c>
    </row>
    <row r="2223" customFormat="false" ht="15" hidden="false" customHeight="false" outlineLevel="0" collapsed="false">
      <c r="B2223" s="36" t="n">
        <v>42305</v>
      </c>
      <c r="C2223" s="37" t="n">
        <v>3.8791</v>
      </c>
    </row>
    <row r="2224" customFormat="false" ht="15" hidden="false" customHeight="false" outlineLevel="0" collapsed="false">
      <c r="B2224" s="36" t="n">
        <v>42306</v>
      </c>
      <c r="C2224" s="37" t="n">
        <v>3.9321</v>
      </c>
    </row>
    <row r="2225" customFormat="false" ht="15" hidden="false" customHeight="false" outlineLevel="0" collapsed="false">
      <c r="B2225" s="36" t="n">
        <v>42307</v>
      </c>
      <c r="C2225" s="37" t="n">
        <v>3.8582</v>
      </c>
    </row>
    <row r="2226" customFormat="false" ht="15" hidden="false" customHeight="false" outlineLevel="0" collapsed="false">
      <c r="B2226" s="36" t="n">
        <v>42311</v>
      </c>
      <c r="C2226" s="37" t="n">
        <v>3.812</v>
      </c>
    </row>
    <row r="2227" customFormat="false" ht="15" hidden="false" customHeight="false" outlineLevel="0" collapsed="false">
      <c r="B2227" s="36" t="n">
        <v>42312</v>
      </c>
      <c r="C2227" s="37" t="n">
        <v>3.768</v>
      </c>
    </row>
    <row r="2228" customFormat="false" ht="15" hidden="false" customHeight="false" outlineLevel="0" collapsed="false">
      <c r="B2228" s="36" t="n">
        <v>42313</v>
      </c>
      <c r="C2228" s="37" t="n">
        <v>3.7887</v>
      </c>
    </row>
    <row r="2229" customFormat="false" ht="15" hidden="false" customHeight="false" outlineLevel="0" collapsed="false">
      <c r="B2229" s="36" t="n">
        <v>42314</v>
      </c>
      <c r="C2229" s="37" t="n">
        <v>3.8053</v>
      </c>
    </row>
    <row r="2230" customFormat="false" ht="15" hidden="false" customHeight="false" outlineLevel="0" collapsed="false">
      <c r="B2230" s="36" t="n">
        <v>42317</v>
      </c>
      <c r="C2230" s="37" t="n">
        <v>3.7922</v>
      </c>
    </row>
    <row r="2231" customFormat="false" ht="15" hidden="false" customHeight="false" outlineLevel="0" collapsed="false">
      <c r="B2231" s="36" t="n">
        <v>42318</v>
      </c>
      <c r="C2231" s="37" t="n">
        <v>3.7975</v>
      </c>
    </row>
    <row r="2232" customFormat="false" ht="15" hidden="false" customHeight="false" outlineLevel="0" collapsed="false">
      <c r="B2232" s="36" t="n">
        <v>42319</v>
      </c>
      <c r="C2232" s="37" t="n">
        <v>3.732</v>
      </c>
    </row>
    <row r="2233" customFormat="false" ht="15" hidden="false" customHeight="false" outlineLevel="0" collapsed="false">
      <c r="B2233" s="36" t="n">
        <v>42320</v>
      </c>
      <c r="C2233" s="37" t="n">
        <v>3.799</v>
      </c>
    </row>
    <row r="2234" customFormat="false" ht="15" hidden="false" customHeight="false" outlineLevel="0" collapsed="false">
      <c r="B2234" s="36" t="n">
        <v>42321</v>
      </c>
      <c r="C2234" s="37" t="n">
        <v>3.8016</v>
      </c>
    </row>
    <row r="2235" customFormat="false" ht="15" hidden="false" customHeight="false" outlineLevel="0" collapsed="false">
      <c r="B2235" s="36" t="n">
        <v>42324</v>
      </c>
      <c r="C2235" s="37" t="n">
        <v>3.833</v>
      </c>
    </row>
    <row r="2236" customFormat="false" ht="15" hidden="false" customHeight="false" outlineLevel="0" collapsed="false">
      <c r="B2236" s="36" t="n">
        <v>42325</v>
      </c>
      <c r="C2236" s="37" t="n">
        <v>3.8045</v>
      </c>
    </row>
    <row r="2237" customFormat="false" ht="15" hidden="false" customHeight="false" outlineLevel="0" collapsed="false">
      <c r="B2237" s="36" t="n">
        <v>42326</v>
      </c>
      <c r="C2237" s="37" t="n">
        <v>3.7915</v>
      </c>
    </row>
    <row r="2238" customFormat="false" ht="15" hidden="false" customHeight="false" outlineLevel="0" collapsed="false">
      <c r="B2238" s="36" t="n">
        <v>42327</v>
      </c>
      <c r="C2238" s="37" t="n">
        <v>3.7435</v>
      </c>
    </row>
    <row r="2239" customFormat="false" ht="15" hidden="false" customHeight="false" outlineLevel="0" collapsed="false">
      <c r="B2239" s="36" t="n">
        <v>42328</v>
      </c>
      <c r="C2239" s="37" t="n">
        <v>3.7</v>
      </c>
    </row>
    <row r="2240" customFormat="false" ht="15" hidden="false" customHeight="false" outlineLevel="0" collapsed="false">
      <c r="B2240" s="36" t="n">
        <v>42331</v>
      </c>
      <c r="C2240" s="37" t="n">
        <v>3.7224</v>
      </c>
    </row>
    <row r="2241" customFormat="false" ht="15" hidden="false" customHeight="false" outlineLevel="0" collapsed="false">
      <c r="B2241" s="36" t="n">
        <v>42332</v>
      </c>
      <c r="C2241" s="37" t="n">
        <v>3.7075</v>
      </c>
    </row>
    <row r="2242" customFormat="false" ht="15" hidden="false" customHeight="false" outlineLevel="0" collapsed="false">
      <c r="B2242" s="36" t="n">
        <v>42333</v>
      </c>
      <c r="C2242" s="37" t="n">
        <v>3.7682</v>
      </c>
    </row>
    <row r="2243" customFormat="false" ht="15" hidden="false" customHeight="false" outlineLevel="0" collapsed="false">
      <c r="B2243" s="36" t="n">
        <v>42334</v>
      </c>
      <c r="C2243" s="37" t="n">
        <v>3.76</v>
      </c>
    </row>
    <row r="2244" customFormat="false" ht="15" hidden="false" customHeight="false" outlineLevel="0" collapsed="false">
      <c r="B2244" s="36" t="n">
        <v>42335</v>
      </c>
      <c r="C2244" s="37" t="n">
        <v>3.7392</v>
      </c>
    </row>
    <row r="2245" customFormat="false" ht="15" hidden="false" customHeight="false" outlineLevel="0" collapsed="false">
      <c r="B2245" s="36" t="n">
        <v>42338</v>
      </c>
      <c r="C2245" s="37" t="n">
        <v>3.8499</v>
      </c>
    </row>
    <row r="2246" customFormat="false" ht="15" hidden="false" customHeight="false" outlineLevel="0" collapsed="false">
      <c r="B2246" s="36" t="n">
        <v>42339</v>
      </c>
      <c r="C2246" s="37" t="n">
        <v>3.8739</v>
      </c>
    </row>
    <row r="2247" customFormat="false" ht="15" hidden="false" customHeight="false" outlineLevel="0" collapsed="false">
      <c r="B2247" s="36" t="n">
        <v>42340</v>
      </c>
      <c r="C2247" s="37" t="n">
        <v>3.8539</v>
      </c>
    </row>
    <row r="2248" customFormat="false" ht="15" hidden="false" customHeight="false" outlineLevel="0" collapsed="false">
      <c r="B2248" s="36" t="n">
        <v>42341</v>
      </c>
      <c r="C2248" s="37" t="n">
        <v>3.7964</v>
      </c>
    </row>
    <row r="2249" customFormat="false" ht="15" hidden="false" customHeight="false" outlineLevel="0" collapsed="false">
      <c r="B2249" s="36" t="n">
        <v>42342</v>
      </c>
      <c r="C2249" s="37" t="n">
        <v>3.7569</v>
      </c>
    </row>
    <row r="2250" customFormat="false" ht="15" hidden="false" customHeight="false" outlineLevel="0" collapsed="false">
      <c r="B2250" s="36" t="n">
        <v>42345</v>
      </c>
      <c r="C2250" s="37" t="n">
        <v>3.747</v>
      </c>
    </row>
    <row r="2251" customFormat="false" ht="15" hidden="false" customHeight="false" outlineLevel="0" collapsed="false">
      <c r="B2251" s="36" t="n">
        <v>42346</v>
      </c>
      <c r="C2251" s="37" t="n">
        <v>3.7915</v>
      </c>
    </row>
    <row r="2252" customFormat="false" ht="15" hidden="false" customHeight="false" outlineLevel="0" collapsed="false">
      <c r="B2252" s="36" t="n">
        <v>42347</v>
      </c>
      <c r="C2252" s="37" t="n">
        <v>3.7573</v>
      </c>
    </row>
    <row r="2253" customFormat="false" ht="15" hidden="false" customHeight="false" outlineLevel="0" collapsed="false">
      <c r="B2253" s="36" t="n">
        <v>42348</v>
      </c>
      <c r="C2253" s="37" t="n">
        <v>3.7679</v>
      </c>
    </row>
    <row r="2254" customFormat="false" ht="15" hidden="false" customHeight="false" outlineLevel="0" collapsed="false">
      <c r="B2254" s="36" t="n">
        <v>42349</v>
      </c>
      <c r="C2254" s="37" t="n">
        <v>3.8541</v>
      </c>
    </row>
    <row r="2255" customFormat="false" ht="15" hidden="false" customHeight="false" outlineLevel="0" collapsed="false">
      <c r="B2255" s="36" t="n">
        <v>42352</v>
      </c>
      <c r="C2255" s="37" t="n">
        <v>3.9017</v>
      </c>
    </row>
    <row r="2256" customFormat="false" ht="15" hidden="false" customHeight="false" outlineLevel="0" collapsed="false">
      <c r="B2256" s="36" t="n">
        <v>42353</v>
      </c>
      <c r="C2256" s="37" t="n">
        <v>3.8697</v>
      </c>
    </row>
    <row r="2257" customFormat="false" ht="15" hidden="false" customHeight="false" outlineLevel="0" collapsed="false">
      <c r="B2257" s="36" t="n">
        <v>42354</v>
      </c>
      <c r="C2257" s="37" t="n">
        <v>3.9351</v>
      </c>
    </row>
    <row r="2258" customFormat="false" ht="15" hidden="false" customHeight="false" outlineLevel="0" collapsed="false">
      <c r="B2258" s="36" t="n">
        <v>42355</v>
      </c>
      <c r="C2258" s="37" t="n">
        <v>3.8923</v>
      </c>
    </row>
    <row r="2259" customFormat="false" ht="15" hidden="false" customHeight="false" outlineLevel="0" collapsed="false">
      <c r="B2259" s="36" t="n">
        <v>42356</v>
      </c>
      <c r="C2259" s="37" t="n">
        <v>3.9056</v>
      </c>
    </row>
    <row r="2260" customFormat="false" ht="15" hidden="false" customHeight="false" outlineLevel="0" collapsed="false">
      <c r="B2260" s="36" t="n">
        <v>42359</v>
      </c>
      <c r="C2260" s="37" t="n">
        <v>3.9825</v>
      </c>
    </row>
    <row r="2261" customFormat="false" ht="15" hidden="false" customHeight="false" outlineLevel="0" collapsed="false">
      <c r="B2261" s="36" t="n">
        <v>42360</v>
      </c>
      <c r="C2261" s="37" t="n">
        <v>3.9764</v>
      </c>
    </row>
    <row r="2262" customFormat="false" ht="15" hidden="false" customHeight="false" outlineLevel="0" collapsed="false">
      <c r="B2262" s="36" t="n">
        <v>42361</v>
      </c>
      <c r="C2262" s="37" t="n">
        <v>3.9626</v>
      </c>
    </row>
    <row r="2263" customFormat="false" ht="15" hidden="false" customHeight="false" outlineLevel="0" collapsed="false">
      <c r="B2263" s="36" t="n">
        <v>42362</v>
      </c>
      <c r="C2263" s="37" t="n">
        <v>3.9511</v>
      </c>
    </row>
    <row r="2264" customFormat="false" ht="15" hidden="false" customHeight="false" outlineLevel="0" collapsed="false">
      <c r="B2264" s="36" t="n">
        <v>42366</v>
      </c>
      <c r="C2264" s="37" t="n">
        <v>3.918</v>
      </c>
    </row>
    <row r="2265" customFormat="false" ht="15" hidden="false" customHeight="false" outlineLevel="0" collapsed="false">
      <c r="B2265" s="36" t="n">
        <v>42367</v>
      </c>
      <c r="C2265" s="37" t="n">
        <v>3.8486</v>
      </c>
    </row>
    <row r="2266" customFormat="false" ht="15" hidden="false" customHeight="false" outlineLevel="0" collapsed="false">
      <c r="B2266" s="36" t="n">
        <v>42368</v>
      </c>
      <c r="C2266" s="37" t="n">
        <v>3.9042</v>
      </c>
    </row>
    <row r="2267" customFormat="false" ht="15" hidden="false" customHeight="false" outlineLevel="0" collapsed="false">
      <c r="B2267" s="36" t="n">
        <v>42369</v>
      </c>
      <c r="C2267" s="37" t="n">
        <v>3.9042</v>
      </c>
    </row>
    <row r="2268" customFormat="false" ht="15" hidden="false" customHeight="false" outlineLevel="0" collapsed="false">
      <c r="B2268" s="36" t="n">
        <v>42373</v>
      </c>
      <c r="C2268" s="37" t="n">
        <v>4.038</v>
      </c>
    </row>
    <row r="2269" customFormat="false" ht="15" hidden="false" customHeight="false" outlineLevel="0" collapsed="false">
      <c r="B2269" s="36" t="n">
        <v>42374</v>
      </c>
      <c r="C2269" s="37" t="n">
        <v>4.0108</v>
      </c>
    </row>
    <row r="2270" customFormat="false" ht="15" hidden="false" customHeight="false" outlineLevel="0" collapsed="false">
      <c r="B2270" s="36" t="n">
        <v>42375</v>
      </c>
      <c r="C2270" s="37" t="n">
        <v>4.0297</v>
      </c>
    </row>
    <row r="2271" customFormat="false" ht="15" hidden="false" customHeight="false" outlineLevel="0" collapsed="false">
      <c r="B2271" s="36" t="n">
        <v>42376</v>
      </c>
      <c r="C2271" s="37" t="n">
        <v>4.0469</v>
      </c>
    </row>
    <row r="2272" customFormat="false" ht="15" hidden="false" customHeight="false" outlineLevel="0" collapsed="false">
      <c r="B2272" s="36" t="n">
        <v>42377</v>
      </c>
      <c r="C2272" s="37" t="n">
        <v>4.0244</v>
      </c>
    </row>
    <row r="2273" customFormat="false" ht="15" hidden="false" customHeight="false" outlineLevel="0" collapsed="false">
      <c r="B2273" s="36" t="n">
        <v>42380</v>
      </c>
      <c r="C2273" s="37" t="n">
        <v>4.0147</v>
      </c>
    </row>
    <row r="2274" customFormat="false" ht="15" hidden="false" customHeight="false" outlineLevel="0" collapsed="false">
      <c r="B2274" s="36" t="n">
        <v>42381</v>
      </c>
      <c r="C2274" s="37" t="n">
        <v>4.0293</v>
      </c>
    </row>
    <row r="2275" customFormat="false" ht="15" hidden="false" customHeight="false" outlineLevel="0" collapsed="false">
      <c r="B2275" s="36" t="n">
        <v>42382</v>
      </c>
      <c r="C2275" s="37" t="n">
        <v>3.9857</v>
      </c>
    </row>
    <row r="2276" customFormat="false" ht="15" hidden="false" customHeight="false" outlineLevel="0" collapsed="false">
      <c r="B2276" s="36" t="n">
        <v>42383</v>
      </c>
      <c r="C2276" s="37" t="n">
        <v>4.0217</v>
      </c>
    </row>
    <row r="2277" customFormat="false" ht="15" hidden="false" customHeight="false" outlineLevel="0" collapsed="false">
      <c r="B2277" s="36" t="n">
        <v>42384</v>
      </c>
      <c r="C2277" s="37" t="n">
        <v>4.0396</v>
      </c>
    </row>
    <row r="2278" customFormat="false" ht="15" hidden="false" customHeight="false" outlineLevel="0" collapsed="false">
      <c r="B2278" s="36" t="n">
        <v>42387</v>
      </c>
      <c r="C2278" s="37" t="n">
        <v>4.0358</v>
      </c>
    </row>
    <row r="2279" customFormat="false" ht="15" hidden="false" customHeight="false" outlineLevel="0" collapsed="false">
      <c r="B2279" s="36" t="n">
        <v>42388</v>
      </c>
      <c r="C2279" s="37" t="n">
        <v>4.0297</v>
      </c>
    </row>
    <row r="2280" customFormat="false" ht="15" hidden="false" customHeight="false" outlineLevel="0" collapsed="false">
      <c r="B2280" s="36" t="n">
        <v>42389</v>
      </c>
      <c r="C2280" s="37" t="n">
        <v>4.0855</v>
      </c>
    </row>
    <row r="2281" customFormat="false" ht="15" hidden="false" customHeight="false" outlineLevel="0" collapsed="false">
      <c r="B2281" s="36" t="n">
        <v>42390</v>
      </c>
      <c r="C2281" s="37" t="n">
        <v>4.1552</v>
      </c>
    </row>
    <row r="2282" customFormat="false" ht="15" hidden="false" customHeight="false" outlineLevel="0" collapsed="false">
      <c r="B2282" s="36" t="n">
        <v>42391</v>
      </c>
      <c r="C2282" s="37" t="n">
        <v>4.1226</v>
      </c>
    </row>
    <row r="2283" customFormat="false" ht="15" hidden="false" customHeight="false" outlineLevel="0" collapsed="false">
      <c r="B2283" s="36" t="n">
        <v>42394</v>
      </c>
      <c r="C2283" s="37" t="n">
        <v>4.0991</v>
      </c>
    </row>
    <row r="2284" customFormat="false" ht="15" hidden="false" customHeight="false" outlineLevel="0" collapsed="false">
      <c r="B2284" s="36" t="n">
        <v>42395</v>
      </c>
      <c r="C2284" s="37" t="n">
        <v>4.0961</v>
      </c>
    </row>
    <row r="2285" customFormat="false" ht="15" hidden="false" customHeight="false" outlineLevel="0" collapsed="false">
      <c r="B2285" s="36" t="n">
        <v>42396</v>
      </c>
      <c r="C2285" s="37" t="n">
        <v>4.0441</v>
      </c>
    </row>
    <row r="2286" customFormat="false" ht="15" hidden="false" customHeight="false" outlineLevel="0" collapsed="false">
      <c r="B2286" s="36" t="n">
        <v>42397</v>
      </c>
      <c r="C2286" s="37" t="n">
        <v>4.0832</v>
      </c>
    </row>
    <row r="2287" customFormat="false" ht="15" hidden="false" customHeight="false" outlineLevel="0" collapsed="false">
      <c r="B2287" s="36" t="n">
        <v>42398</v>
      </c>
      <c r="C2287" s="37" t="n">
        <v>4.0422</v>
      </c>
    </row>
    <row r="2288" customFormat="false" ht="15" hidden="false" customHeight="false" outlineLevel="0" collapsed="false">
      <c r="B2288" s="36" t="n">
        <v>42401</v>
      </c>
      <c r="C2288" s="37" t="n">
        <v>3.9979</v>
      </c>
    </row>
    <row r="2289" customFormat="false" ht="15" hidden="false" customHeight="false" outlineLevel="0" collapsed="false">
      <c r="B2289" s="36" t="n">
        <v>42402</v>
      </c>
      <c r="C2289" s="37" t="n">
        <v>3.9913</v>
      </c>
    </row>
    <row r="2290" customFormat="false" ht="15" hidden="false" customHeight="false" outlineLevel="0" collapsed="false">
      <c r="B2290" s="36" t="n">
        <v>42403</v>
      </c>
      <c r="C2290" s="37" t="n">
        <v>3.9552</v>
      </c>
    </row>
    <row r="2291" customFormat="false" ht="15" hidden="false" customHeight="false" outlineLevel="0" collapsed="false">
      <c r="B2291" s="36" t="n">
        <v>42404</v>
      </c>
      <c r="C2291" s="37" t="n">
        <v>3.8646</v>
      </c>
    </row>
    <row r="2292" customFormat="false" ht="15" hidden="false" customHeight="false" outlineLevel="0" collapsed="false">
      <c r="B2292" s="36" t="n">
        <v>42405</v>
      </c>
      <c r="C2292" s="37" t="n">
        <v>3.8969</v>
      </c>
    </row>
    <row r="2293" customFormat="false" ht="15" hidden="false" customHeight="false" outlineLevel="0" collapsed="false">
      <c r="B2293" s="36" t="n">
        <v>42410</v>
      </c>
      <c r="C2293" s="37" t="n">
        <v>3.9406</v>
      </c>
    </row>
    <row r="2294" customFormat="false" ht="15" hidden="false" customHeight="false" outlineLevel="0" collapsed="false">
      <c r="B2294" s="36" t="n">
        <v>42411</v>
      </c>
      <c r="C2294" s="37" t="n">
        <v>3.9636</v>
      </c>
    </row>
    <row r="2295" customFormat="false" ht="15" hidden="false" customHeight="false" outlineLevel="0" collapsed="false">
      <c r="B2295" s="36" t="n">
        <v>42412</v>
      </c>
      <c r="C2295" s="37" t="n">
        <v>3.9884</v>
      </c>
    </row>
    <row r="2296" customFormat="false" ht="15" hidden="false" customHeight="false" outlineLevel="0" collapsed="false">
      <c r="B2296" s="36" t="n">
        <v>42415</v>
      </c>
      <c r="C2296" s="37" t="n">
        <v>3.9879</v>
      </c>
    </row>
    <row r="2297" customFormat="false" ht="15" hidden="false" customHeight="false" outlineLevel="0" collapsed="false">
      <c r="B2297" s="36" t="n">
        <v>42416</v>
      </c>
      <c r="C2297" s="37" t="n">
        <v>4.0207</v>
      </c>
    </row>
    <row r="2298" customFormat="false" ht="15" hidden="false" customHeight="false" outlineLevel="0" collapsed="false">
      <c r="B2298" s="36" t="n">
        <v>42417</v>
      </c>
      <c r="C2298" s="37" t="n">
        <v>4.0312</v>
      </c>
    </row>
    <row r="2299" customFormat="false" ht="15" hidden="false" customHeight="false" outlineLevel="0" collapsed="false">
      <c r="B2299" s="36" t="n">
        <v>42418</v>
      </c>
      <c r="C2299" s="37" t="n">
        <v>4.0084</v>
      </c>
    </row>
    <row r="2300" customFormat="false" ht="15" hidden="false" customHeight="false" outlineLevel="0" collapsed="false">
      <c r="B2300" s="36" t="n">
        <v>42419</v>
      </c>
      <c r="C2300" s="37" t="n">
        <v>4.0486</v>
      </c>
    </row>
    <row r="2301" customFormat="false" ht="15" hidden="false" customHeight="false" outlineLevel="0" collapsed="false">
      <c r="B2301" s="36" t="n">
        <v>42422</v>
      </c>
      <c r="C2301" s="37" t="n">
        <v>3.9612</v>
      </c>
    </row>
    <row r="2302" customFormat="false" ht="15" hidden="false" customHeight="false" outlineLevel="0" collapsed="false">
      <c r="B2302" s="36" t="n">
        <v>42423</v>
      </c>
      <c r="C2302" s="37" t="n">
        <v>3.9678</v>
      </c>
    </row>
    <row r="2303" customFormat="false" ht="15" hidden="false" customHeight="false" outlineLevel="0" collapsed="false">
      <c r="B2303" s="36" t="n">
        <v>42424</v>
      </c>
      <c r="C2303" s="37" t="n">
        <v>3.9894</v>
      </c>
    </row>
    <row r="2304" customFormat="false" ht="15" hidden="false" customHeight="false" outlineLevel="0" collapsed="false">
      <c r="B2304" s="36" t="n">
        <v>42425</v>
      </c>
      <c r="C2304" s="37" t="n">
        <v>3.9394</v>
      </c>
    </row>
    <row r="2305" customFormat="false" ht="15" hidden="false" customHeight="false" outlineLevel="0" collapsed="false">
      <c r="B2305" s="36" t="n">
        <v>42426</v>
      </c>
      <c r="C2305" s="37" t="n">
        <v>3.9571</v>
      </c>
    </row>
    <row r="2306" customFormat="false" ht="15" hidden="false" customHeight="false" outlineLevel="0" collapsed="false">
      <c r="B2306" s="36" t="n">
        <v>42429</v>
      </c>
      <c r="C2306" s="37" t="n">
        <v>3.979</v>
      </c>
    </row>
    <row r="2307" customFormat="false" ht="15" hidden="false" customHeight="false" outlineLevel="0" collapsed="false">
      <c r="B2307" s="36" t="n">
        <v>42430</v>
      </c>
      <c r="C2307" s="37" t="n">
        <v>3.9907</v>
      </c>
    </row>
    <row r="2308" customFormat="false" ht="15" hidden="false" customHeight="false" outlineLevel="0" collapsed="false">
      <c r="B2308" s="36" t="n">
        <v>42431</v>
      </c>
      <c r="C2308" s="37" t="n">
        <v>3.911</v>
      </c>
    </row>
    <row r="2309" customFormat="false" ht="15" hidden="false" customHeight="false" outlineLevel="0" collapsed="false">
      <c r="B2309" s="36" t="n">
        <v>42432</v>
      </c>
      <c r="C2309" s="37" t="n">
        <v>3.8498</v>
      </c>
    </row>
    <row r="2310" customFormat="false" ht="15" hidden="false" customHeight="false" outlineLevel="0" collapsed="false">
      <c r="B2310" s="36" t="n">
        <v>42433</v>
      </c>
      <c r="C2310" s="37" t="n">
        <v>3.7182</v>
      </c>
    </row>
    <row r="2311" customFormat="false" ht="15" hidden="false" customHeight="false" outlineLevel="0" collapsed="false">
      <c r="B2311" s="36" t="n">
        <v>42436</v>
      </c>
      <c r="C2311" s="37" t="n">
        <v>3.7708</v>
      </c>
    </row>
    <row r="2312" customFormat="false" ht="15" hidden="false" customHeight="false" outlineLevel="0" collapsed="false">
      <c r="B2312" s="36" t="n">
        <v>42437</v>
      </c>
      <c r="C2312" s="37" t="n">
        <v>3.7807</v>
      </c>
    </row>
    <row r="2313" customFormat="false" ht="15" hidden="false" customHeight="false" outlineLevel="0" collapsed="false">
      <c r="B2313" s="36" t="n">
        <v>42438</v>
      </c>
      <c r="C2313" s="37" t="n">
        <v>3.7031</v>
      </c>
    </row>
    <row r="2314" customFormat="false" ht="15" hidden="false" customHeight="false" outlineLevel="0" collapsed="false">
      <c r="B2314" s="36" t="n">
        <v>42439</v>
      </c>
      <c r="C2314" s="37" t="n">
        <v>3.6694</v>
      </c>
    </row>
    <row r="2315" customFormat="false" ht="15" hidden="false" customHeight="false" outlineLevel="0" collapsed="false">
      <c r="B2315" s="36" t="n">
        <v>42440</v>
      </c>
      <c r="C2315" s="37" t="n">
        <v>3.6265</v>
      </c>
    </row>
    <row r="2316" customFormat="false" ht="15" hidden="false" customHeight="false" outlineLevel="0" collapsed="false">
      <c r="B2316" s="36" t="n">
        <v>42443</v>
      </c>
      <c r="C2316" s="37" t="n">
        <v>3.6232</v>
      </c>
    </row>
    <row r="2317" customFormat="false" ht="15" hidden="false" customHeight="false" outlineLevel="0" collapsed="false">
      <c r="B2317" s="36" t="n">
        <v>42444</v>
      </c>
      <c r="C2317" s="37" t="n">
        <v>3.711</v>
      </c>
    </row>
    <row r="2318" customFormat="false" ht="15" hidden="false" customHeight="false" outlineLevel="0" collapsed="false">
      <c r="B2318" s="36" t="n">
        <v>42445</v>
      </c>
      <c r="C2318" s="37" t="n">
        <v>3.8073</v>
      </c>
    </row>
    <row r="2319" customFormat="false" ht="15" hidden="false" customHeight="false" outlineLevel="0" collapsed="false">
      <c r="B2319" s="36" t="n">
        <v>42446</v>
      </c>
      <c r="C2319" s="37" t="n">
        <v>3.6439</v>
      </c>
    </row>
    <row r="2320" customFormat="false" ht="15" hidden="false" customHeight="false" outlineLevel="0" collapsed="false">
      <c r="B2320" s="36" t="n">
        <v>42447</v>
      </c>
      <c r="C2320" s="37" t="n">
        <v>3.614</v>
      </c>
    </row>
    <row r="2321" customFormat="false" ht="15" hidden="false" customHeight="false" outlineLevel="0" collapsed="false">
      <c r="B2321" s="36" t="n">
        <v>42450</v>
      </c>
      <c r="C2321" s="37" t="n">
        <v>3.6223</v>
      </c>
    </row>
    <row r="2322" customFormat="false" ht="15" hidden="false" customHeight="false" outlineLevel="0" collapsed="false">
      <c r="B2322" s="36" t="n">
        <v>42451</v>
      </c>
      <c r="C2322" s="37" t="n">
        <v>3.6067</v>
      </c>
    </row>
    <row r="2323" customFormat="false" ht="15" hidden="false" customHeight="false" outlineLevel="0" collapsed="false">
      <c r="B2323" s="36" t="n">
        <v>42452</v>
      </c>
      <c r="C2323" s="37" t="n">
        <v>3.6525</v>
      </c>
    </row>
    <row r="2324" customFormat="false" ht="15" hidden="false" customHeight="false" outlineLevel="0" collapsed="false">
      <c r="B2324" s="36" t="n">
        <v>42453</v>
      </c>
      <c r="C2324" s="37" t="n">
        <v>3.6942</v>
      </c>
    </row>
    <row r="2325" customFormat="false" ht="15" hidden="false" customHeight="false" outlineLevel="0" collapsed="false">
      <c r="B2325" s="36" t="n">
        <v>42457</v>
      </c>
      <c r="C2325" s="37" t="n">
        <v>3.6401</v>
      </c>
    </row>
    <row r="2326" customFormat="false" ht="15" hidden="false" customHeight="false" outlineLevel="0" collapsed="false">
      <c r="B2326" s="36" t="n">
        <v>42458</v>
      </c>
      <c r="C2326" s="37" t="n">
        <v>3.6681</v>
      </c>
    </row>
    <row r="2327" customFormat="false" ht="15" hidden="false" customHeight="false" outlineLevel="0" collapsed="false">
      <c r="B2327" s="36" t="n">
        <v>42459</v>
      </c>
      <c r="C2327" s="37" t="n">
        <v>3.611</v>
      </c>
    </row>
    <row r="2328" customFormat="false" ht="15" hidden="false" customHeight="false" outlineLevel="0" collapsed="false">
      <c r="B2328" s="36" t="n">
        <v>42460</v>
      </c>
      <c r="C2328" s="37" t="n">
        <v>3.5583</v>
      </c>
    </row>
    <row r="2329" customFormat="false" ht="15" hidden="false" customHeight="false" outlineLevel="0" collapsed="false">
      <c r="B2329" s="36" t="n">
        <v>42461</v>
      </c>
      <c r="C2329" s="37" t="n">
        <v>3.5793</v>
      </c>
    </row>
    <row r="2330" customFormat="false" ht="15" hidden="false" customHeight="false" outlineLevel="0" collapsed="false">
      <c r="B2330" s="36" t="n">
        <v>42464</v>
      </c>
      <c r="C2330" s="37" t="n">
        <v>3.5865</v>
      </c>
    </row>
    <row r="2331" customFormat="false" ht="15" hidden="false" customHeight="false" outlineLevel="0" collapsed="false">
      <c r="B2331" s="36" t="n">
        <v>42465</v>
      </c>
      <c r="C2331" s="37" t="n">
        <v>3.6575</v>
      </c>
    </row>
    <row r="2332" customFormat="false" ht="15" hidden="false" customHeight="false" outlineLevel="0" collapsed="false">
      <c r="B2332" s="36" t="n">
        <v>42466</v>
      </c>
      <c r="C2332" s="37" t="n">
        <v>3.6743</v>
      </c>
    </row>
    <row r="2333" customFormat="false" ht="15" hidden="false" customHeight="false" outlineLevel="0" collapsed="false">
      <c r="B2333" s="36" t="n">
        <v>42467</v>
      </c>
      <c r="C2333" s="37" t="n">
        <v>3.6915</v>
      </c>
    </row>
    <row r="2334" customFormat="false" ht="15" hidden="false" customHeight="false" outlineLevel="0" collapsed="false">
      <c r="B2334" s="36" t="n">
        <v>42468</v>
      </c>
      <c r="C2334" s="37" t="n">
        <v>3.6379</v>
      </c>
    </row>
    <row r="2335" customFormat="false" ht="15" hidden="false" customHeight="false" outlineLevel="0" collapsed="false">
      <c r="B2335" s="36" t="n">
        <v>42471</v>
      </c>
      <c r="C2335" s="37" t="n">
        <v>3.5278</v>
      </c>
    </row>
    <row r="2336" customFormat="false" ht="15" hidden="false" customHeight="false" outlineLevel="0" collapsed="false">
      <c r="B2336" s="36" t="n">
        <v>42472</v>
      </c>
      <c r="C2336" s="37" t="n">
        <v>3.54</v>
      </c>
    </row>
    <row r="2337" customFormat="false" ht="15" hidden="false" customHeight="false" outlineLevel="0" collapsed="false">
      <c r="B2337" s="36" t="n">
        <v>42473</v>
      </c>
      <c r="C2337" s="37" t="n">
        <v>3.5423</v>
      </c>
    </row>
    <row r="2338" customFormat="false" ht="15" hidden="false" customHeight="false" outlineLevel="0" collapsed="false">
      <c r="B2338" s="36" t="n">
        <v>42474</v>
      </c>
      <c r="C2338" s="37" t="n">
        <v>3.512</v>
      </c>
    </row>
    <row r="2339" customFormat="false" ht="15" hidden="false" customHeight="false" outlineLevel="0" collapsed="false">
      <c r="B2339" s="36" t="n">
        <v>42475</v>
      </c>
      <c r="C2339" s="37" t="n">
        <v>3.527</v>
      </c>
    </row>
    <row r="2340" customFormat="false" ht="15" hidden="false" customHeight="false" outlineLevel="0" collapsed="false">
      <c r="B2340" s="36" t="n">
        <v>42478</v>
      </c>
      <c r="C2340" s="37" t="n">
        <v>3.5898</v>
      </c>
    </row>
    <row r="2341" customFormat="false" ht="15" hidden="false" customHeight="false" outlineLevel="0" collapsed="false">
      <c r="B2341" s="36" t="n">
        <v>42479</v>
      </c>
      <c r="C2341" s="37" t="n">
        <v>3.5532</v>
      </c>
    </row>
    <row r="2342" customFormat="false" ht="15" hidden="false" customHeight="false" outlineLevel="0" collapsed="false">
      <c r="B2342" s="36" t="n">
        <v>42480</v>
      </c>
      <c r="C2342" s="37" t="n">
        <v>3.5497</v>
      </c>
    </row>
    <row r="2343" customFormat="false" ht="15" hidden="false" customHeight="false" outlineLevel="0" collapsed="false">
      <c r="B2343" s="36" t="n">
        <v>42482</v>
      </c>
      <c r="C2343" s="37" t="n">
        <v>3.5823</v>
      </c>
    </row>
    <row r="2344" customFormat="false" ht="15" hidden="false" customHeight="false" outlineLevel="0" collapsed="false">
      <c r="B2344" s="36" t="n">
        <v>42485</v>
      </c>
      <c r="C2344" s="37" t="n">
        <v>3.5466</v>
      </c>
    </row>
    <row r="2345" customFormat="false" ht="15" hidden="false" customHeight="false" outlineLevel="0" collapsed="false">
      <c r="B2345" s="36" t="n">
        <v>42486</v>
      </c>
      <c r="C2345" s="37" t="n">
        <v>3.5294</v>
      </c>
    </row>
    <row r="2346" customFormat="false" ht="15" hidden="false" customHeight="false" outlineLevel="0" collapsed="false">
      <c r="B2346" s="36" t="n">
        <v>42487</v>
      </c>
      <c r="C2346" s="37" t="n">
        <v>3.5289</v>
      </c>
    </row>
    <row r="2347" customFormat="false" ht="15" hidden="false" customHeight="false" outlineLevel="0" collapsed="false">
      <c r="B2347" s="36" t="n">
        <v>42488</v>
      </c>
      <c r="C2347" s="37" t="n">
        <v>3.4986</v>
      </c>
    </row>
    <row r="2348" customFormat="false" ht="15" hidden="false" customHeight="false" outlineLevel="0" collapsed="false">
      <c r="B2348" s="36" t="n">
        <v>42489</v>
      </c>
      <c r="C2348" s="37" t="n">
        <v>3.4502</v>
      </c>
    </row>
    <row r="2349" customFormat="false" ht="15" hidden="false" customHeight="false" outlineLevel="0" collapsed="false">
      <c r="B2349" s="36" t="n">
        <v>42492</v>
      </c>
      <c r="C2349" s="37" t="n">
        <v>3.4985</v>
      </c>
    </row>
    <row r="2350" customFormat="false" ht="15" hidden="false" customHeight="false" outlineLevel="0" collapsed="false">
      <c r="B2350" s="36" t="n">
        <v>42493</v>
      </c>
      <c r="C2350" s="37" t="n">
        <v>3.5544</v>
      </c>
    </row>
    <row r="2351" customFormat="false" ht="15" hidden="false" customHeight="false" outlineLevel="0" collapsed="false">
      <c r="B2351" s="36" t="n">
        <v>42494</v>
      </c>
      <c r="C2351" s="37" t="n">
        <v>3.5391</v>
      </c>
    </row>
    <row r="2352" customFormat="false" ht="15" hidden="false" customHeight="false" outlineLevel="0" collapsed="false">
      <c r="B2352" s="36" t="n">
        <v>42495</v>
      </c>
      <c r="C2352" s="37" t="n">
        <v>3.529</v>
      </c>
    </row>
    <row r="2353" customFormat="false" ht="15" hidden="false" customHeight="false" outlineLevel="0" collapsed="false">
      <c r="B2353" s="36" t="n">
        <v>42496</v>
      </c>
      <c r="C2353" s="37" t="n">
        <v>3.5356</v>
      </c>
    </row>
    <row r="2354" customFormat="false" ht="15" hidden="false" customHeight="false" outlineLevel="0" collapsed="false">
      <c r="B2354" s="36" t="n">
        <v>42499</v>
      </c>
      <c r="C2354" s="37" t="n">
        <v>3.538</v>
      </c>
    </row>
    <row r="2355" customFormat="false" ht="15" hidden="false" customHeight="false" outlineLevel="0" collapsed="false">
      <c r="B2355" s="36" t="n">
        <v>42500</v>
      </c>
      <c r="C2355" s="37" t="n">
        <v>3.4766</v>
      </c>
    </row>
    <row r="2356" customFormat="false" ht="15" hidden="false" customHeight="false" outlineLevel="0" collapsed="false">
      <c r="B2356" s="36" t="n">
        <v>42501</v>
      </c>
      <c r="C2356" s="37" t="n">
        <v>3.4639</v>
      </c>
    </row>
    <row r="2357" customFormat="false" ht="15" hidden="false" customHeight="false" outlineLevel="0" collapsed="false">
      <c r="B2357" s="36" t="n">
        <v>42502</v>
      </c>
      <c r="C2357" s="37" t="n">
        <v>3.4871</v>
      </c>
    </row>
    <row r="2358" customFormat="false" ht="15" hidden="false" customHeight="false" outlineLevel="0" collapsed="false">
      <c r="B2358" s="36" t="n">
        <v>42503</v>
      </c>
      <c r="C2358" s="37" t="n">
        <v>3.5035</v>
      </c>
    </row>
    <row r="2359" customFormat="false" ht="15" hidden="false" customHeight="false" outlineLevel="0" collapsed="false">
      <c r="B2359" s="36" t="n">
        <v>42506</v>
      </c>
      <c r="C2359" s="37" t="n">
        <v>3.5029</v>
      </c>
    </row>
    <row r="2360" customFormat="false" ht="15" hidden="false" customHeight="false" outlineLevel="0" collapsed="false">
      <c r="B2360" s="36" t="n">
        <v>42507</v>
      </c>
      <c r="C2360" s="37" t="n">
        <v>3.5031</v>
      </c>
    </row>
    <row r="2361" customFormat="false" ht="15" hidden="false" customHeight="false" outlineLevel="0" collapsed="false">
      <c r="B2361" s="36" t="n">
        <v>42508</v>
      </c>
      <c r="C2361" s="37" t="n">
        <v>3.5362</v>
      </c>
    </row>
    <row r="2362" customFormat="false" ht="15" hidden="false" customHeight="false" outlineLevel="0" collapsed="false">
      <c r="B2362" s="36" t="n">
        <v>42509</v>
      </c>
      <c r="C2362" s="37" t="n">
        <v>3.5997</v>
      </c>
    </row>
    <row r="2363" customFormat="false" ht="15" hidden="false" customHeight="false" outlineLevel="0" collapsed="false">
      <c r="B2363" s="36" t="n">
        <v>42510</v>
      </c>
      <c r="C2363" s="37" t="n">
        <v>3.5413</v>
      </c>
    </row>
    <row r="2364" customFormat="false" ht="15" hidden="false" customHeight="false" outlineLevel="0" collapsed="false">
      <c r="B2364" s="36" t="n">
        <v>42513</v>
      </c>
      <c r="C2364" s="37" t="n">
        <v>3.5654</v>
      </c>
    </row>
    <row r="2365" customFormat="false" ht="15" hidden="false" customHeight="false" outlineLevel="0" collapsed="false">
      <c r="B2365" s="36" t="n">
        <v>42514</v>
      </c>
      <c r="C2365" s="37" t="n">
        <v>3.5485</v>
      </c>
    </row>
    <row r="2366" customFormat="false" ht="15" hidden="false" customHeight="false" outlineLevel="0" collapsed="false">
      <c r="B2366" s="36" t="n">
        <v>42515</v>
      </c>
      <c r="C2366" s="37" t="n">
        <v>3.5798</v>
      </c>
    </row>
    <row r="2367" customFormat="false" ht="15" hidden="false" customHeight="false" outlineLevel="0" collapsed="false">
      <c r="B2367" s="36" t="n">
        <v>42517</v>
      </c>
      <c r="C2367" s="37" t="n">
        <v>3.6162</v>
      </c>
    </row>
    <row r="2368" customFormat="false" ht="15" hidden="false" customHeight="false" outlineLevel="0" collapsed="false">
      <c r="B2368" s="36" t="n">
        <v>42520</v>
      </c>
      <c r="C2368" s="37" t="n">
        <v>3.5991</v>
      </c>
    </row>
    <row r="2369" customFormat="false" ht="15" hidden="false" customHeight="false" outlineLevel="0" collapsed="false">
      <c r="B2369" s="36" t="n">
        <v>42521</v>
      </c>
      <c r="C2369" s="37" t="n">
        <v>3.5945</v>
      </c>
    </row>
    <row r="2370" customFormat="false" ht="15" hidden="false" customHeight="false" outlineLevel="0" collapsed="false">
      <c r="B2370" s="36" t="n">
        <v>42522</v>
      </c>
      <c r="C2370" s="37" t="n">
        <v>3.612</v>
      </c>
    </row>
    <row r="2371" customFormat="false" ht="15" hidden="false" customHeight="false" outlineLevel="0" collapsed="false">
      <c r="B2371" s="36" t="n">
        <v>42523</v>
      </c>
      <c r="C2371" s="37" t="n">
        <v>3.5955</v>
      </c>
    </row>
    <row r="2372" customFormat="false" ht="15" hidden="false" customHeight="false" outlineLevel="0" collapsed="false">
      <c r="B2372" s="36" t="n">
        <v>42524</v>
      </c>
      <c r="C2372" s="37" t="n">
        <v>3.5403</v>
      </c>
    </row>
    <row r="2373" customFormat="false" ht="15" hidden="false" customHeight="false" outlineLevel="0" collapsed="false">
      <c r="B2373" s="36" t="n">
        <v>42527</v>
      </c>
      <c r="C2373" s="37" t="n">
        <v>3.5092</v>
      </c>
    </row>
    <row r="2374" customFormat="false" ht="15" hidden="false" customHeight="false" outlineLevel="0" collapsed="false">
      <c r="B2374" s="36" t="n">
        <v>42528</v>
      </c>
      <c r="C2374" s="37" t="n">
        <v>3.4739</v>
      </c>
    </row>
    <row r="2375" customFormat="false" ht="15" hidden="false" customHeight="false" outlineLevel="0" collapsed="false">
      <c r="B2375" s="36" t="n">
        <v>42529</v>
      </c>
      <c r="C2375" s="37" t="n">
        <v>3.3892</v>
      </c>
    </row>
    <row r="2376" customFormat="false" ht="15" hidden="false" customHeight="false" outlineLevel="0" collapsed="false">
      <c r="B2376" s="36" t="n">
        <v>42530</v>
      </c>
      <c r="C2376" s="37" t="n">
        <v>3.3811</v>
      </c>
    </row>
    <row r="2377" customFormat="false" ht="15" hidden="false" customHeight="false" outlineLevel="0" collapsed="false">
      <c r="B2377" s="36" t="n">
        <v>42531</v>
      </c>
      <c r="C2377" s="37" t="n">
        <v>3.4255</v>
      </c>
    </row>
    <row r="2378" customFormat="false" ht="15" hidden="false" customHeight="false" outlineLevel="0" collapsed="false">
      <c r="B2378" s="36" t="n">
        <v>42534</v>
      </c>
      <c r="C2378" s="37" t="n">
        <v>3.4527</v>
      </c>
    </row>
    <row r="2379" customFormat="false" ht="15" hidden="false" customHeight="false" outlineLevel="0" collapsed="false">
      <c r="B2379" s="36" t="n">
        <v>42535</v>
      </c>
      <c r="C2379" s="37" t="n">
        <v>3.4833</v>
      </c>
    </row>
    <row r="2380" customFormat="false" ht="15" hidden="false" customHeight="false" outlineLevel="0" collapsed="false">
      <c r="B2380" s="36" t="n">
        <v>42536</v>
      </c>
      <c r="C2380" s="37" t="n">
        <v>3.4762</v>
      </c>
    </row>
    <row r="2381" customFormat="false" ht="15" hidden="false" customHeight="false" outlineLevel="0" collapsed="false">
      <c r="B2381" s="36" t="n">
        <v>42537</v>
      </c>
      <c r="C2381" s="37" t="n">
        <v>3.4898</v>
      </c>
    </row>
    <row r="2382" customFormat="false" ht="15" hidden="false" customHeight="false" outlineLevel="0" collapsed="false">
      <c r="B2382" s="36" t="n">
        <v>42538</v>
      </c>
      <c r="C2382" s="37" t="n">
        <v>3.4366</v>
      </c>
    </row>
    <row r="2383" customFormat="false" ht="15" hidden="false" customHeight="false" outlineLevel="0" collapsed="false">
      <c r="B2383" s="36" t="n">
        <v>42541</v>
      </c>
      <c r="C2383" s="37" t="n">
        <v>3.3829</v>
      </c>
    </row>
    <row r="2384" customFormat="false" ht="15" hidden="false" customHeight="false" outlineLevel="0" collapsed="false">
      <c r="B2384" s="36" t="n">
        <v>42542</v>
      </c>
      <c r="C2384" s="37" t="n">
        <v>3.3891</v>
      </c>
    </row>
    <row r="2385" customFormat="false" ht="15" hidden="false" customHeight="false" outlineLevel="0" collapsed="false">
      <c r="B2385" s="36" t="n">
        <v>42543</v>
      </c>
      <c r="C2385" s="37" t="n">
        <v>3.3877</v>
      </c>
    </row>
    <row r="2386" customFormat="false" ht="15" hidden="false" customHeight="false" outlineLevel="0" collapsed="false">
      <c r="B2386" s="36" t="n">
        <v>42544</v>
      </c>
      <c r="C2386" s="37" t="n">
        <v>3.3527</v>
      </c>
    </row>
    <row r="2387" customFormat="false" ht="15" hidden="false" customHeight="false" outlineLevel="0" collapsed="false">
      <c r="B2387" s="36" t="n">
        <v>42545</v>
      </c>
      <c r="C2387" s="37" t="n">
        <v>3.3766</v>
      </c>
    </row>
    <row r="2388" customFormat="false" ht="15" hidden="false" customHeight="false" outlineLevel="0" collapsed="false">
      <c r="B2388" s="36" t="n">
        <v>42548</v>
      </c>
      <c r="C2388" s="37" t="n">
        <v>3.3928</v>
      </c>
    </row>
    <row r="2389" customFormat="false" ht="15" hidden="false" customHeight="false" outlineLevel="0" collapsed="false">
      <c r="B2389" s="36" t="n">
        <v>42549</v>
      </c>
      <c r="C2389" s="37" t="n">
        <v>3.3261</v>
      </c>
    </row>
    <row r="2390" customFormat="false" ht="15" hidden="false" customHeight="false" outlineLevel="0" collapsed="false">
      <c r="B2390" s="36" t="n">
        <v>42550</v>
      </c>
      <c r="C2390" s="37" t="n">
        <v>3.2429</v>
      </c>
    </row>
    <row r="2391" customFormat="false" ht="15" hidden="false" customHeight="false" outlineLevel="0" collapsed="false">
      <c r="B2391" s="36" t="n">
        <v>42551</v>
      </c>
      <c r="C2391" s="37" t="n">
        <v>3.2092</v>
      </c>
    </row>
    <row r="2392" customFormat="false" ht="15" hidden="false" customHeight="false" outlineLevel="0" collapsed="false">
      <c r="B2392" s="36" t="n">
        <v>42552</v>
      </c>
      <c r="C2392" s="37" t="n">
        <v>3.2292</v>
      </c>
    </row>
    <row r="2393" customFormat="false" ht="15" hidden="false" customHeight="false" outlineLevel="0" collapsed="false">
      <c r="B2393" s="36" t="n">
        <v>42555</v>
      </c>
      <c r="C2393" s="37" t="n">
        <v>3.2474</v>
      </c>
    </row>
    <row r="2394" customFormat="false" ht="15" hidden="false" customHeight="false" outlineLevel="0" collapsed="false">
      <c r="B2394" s="36" t="n">
        <v>42556</v>
      </c>
      <c r="C2394" s="37" t="n">
        <v>3.2898</v>
      </c>
    </row>
    <row r="2395" customFormat="false" ht="15" hidden="false" customHeight="false" outlineLevel="0" collapsed="false">
      <c r="B2395" s="36" t="n">
        <v>42557</v>
      </c>
      <c r="C2395" s="37" t="n">
        <v>3.3236</v>
      </c>
    </row>
    <row r="2396" customFormat="false" ht="15" hidden="false" customHeight="false" outlineLevel="0" collapsed="false">
      <c r="B2396" s="36" t="n">
        <v>42558</v>
      </c>
      <c r="C2396" s="37" t="n">
        <v>3.3382</v>
      </c>
    </row>
    <row r="2397" customFormat="false" ht="15" hidden="false" customHeight="false" outlineLevel="0" collapsed="false">
      <c r="B2397" s="36" t="n">
        <v>42559</v>
      </c>
      <c r="C2397" s="37" t="n">
        <v>3.2962</v>
      </c>
    </row>
    <row r="2398" customFormat="false" ht="15" hidden="false" customHeight="false" outlineLevel="0" collapsed="false">
      <c r="B2398" s="36" t="n">
        <v>42562</v>
      </c>
      <c r="C2398" s="37" t="n">
        <v>3.3025</v>
      </c>
    </row>
    <row r="2399" customFormat="false" ht="15" hidden="false" customHeight="false" outlineLevel="0" collapsed="false">
      <c r="B2399" s="36" t="n">
        <v>42563</v>
      </c>
      <c r="C2399" s="37" t="n">
        <v>3.2744</v>
      </c>
    </row>
    <row r="2400" customFormat="false" ht="15" hidden="false" customHeight="false" outlineLevel="0" collapsed="false">
      <c r="B2400" s="36" t="n">
        <v>42564</v>
      </c>
      <c r="C2400" s="37" t="n">
        <v>3.289</v>
      </c>
    </row>
    <row r="2401" customFormat="false" ht="15" hidden="false" customHeight="false" outlineLevel="0" collapsed="false">
      <c r="B2401" s="36" t="n">
        <v>42565</v>
      </c>
      <c r="C2401" s="37" t="n">
        <v>3.2305</v>
      </c>
    </row>
    <row r="2402" customFormat="false" ht="15" hidden="false" customHeight="false" outlineLevel="0" collapsed="false">
      <c r="B2402" s="36" t="n">
        <v>42566</v>
      </c>
      <c r="C2402" s="37" t="n">
        <v>3.265</v>
      </c>
    </row>
    <row r="2403" customFormat="false" ht="15" hidden="false" customHeight="false" outlineLevel="0" collapsed="false">
      <c r="B2403" s="36" t="n">
        <v>42569</v>
      </c>
      <c r="C2403" s="37" t="n">
        <v>3.2628</v>
      </c>
    </row>
    <row r="2404" customFormat="false" ht="15" hidden="false" customHeight="false" outlineLevel="0" collapsed="false">
      <c r="B2404" s="36" t="n">
        <v>42570</v>
      </c>
      <c r="C2404" s="37" t="n">
        <v>3.2795</v>
      </c>
    </row>
    <row r="2405" customFormat="false" ht="15" hidden="false" customHeight="false" outlineLevel="0" collapsed="false">
      <c r="B2405" s="36" t="n">
        <v>42571</v>
      </c>
      <c r="C2405" s="37" t="n">
        <v>3.2506</v>
      </c>
    </row>
    <row r="2406" customFormat="false" ht="15" hidden="false" customHeight="false" outlineLevel="0" collapsed="false">
      <c r="B2406" s="36" t="n">
        <v>42572</v>
      </c>
      <c r="C2406" s="37" t="n">
        <v>3.2579</v>
      </c>
    </row>
    <row r="2407" customFormat="false" ht="15" hidden="false" customHeight="false" outlineLevel="0" collapsed="false">
      <c r="B2407" s="36" t="n">
        <v>42573</v>
      </c>
      <c r="C2407" s="37" t="n">
        <v>3.2848</v>
      </c>
    </row>
    <row r="2408" customFormat="false" ht="15" hidden="false" customHeight="false" outlineLevel="0" collapsed="false">
      <c r="B2408" s="36" t="n">
        <v>42576</v>
      </c>
      <c r="C2408" s="37" t="n">
        <v>3.2813</v>
      </c>
    </row>
    <row r="2409" customFormat="false" ht="15" hidden="false" customHeight="false" outlineLevel="0" collapsed="false">
      <c r="B2409" s="36" t="n">
        <v>42577</v>
      </c>
      <c r="C2409" s="37" t="n">
        <v>3.2784</v>
      </c>
    </row>
    <row r="2410" customFormat="false" ht="15" hidden="false" customHeight="false" outlineLevel="0" collapsed="false">
      <c r="B2410" s="36" t="n">
        <v>42578</v>
      </c>
      <c r="C2410" s="37" t="n">
        <v>3.2814</v>
      </c>
    </row>
    <row r="2411" customFormat="false" ht="15" hidden="false" customHeight="false" outlineLevel="0" collapsed="false">
      <c r="B2411" s="36" t="n">
        <v>42579</v>
      </c>
      <c r="C2411" s="37" t="n">
        <v>3.2734</v>
      </c>
    </row>
    <row r="2412" customFormat="false" ht="15" hidden="false" customHeight="false" outlineLevel="0" collapsed="false">
      <c r="B2412" s="36" t="n">
        <v>42580</v>
      </c>
      <c r="C2412" s="37" t="n">
        <v>3.2384</v>
      </c>
    </row>
    <row r="2413" customFormat="false" ht="15" hidden="false" customHeight="false" outlineLevel="0" collapsed="false">
      <c r="B2413" s="36" t="n">
        <v>42583</v>
      </c>
      <c r="C2413" s="37" t="n">
        <v>3.2656</v>
      </c>
    </row>
    <row r="2414" customFormat="false" ht="15" hidden="false" customHeight="false" outlineLevel="0" collapsed="false">
      <c r="B2414" s="36" t="n">
        <v>42584</v>
      </c>
      <c r="C2414" s="37" t="n">
        <v>3.2484</v>
      </c>
    </row>
    <row r="2415" customFormat="false" ht="15" hidden="false" customHeight="false" outlineLevel="0" collapsed="false">
      <c r="B2415" s="36" t="n">
        <v>42585</v>
      </c>
      <c r="C2415" s="37" t="n">
        <v>3.2727</v>
      </c>
    </row>
    <row r="2416" customFormat="false" ht="15" hidden="false" customHeight="false" outlineLevel="0" collapsed="false">
      <c r="B2416" s="36" t="n">
        <v>42586</v>
      </c>
      <c r="C2416" s="37" t="n">
        <v>3.2177</v>
      </c>
    </row>
    <row r="2417" customFormat="false" ht="15" hidden="false" customHeight="false" outlineLevel="0" collapsed="false">
      <c r="B2417" s="36" t="n">
        <v>42587</v>
      </c>
      <c r="C2417" s="37" t="n">
        <v>3.1853</v>
      </c>
    </row>
    <row r="2418" customFormat="false" ht="15" hidden="false" customHeight="false" outlineLevel="0" collapsed="false">
      <c r="B2418" s="36" t="n">
        <v>42590</v>
      </c>
      <c r="C2418" s="37" t="n">
        <v>3.1765</v>
      </c>
    </row>
    <row r="2419" customFormat="false" ht="15" hidden="false" customHeight="false" outlineLevel="0" collapsed="false">
      <c r="B2419" s="36" t="n">
        <v>42591</v>
      </c>
      <c r="C2419" s="37" t="n">
        <v>3.1497</v>
      </c>
    </row>
    <row r="2420" customFormat="false" ht="15" hidden="false" customHeight="false" outlineLevel="0" collapsed="false">
      <c r="B2420" s="36" t="n">
        <v>42592</v>
      </c>
      <c r="C2420" s="37" t="n">
        <v>3.1296</v>
      </c>
    </row>
    <row r="2421" customFormat="false" ht="15" hidden="false" customHeight="false" outlineLevel="0" collapsed="false">
      <c r="B2421" s="36" t="n">
        <v>42593</v>
      </c>
      <c r="C2421" s="37" t="n">
        <v>3.1358</v>
      </c>
    </row>
    <row r="2422" customFormat="false" ht="15" hidden="false" customHeight="false" outlineLevel="0" collapsed="false">
      <c r="B2422" s="36" t="n">
        <v>42594</v>
      </c>
      <c r="C2422" s="37" t="n">
        <v>3.1596</v>
      </c>
    </row>
    <row r="2423" customFormat="false" ht="15" hidden="false" customHeight="false" outlineLevel="0" collapsed="false">
      <c r="B2423" s="36" t="n">
        <v>42597</v>
      </c>
      <c r="C2423" s="37" t="n">
        <v>3.1666</v>
      </c>
    </row>
    <row r="2424" customFormat="false" ht="15" hidden="false" customHeight="false" outlineLevel="0" collapsed="false">
      <c r="B2424" s="36" t="n">
        <v>42598</v>
      </c>
      <c r="C2424" s="37" t="n">
        <v>3.1743</v>
      </c>
    </row>
    <row r="2425" customFormat="false" ht="15" hidden="false" customHeight="false" outlineLevel="0" collapsed="false">
      <c r="B2425" s="36" t="n">
        <v>42599</v>
      </c>
      <c r="C2425" s="37" t="n">
        <v>3.2242</v>
      </c>
    </row>
    <row r="2426" customFormat="false" ht="15" hidden="false" customHeight="false" outlineLevel="0" collapsed="false">
      <c r="B2426" s="36" t="n">
        <v>42600</v>
      </c>
      <c r="C2426" s="37" t="n">
        <v>3.2209</v>
      </c>
    </row>
    <row r="2427" customFormat="false" ht="15" hidden="false" customHeight="false" outlineLevel="0" collapsed="false">
      <c r="B2427" s="36" t="n">
        <v>42601</v>
      </c>
      <c r="C2427" s="37" t="n">
        <v>3.2261</v>
      </c>
    </row>
    <row r="2428" customFormat="false" ht="15" hidden="false" customHeight="false" outlineLevel="0" collapsed="false">
      <c r="B2428" s="36" t="n">
        <v>42604</v>
      </c>
      <c r="C2428" s="37" t="n">
        <v>3.2157</v>
      </c>
    </row>
    <row r="2429" customFormat="false" ht="15" hidden="false" customHeight="false" outlineLevel="0" collapsed="false">
      <c r="B2429" s="36" t="n">
        <v>42605</v>
      </c>
      <c r="C2429" s="37" t="n">
        <v>3.2047</v>
      </c>
    </row>
    <row r="2430" customFormat="false" ht="15" hidden="false" customHeight="false" outlineLevel="0" collapsed="false">
      <c r="B2430" s="36" t="n">
        <v>42606</v>
      </c>
      <c r="C2430" s="37" t="n">
        <v>3.2366</v>
      </c>
    </row>
    <row r="2431" customFormat="false" ht="15" hidden="false" customHeight="false" outlineLevel="0" collapsed="false">
      <c r="B2431" s="36" t="n">
        <v>42607</v>
      </c>
      <c r="C2431" s="37" t="n">
        <v>3.2313</v>
      </c>
    </row>
    <row r="2432" customFormat="false" ht="15" hidden="false" customHeight="false" outlineLevel="0" collapsed="false">
      <c r="B2432" s="36" t="n">
        <v>42608</v>
      </c>
      <c r="C2432" s="37" t="n">
        <v>3.2147</v>
      </c>
    </row>
    <row r="2433" customFormat="false" ht="15" hidden="false" customHeight="false" outlineLevel="0" collapsed="false">
      <c r="B2433" s="36" t="n">
        <v>42611</v>
      </c>
      <c r="C2433" s="37" t="n">
        <v>3.2607</v>
      </c>
    </row>
    <row r="2434" customFormat="false" ht="15" hidden="false" customHeight="false" outlineLevel="0" collapsed="false">
      <c r="B2434" s="36" t="n">
        <v>42612</v>
      </c>
      <c r="C2434" s="37" t="n">
        <v>3.2519</v>
      </c>
    </row>
    <row r="2435" customFormat="false" ht="15" hidden="false" customHeight="false" outlineLevel="0" collapsed="false">
      <c r="B2435" s="36" t="n">
        <v>42613</v>
      </c>
      <c r="C2435" s="37" t="n">
        <v>3.2397</v>
      </c>
    </row>
    <row r="2436" customFormat="false" ht="15" hidden="false" customHeight="false" outlineLevel="0" collapsed="false">
      <c r="B2436" s="36" t="n">
        <v>42614</v>
      </c>
      <c r="C2436" s="37" t="n">
        <v>3.2466</v>
      </c>
    </row>
    <row r="2437" customFormat="false" ht="15" hidden="false" customHeight="false" outlineLevel="0" collapsed="false">
      <c r="B2437" s="36" t="n">
        <v>42615</v>
      </c>
      <c r="C2437" s="37" t="n">
        <v>3.2425</v>
      </c>
    </row>
    <row r="2438" customFormat="false" ht="15" hidden="false" customHeight="false" outlineLevel="0" collapsed="false">
      <c r="B2438" s="36" t="n">
        <v>42618</v>
      </c>
      <c r="C2438" s="37" t="n">
        <v>3.2715</v>
      </c>
    </row>
    <row r="2439" customFormat="false" ht="15" hidden="false" customHeight="false" outlineLevel="0" collapsed="false">
      <c r="B2439" s="36" t="n">
        <v>42619</v>
      </c>
      <c r="C2439" s="37" t="n">
        <v>3.2446</v>
      </c>
    </row>
    <row r="2440" customFormat="false" ht="15" hidden="false" customHeight="false" outlineLevel="0" collapsed="false">
      <c r="B2440" s="36" t="n">
        <v>42621</v>
      </c>
      <c r="C2440" s="37" t="n">
        <v>3.1928</v>
      </c>
    </row>
    <row r="2441" customFormat="false" ht="15" hidden="false" customHeight="false" outlineLevel="0" collapsed="false">
      <c r="B2441" s="36" t="n">
        <v>42622</v>
      </c>
      <c r="C2441" s="37" t="n">
        <v>3.2632</v>
      </c>
    </row>
    <row r="2442" customFormat="false" ht="15" hidden="false" customHeight="false" outlineLevel="0" collapsed="false">
      <c r="B2442" s="36" t="n">
        <v>42625</v>
      </c>
      <c r="C2442" s="37" t="n">
        <v>3.2848</v>
      </c>
    </row>
    <row r="2443" customFormat="false" ht="15" hidden="false" customHeight="false" outlineLevel="0" collapsed="false">
      <c r="B2443" s="36" t="n">
        <v>42626</v>
      </c>
      <c r="C2443" s="37" t="n">
        <v>3.2966</v>
      </c>
    </row>
    <row r="2444" customFormat="false" ht="15" hidden="false" customHeight="false" outlineLevel="0" collapsed="false">
      <c r="B2444" s="36" t="n">
        <v>42627</v>
      </c>
      <c r="C2444" s="37" t="n">
        <v>3.3256</v>
      </c>
    </row>
    <row r="2445" customFormat="false" ht="15" hidden="false" customHeight="false" outlineLevel="0" collapsed="false">
      <c r="B2445" s="36" t="n">
        <v>42628</v>
      </c>
      <c r="C2445" s="37" t="n">
        <v>3.332</v>
      </c>
    </row>
    <row r="2446" customFormat="false" ht="15" hidden="false" customHeight="false" outlineLevel="0" collapsed="false">
      <c r="B2446" s="36" t="n">
        <v>42629</v>
      </c>
      <c r="C2446" s="37" t="n">
        <v>3.2998</v>
      </c>
    </row>
    <row r="2447" customFormat="false" ht="15" hidden="false" customHeight="false" outlineLevel="0" collapsed="false">
      <c r="B2447" s="36" t="n">
        <v>42632</v>
      </c>
      <c r="C2447" s="37" t="n">
        <v>3.263</v>
      </c>
    </row>
    <row r="2448" customFormat="false" ht="15" hidden="false" customHeight="false" outlineLevel="0" collapsed="false">
      <c r="B2448" s="36" t="n">
        <v>42633</v>
      </c>
      <c r="C2448" s="37" t="n">
        <v>3.2534</v>
      </c>
    </row>
    <row r="2449" customFormat="false" ht="15" hidden="false" customHeight="false" outlineLevel="0" collapsed="false">
      <c r="B2449" s="36" t="n">
        <v>42634</v>
      </c>
      <c r="C2449" s="37" t="n">
        <v>3.2402</v>
      </c>
    </row>
    <row r="2450" customFormat="false" ht="15" hidden="false" customHeight="false" outlineLevel="0" collapsed="false">
      <c r="B2450" s="36" t="n">
        <v>42635</v>
      </c>
      <c r="C2450" s="37" t="n">
        <v>3.2009</v>
      </c>
    </row>
    <row r="2451" customFormat="false" ht="15" hidden="false" customHeight="false" outlineLevel="0" collapsed="false">
      <c r="B2451" s="36" t="n">
        <v>42636</v>
      </c>
      <c r="C2451" s="37" t="n">
        <v>3.2236</v>
      </c>
    </row>
    <row r="2452" customFormat="false" ht="15" hidden="false" customHeight="false" outlineLevel="0" collapsed="false">
      <c r="B2452" s="36" t="n">
        <v>42639</v>
      </c>
      <c r="C2452" s="37" t="n">
        <v>3.2394</v>
      </c>
    </row>
    <row r="2453" customFormat="false" ht="15" hidden="false" customHeight="false" outlineLevel="0" collapsed="false">
      <c r="B2453" s="36" t="n">
        <v>42640</v>
      </c>
      <c r="C2453" s="37" t="n">
        <v>3.2352</v>
      </c>
    </row>
    <row r="2454" customFormat="false" ht="15" hidden="false" customHeight="false" outlineLevel="0" collapsed="false">
      <c r="B2454" s="36" t="n">
        <v>42641</v>
      </c>
      <c r="C2454" s="37" t="n">
        <v>3.247</v>
      </c>
    </row>
    <row r="2455" customFormat="false" ht="15" hidden="false" customHeight="false" outlineLevel="0" collapsed="false">
      <c r="B2455" s="36" t="n">
        <v>42642</v>
      </c>
      <c r="C2455" s="37" t="n">
        <v>3.2229</v>
      </c>
    </row>
    <row r="2456" customFormat="false" ht="15" hidden="false" customHeight="false" outlineLevel="0" collapsed="false">
      <c r="B2456" s="36" t="n">
        <v>42643</v>
      </c>
      <c r="C2456" s="37" t="n">
        <v>3.2456</v>
      </c>
    </row>
    <row r="2457" customFormat="false" ht="15" hidden="false" customHeight="false" outlineLevel="0" collapsed="false">
      <c r="B2457" s="36" t="n">
        <v>42646</v>
      </c>
      <c r="C2457" s="37" t="n">
        <v>3.2332</v>
      </c>
    </row>
    <row r="2458" customFormat="false" ht="15" hidden="false" customHeight="false" outlineLevel="0" collapsed="false">
      <c r="B2458" s="36" t="n">
        <v>42647</v>
      </c>
      <c r="C2458" s="37" t="n">
        <v>3.2197</v>
      </c>
    </row>
    <row r="2459" customFormat="false" ht="15" hidden="false" customHeight="false" outlineLevel="0" collapsed="false">
      <c r="B2459" s="36" t="n">
        <v>42648</v>
      </c>
      <c r="C2459" s="37" t="n">
        <v>3.2353</v>
      </c>
    </row>
    <row r="2460" customFormat="false" ht="15" hidden="false" customHeight="false" outlineLevel="0" collapsed="false">
      <c r="B2460" s="36" t="n">
        <v>42649</v>
      </c>
      <c r="C2460" s="37" t="n">
        <v>3.2304</v>
      </c>
    </row>
    <row r="2461" customFormat="false" ht="15" hidden="false" customHeight="false" outlineLevel="0" collapsed="false">
      <c r="B2461" s="36" t="n">
        <v>42650</v>
      </c>
      <c r="C2461" s="37" t="n">
        <v>3.2128</v>
      </c>
    </row>
    <row r="2462" customFormat="false" ht="15" hidden="false" customHeight="false" outlineLevel="0" collapsed="false">
      <c r="B2462" s="36" t="n">
        <v>42653</v>
      </c>
      <c r="C2462" s="37" t="n">
        <v>3.2119</v>
      </c>
    </row>
    <row r="2463" customFormat="false" ht="15" hidden="false" customHeight="false" outlineLevel="0" collapsed="false">
      <c r="B2463" s="36" t="n">
        <v>42654</v>
      </c>
      <c r="C2463" s="37" t="n">
        <v>3.213</v>
      </c>
    </row>
    <row r="2464" customFormat="false" ht="15" hidden="false" customHeight="false" outlineLevel="0" collapsed="false">
      <c r="B2464" s="36" t="n">
        <v>42656</v>
      </c>
      <c r="C2464" s="37" t="n">
        <v>3.2081</v>
      </c>
    </row>
    <row r="2465" customFormat="false" ht="15" hidden="false" customHeight="false" outlineLevel="0" collapsed="false">
      <c r="B2465" s="36" t="n">
        <v>42657</v>
      </c>
      <c r="C2465" s="37" t="n">
        <v>3.1858</v>
      </c>
    </row>
    <row r="2466" customFormat="false" ht="15" hidden="false" customHeight="false" outlineLevel="0" collapsed="false">
      <c r="B2466" s="36" t="n">
        <v>42660</v>
      </c>
      <c r="C2466" s="37" t="n">
        <v>3.1957</v>
      </c>
    </row>
    <row r="2467" customFormat="false" ht="15" hidden="false" customHeight="false" outlineLevel="0" collapsed="false">
      <c r="B2467" s="36" t="n">
        <v>42661</v>
      </c>
      <c r="C2467" s="37" t="n">
        <v>3.1868</v>
      </c>
    </row>
    <row r="2468" customFormat="false" ht="15" hidden="false" customHeight="false" outlineLevel="0" collapsed="false">
      <c r="B2468" s="36" t="n">
        <v>42662</v>
      </c>
      <c r="C2468" s="37" t="n">
        <v>3.1794</v>
      </c>
    </row>
    <row r="2469" customFormat="false" ht="15" hidden="false" customHeight="false" outlineLevel="0" collapsed="false">
      <c r="B2469" s="36" t="n">
        <v>42663</v>
      </c>
      <c r="C2469" s="37" t="n">
        <v>3.1599</v>
      </c>
    </row>
    <row r="2470" customFormat="false" ht="15" hidden="false" customHeight="false" outlineLevel="0" collapsed="false">
      <c r="B2470" s="36" t="n">
        <v>42664</v>
      </c>
      <c r="C2470" s="37" t="n">
        <v>3.1587</v>
      </c>
    </row>
    <row r="2471" customFormat="false" ht="15" hidden="false" customHeight="false" outlineLevel="0" collapsed="false">
      <c r="B2471" s="36" t="n">
        <v>42667</v>
      </c>
      <c r="C2471" s="37" t="n">
        <v>3.1305</v>
      </c>
    </row>
    <row r="2472" customFormat="false" ht="15" hidden="false" customHeight="false" outlineLevel="0" collapsed="false">
      <c r="B2472" s="36" t="n">
        <v>42668</v>
      </c>
      <c r="C2472" s="37" t="n">
        <v>3.1187</v>
      </c>
    </row>
    <row r="2473" customFormat="false" ht="15" hidden="false" customHeight="false" outlineLevel="0" collapsed="false">
      <c r="B2473" s="36" t="n">
        <v>42669</v>
      </c>
      <c r="C2473" s="37" t="n">
        <v>3.1213</v>
      </c>
    </row>
    <row r="2474" customFormat="false" ht="15" hidden="false" customHeight="false" outlineLevel="0" collapsed="false">
      <c r="B2474" s="36" t="n">
        <v>42670</v>
      </c>
      <c r="C2474" s="37" t="n">
        <v>3.1423</v>
      </c>
    </row>
    <row r="2475" customFormat="false" ht="15" hidden="false" customHeight="false" outlineLevel="0" collapsed="false">
      <c r="B2475" s="36" t="n">
        <v>42671</v>
      </c>
      <c r="C2475" s="37" t="n">
        <v>3.1809</v>
      </c>
    </row>
    <row r="2476" customFormat="false" ht="15" hidden="false" customHeight="false" outlineLevel="0" collapsed="false">
      <c r="B2476" s="36" t="n">
        <v>42674</v>
      </c>
      <c r="C2476" s="37" t="n">
        <v>3.1805</v>
      </c>
    </row>
    <row r="2477" customFormat="false" ht="15" hidden="false" customHeight="false" outlineLevel="0" collapsed="false">
      <c r="B2477" s="36" t="n">
        <v>42675</v>
      </c>
      <c r="C2477" s="37" t="n">
        <v>3.2047</v>
      </c>
    </row>
    <row r="2478" customFormat="false" ht="15" hidden="false" customHeight="false" outlineLevel="0" collapsed="false">
      <c r="B2478" s="36" t="n">
        <v>42677</v>
      </c>
      <c r="C2478" s="37" t="n">
        <v>3.2304</v>
      </c>
    </row>
    <row r="2479" customFormat="false" ht="15" hidden="false" customHeight="false" outlineLevel="0" collapsed="false">
      <c r="B2479" s="36" t="n">
        <v>42678</v>
      </c>
      <c r="C2479" s="37" t="n">
        <v>3.2443</v>
      </c>
    </row>
    <row r="2480" customFormat="false" ht="15" hidden="false" customHeight="false" outlineLevel="0" collapsed="false">
      <c r="B2480" s="36" t="n">
        <v>42681</v>
      </c>
      <c r="C2480" s="37" t="n">
        <v>3.2018</v>
      </c>
    </row>
    <row r="2481" customFormat="false" ht="15" hidden="false" customHeight="false" outlineLevel="0" collapsed="false">
      <c r="B2481" s="36" t="n">
        <v>42682</v>
      </c>
      <c r="C2481" s="37" t="n">
        <v>3.2018</v>
      </c>
    </row>
    <row r="2482" customFormat="false" ht="15" hidden="false" customHeight="false" outlineLevel="0" collapsed="false">
      <c r="B2482" s="36" t="n">
        <v>42683</v>
      </c>
      <c r="C2482" s="37" t="n">
        <v>3.2252</v>
      </c>
    </row>
    <row r="2483" customFormat="false" ht="15" hidden="false" customHeight="false" outlineLevel="0" collapsed="false">
      <c r="B2483" s="36" t="n">
        <v>42684</v>
      </c>
      <c r="C2483" s="37" t="n">
        <v>3.3098</v>
      </c>
    </row>
    <row r="2484" customFormat="false" ht="15" hidden="false" customHeight="false" outlineLevel="0" collapsed="false">
      <c r="B2484" s="36" t="n">
        <v>42685</v>
      </c>
      <c r="C2484" s="37" t="n">
        <v>3.4371</v>
      </c>
    </row>
    <row r="2485" customFormat="false" ht="15" hidden="false" customHeight="false" outlineLevel="0" collapsed="false">
      <c r="B2485" s="36" t="n">
        <v>42688</v>
      </c>
      <c r="C2485" s="37" t="n">
        <v>3.444</v>
      </c>
    </row>
    <row r="2486" customFormat="false" ht="15" hidden="false" customHeight="false" outlineLevel="0" collapsed="false">
      <c r="B2486" s="36" t="n">
        <v>42690</v>
      </c>
      <c r="C2486" s="37" t="n">
        <v>3.4177</v>
      </c>
    </row>
    <row r="2487" customFormat="false" ht="15" hidden="false" customHeight="false" outlineLevel="0" collapsed="false">
      <c r="B2487" s="36" t="n">
        <v>42691</v>
      </c>
      <c r="C2487" s="37" t="n">
        <v>3.4046</v>
      </c>
    </row>
    <row r="2488" customFormat="false" ht="15" hidden="false" customHeight="false" outlineLevel="0" collapsed="false">
      <c r="B2488" s="36" t="n">
        <v>42692</v>
      </c>
      <c r="C2488" s="37" t="n">
        <v>3.3911</v>
      </c>
    </row>
    <row r="2489" customFormat="false" ht="15" hidden="false" customHeight="false" outlineLevel="0" collapsed="false">
      <c r="B2489" s="36" t="n">
        <v>42695</v>
      </c>
      <c r="C2489" s="37" t="n">
        <v>3.3511</v>
      </c>
    </row>
    <row r="2490" customFormat="false" ht="15" hidden="false" customHeight="false" outlineLevel="0" collapsed="false">
      <c r="B2490" s="36" t="n">
        <v>42696</v>
      </c>
      <c r="C2490" s="37" t="n">
        <v>3.347</v>
      </c>
    </row>
    <row r="2491" customFormat="false" ht="15" hidden="false" customHeight="false" outlineLevel="0" collapsed="false">
      <c r="B2491" s="36" t="n">
        <v>42697</v>
      </c>
      <c r="C2491" s="37" t="n">
        <v>3.3921</v>
      </c>
    </row>
    <row r="2492" customFormat="false" ht="15" hidden="false" customHeight="false" outlineLevel="0" collapsed="false">
      <c r="B2492" s="36" t="n">
        <v>42698</v>
      </c>
      <c r="C2492" s="37" t="n">
        <v>3.3981</v>
      </c>
    </row>
    <row r="2493" customFormat="false" ht="15" hidden="false" customHeight="false" outlineLevel="0" collapsed="false">
      <c r="B2493" s="36" t="n">
        <v>42699</v>
      </c>
      <c r="C2493" s="37" t="n">
        <v>3.4273</v>
      </c>
    </row>
    <row r="2494" customFormat="false" ht="15" hidden="false" customHeight="false" outlineLevel="0" collapsed="false">
      <c r="B2494" s="36" t="n">
        <v>42702</v>
      </c>
      <c r="C2494" s="37" t="n">
        <v>3.399</v>
      </c>
    </row>
    <row r="2495" customFormat="false" ht="15" hidden="false" customHeight="false" outlineLevel="0" collapsed="false">
      <c r="B2495" s="36" t="n">
        <v>42703</v>
      </c>
      <c r="C2495" s="37" t="n">
        <v>3.4054</v>
      </c>
    </row>
    <row r="2496" customFormat="false" ht="15" hidden="false" customHeight="false" outlineLevel="0" collapsed="false">
      <c r="B2496" s="36" t="n">
        <v>42704</v>
      </c>
      <c r="C2496" s="37" t="n">
        <v>3.3961</v>
      </c>
    </row>
    <row r="2497" customFormat="false" ht="15" hidden="false" customHeight="false" outlineLevel="0" collapsed="false">
      <c r="B2497" s="36" t="n">
        <v>42705</v>
      </c>
      <c r="C2497" s="37" t="n">
        <v>3.4356</v>
      </c>
    </row>
    <row r="2498" customFormat="false" ht="15" hidden="false" customHeight="false" outlineLevel="0" collapsed="false">
      <c r="B2498" s="36" t="n">
        <v>42706</v>
      </c>
      <c r="C2498" s="37" t="n">
        <v>3.4644</v>
      </c>
    </row>
    <row r="2499" customFormat="false" ht="15" hidden="false" customHeight="false" outlineLevel="0" collapsed="false">
      <c r="B2499" s="36" t="n">
        <v>42709</v>
      </c>
      <c r="C2499" s="37" t="n">
        <v>3.4592</v>
      </c>
    </row>
    <row r="2500" customFormat="false" ht="15" hidden="false" customHeight="false" outlineLevel="0" collapsed="false">
      <c r="B2500" s="36" t="n">
        <v>42710</v>
      </c>
      <c r="C2500" s="37" t="n">
        <v>3.4348</v>
      </c>
    </row>
    <row r="2501" customFormat="false" ht="15" hidden="false" customHeight="false" outlineLevel="0" collapsed="false">
      <c r="B2501" s="36" t="n">
        <v>42711</v>
      </c>
      <c r="C2501" s="37" t="n">
        <v>3.3889</v>
      </c>
    </row>
    <row r="2502" customFormat="false" ht="15" hidden="false" customHeight="false" outlineLevel="0" collapsed="false">
      <c r="B2502" s="36" t="n">
        <v>42712</v>
      </c>
      <c r="C2502" s="37" t="n">
        <v>3.4002</v>
      </c>
    </row>
    <row r="2503" customFormat="false" ht="15" hidden="false" customHeight="false" outlineLevel="0" collapsed="false">
      <c r="B2503" s="36" t="n">
        <v>42713</v>
      </c>
      <c r="C2503" s="37" t="n">
        <v>3.3852</v>
      </c>
    </row>
    <row r="2504" customFormat="false" ht="15" hidden="false" customHeight="false" outlineLevel="0" collapsed="false">
      <c r="B2504" s="36" t="n">
        <v>42716</v>
      </c>
      <c r="C2504" s="37" t="n">
        <v>3.3691</v>
      </c>
    </row>
    <row r="2505" customFormat="false" ht="15" hidden="false" customHeight="false" outlineLevel="0" collapsed="false">
      <c r="B2505" s="36" t="n">
        <v>42717</v>
      </c>
      <c r="C2505" s="37" t="n">
        <v>3.3334</v>
      </c>
    </row>
    <row r="2506" customFormat="false" ht="15" hidden="false" customHeight="false" outlineLevel="0" collapsed="false">
      <c r="B2506" s="36" t="n">
        <v>42718</v>
      </c>
      <c r="C2506" s="37" t="n">
        <v>3.3097</v>
      </c>
    </row>
    <row r="2507" customFormat="false" ht="15" hidden="false" customHeight="false" outlineLevel="0" collapsed="false">
      <c r="B2507" s="36" t="n">
        <v>42719</v>
      </c>
      <c r="C2507" s="37" t="n">
        <v>3.3824</v>
      </c>
    </row>
    <row r="2508" customFormat="false" ht="15" hidden="false" customHeight="false" outlineLevel="0" collapsed="false">
      <c r="B2508" s="36" t="n">
        <v>42720</v>
      </c>
      <c r="C2508" s="37" t="n">
        <v>3.3706</v>
      </c>
    </row>
    <row r="2509" customFormat="false" ht="15" hidden="false" customHeight="false" outlineLevel="0" collapsed="false">
      <c r="B2509" s="36" t="n">
        <v>42723</v>
      </c>
      <c r="C2509" s="37" t="n">
        <v>3.3772</v>
      </c>
    </row>
    <row r="2510" customFormat="false" ht="15" hidden="false" customHeight="false" outlineLevel="0" collapsed="false">
      <c r="B2510" s="36" t="n">
        <v>42724</v>
      </c>
      <c r="C2510" s="37" t="n">
        <v>3.358</v>
      </c>
    </row>
    <row r="2511" customFormat="false" ht="15" hidden="false" customHeight="false" outlineLevel="0" collapsed="false">
      <c r="B2511" s="36" t="n">
        <v>42725</v>
      </c>
      <c r="C2511" s="37" t="n">
        <v>3.3291</v>
      </c>
    </row>
    <row r="2512" customFormat="false" ht="15" hidden="false" customHeight="false" outlineLevel="0" collapsed="false">
      <c r="B2512" s="36" t="n">
        <v>42726</v>
      </c>
      <c r="C2512" s="37" t="n">
        <v>3.3296</v>
      </c>
    </row>
    <row r="2513" customFormat="false" ht="15" hidden="false" customHeight="false" outlineLevel="0" collapsed="false">
      <c r="B2513" s="36" t="n">
        <v>42727</v>
      </c>
      <c r="C2513" s="37" t="n">
        <v>3.269</v>
      </c>
    </row>
    <row r="2514" customFormat="false" ht="15" hidden="false" customHeight="false" outlineLevel="0" collapsed="false">
      <c r="B2514" s="36" t="n">
        <v>42730</v>
      </c>
      <c r="C2514" s="37" t="n">
        <v>3.2695</v>
      </c>
    </row>
    <row r="2515" customFormat="false" ht="15" hidden="false" customHeight="false" outlineLevel="0" collapsed="false">
      <c r="B2515" s="36" t="n">
        <v>42731</v>
      </c>
      <c r="C2515" s="37" t="n">
        <v>3.277</v>
      </c>
    </row>
    <row r="2516" customFormat="false" ht="15" hidden="false" customHeight="false" outlineLevel="0" collapsed="false">
      <c r="B2516" s="36" t="n">
        <v>42732</v>
      </c>
      <c r="C2516" s="37" t="n">
        <v>3.2768</v>
      </c>
    </row>
    <row r="2517" customFormat="false" ht="15" hidden="false" customHeight="false" outlineLevel="0" collapsed="false">
      <c r="B2517" s="36" t="n">
        <v>42733</v>
      </c>
      <c r="C2517" s="37" t="n">
        <v>3.2585</v>
      </c>
    </row>
    <row r="2518" customFormat="false" ht="15" hidden="false" customHeight="false" outlineLevel="0" collapsed="false">
      <c r="B2518" s="36" t="n">
        <v>42734</v>
      </c>
      <c r="C2518" s="37" t="n">
        <v>3.2585</v>
      </c>
    </row>
    <row r="2519" customFormat="false" ht="15" hidden="false" customHeight="false" outlineLevel="0" collapsed="false">
      <c r="B2519" s="36" t="n">
        <v>42737</v>
      </c>
      <c r="C2519" s="37" t="n">
        <v>3.2723</v>
      </c>
    </row>
    <row r="2520" customFormat="false" ht="15" hidden="false" customHeight="false" outlineLevel="0" collapsed="false">
      <c r="B2520" s="36" t="n">
        <v>42738</v>
      </c>
      <c r="C2520" s="37" t="n">
        <v>3.2626</v>
      </c>
    </row>
    <row r="2521" customFormat="false" ht="15" hidden="false" customHeight="false" outlineLevel="0" collapsed="false">
      <c r="B2521" s="36" t="n">
        <v>42739</v>
      </c>
      <c r="C2521" s="37" t="n">
        <v>3.2327</v>
      </c>
    </row>
    <row r="2522" customFormat="false" ht="15" hidden="false" customHeight="false" outlineLevel="0" collapsed="false">
      <c r="B2522" s="36" t="n">
        <v>42740</v>
      </c>
      <c r="C2522" s="37" t="n">
        <v>3.2123</v>
      </c>
    </row>
    <row r="2523" customFormat="false" ht="15" hidden="false" customHeight="false" outlineLevel="0" collapsed="false">
      <c r="B2523" s="36" t="n">
        <v>42741</v>
      </c>
      <c r="C2523" s="37" t="n">
        <v>3.2051</v>
      </c>
    </row>
    <row r="2524" customFormat="false" ht="15" hidden="false" customHeight="false" outlineLevel="0" collapsed="false">
      <c r="B2524" s="36" t="n">
        <v>42744</v>
      </c>
      <c r="C2524" s="37" t="n">
        <v>3.2091</v>
      </c>
    </row>
    <row r="2525" customFormat="false" ht="15" hidden="false" customHeight="false" outlineLevel="0" collapsed="false">
      <c r="B2525" s="36" t="n">
        <v>42745</v>
      </c>
      <c r="C2525" s="37" t="n">
        <v>3.1912</v>
      </c>
    </row>
    <row r="2526" customFormat="false" ht="15" hidden="false" customHeight="false" outlineLevel="0" collapsed="false">
      <c r="B2526" s="36" t="n">
        <v>42746</v>
      </c>
      <c r="C2526" s="37" t="n">
        <v>3.2148</v>
      </c>
    </row>
    <row r="2527" customFormat="false" ht="15" hidden="false" customHeight="false" outlineLevel="0" collapsed="false">
      <c r="B2527" s="36" t="n">
        <v>42747</v>
      </c>
      <c r="C2527" s="37" t="n">
        <v>3.1655</v>
      </c>
    </row>
    <row r="2528" customFormat="false" ht="15" hidden="false" customHeight="false" outlineLevel="0" collapsed="false">
      <c r="B2528" s="36" t="n">
        <v>42748</v>
      </c>
      <c r="C2528" s="37" t="n">
        <v>3.2028</v>
      </c>
    </row>
    <row r="2529" customFormat="false" ht="15" hidden="false" customHeight="false" outlineLevel="0" collapsed="false">
      <c r="B2529" s="36" t="n">
        <v>42751</v>
      </c>
      <c r="C2529" s="37" t="n">
        <v>3.2228</v>
      </c>
    </row>
    <row r="2530" customFormat="false" ht="15" hidden="false" customHeight="false" outlineLevel="0" collapsed="false">
      <c r="B2530" s="36" t="n">
        <v>42752</v>
      </c>
      <c r="C2530" s="37" t="n">
        <v>3.2094</v>
      </c>
    </row>
    <row r="2531" customFormat="false" ht="15" hidden="false" customHeight="false" outlineLevel="0" collapsed="false">
      <c r="B2531" s="36" t="n">
        <v>42753</v>
      </c>
      <c r="C2531" s="37" t="n">
        <v>3.2205</v>
      </c>
    </row>
    <row r="2532" customFormat="false" ht="15" hidden="false" customHeight="false" outlineLevel="0" collapsed="false">
      <c r="B2532" s="36" t="n">
        <v>42754</v>
      </c>
      <c r="C2532" s="37" t="n">
        <v>3.2107</v>
      </c>
    </row>
    <row r="2533" customFormat="false" ht="15" hidden="false" customHeight="false" outlineLevel="0" collapsed="false">
      <c r="B2533" s="36" t="n">
        <v>42755</v>
      </c>
      <c r="C2533" s="37" t="n">
        <v>3.1912</v>
      </c>
    </row>
    <row r="2534" customFormat="false" ht="15" hidden="false" customHeight="false" outlineLevel="0" collapsed="false">
      <c r="B2534" s="36" t="n">
        <v>42758</v>
      </c>
      <c r="C2534" s="37" t="n">
        <v>3.1603</v>
      </c>
    </row>
    <row r="2535" customFormat="false" ht="15" hidden="false" customHeight="false" outlineLevel="0" collapsed="false">
      <c r="B2535" s="36" t="n">
        <v>42759</v>
      </c>
      <c r="C2535" s="37" t="n">
        <v>3.1643</v>
      </c>
    </row>
    <row r="2536" customFormat="false" ht="15" hidden="false" customHeight="false" outlineLevel="0" collapsed="false">
      <c r="B2536" s="36" t="n">
        <v>42760</v>
      </c>
      <c r="C2536" s="37" t="n">
        <v>3.1679</v>
      </c>
    </row>
    <row r="2537" customFormat="false" ht="15" hidden="false" customHeight="false" outlineLevel="0" collapsed="false">
      <c r="B2537" s="36" t="n">
        <v>42761</v>
      </c>
      <c r="C2537" s="37" t="n">
        <v>3.1798</v>
      </c>
    </row>
    <row r="2538" customFormat="false" ht="15" hidden="false" customHeight="false" outlineLevel="0" collapsed="false">
      <c r="B2538" s="36" t="n">
        <v>42762</v>
      </c>
      <c r="C2538" s="37" t="n">
        <v>3.159</v>
      </c>
    </row>
    <row r="2539" customFormat="false" ht="15" hidden="false" customHeight="false" outlineLevel="0" collapsed="false">
      <c r="B2539" s="36" t="n">
        <v>42765</v>
      </c>
      <c r="C2539" s="37" t="n">
        <v>3.131</v>
      </c>
    </row>
    <row r="2540" customFormat="false" ht="15" hidden="false" customHeight="false" outlineLevel="0" collapsed="false">
      <c r="B2540" s="36" t="n">
        <v>42766</v>
      </c>
      <c r="C2540" s="37" t="n">
        <v>3.1264</v>
      </c>
    </row>
    <row r="2541" customFormat="false" ht="15" hidden="false" customHeight="false" outlineLevel="0" collapsed="false">
      <c r="B2541" s="36" t="n">
        <v>42767</v>
      </c>
      <c r="C2541" s="37" t="n">
        <v>3.1473</v>
      </c>
    </row>
    <row r="2542" customFormat="false" ht="15" hidden="false" customHeight="false" outlineLevel="0" collapsed="false">
      <c r="B2542" s="36" t="n">
        <v>42768</v>
      </c>
      <c r="C2542" s="37" t="n">
        <v>3.119</v>
      </c>
    </row>
    <row r="2543" customFormat="false" ht="15" hidden="false" customHeight="false" outlineLevel="0" collapsed="false">
      <c r="B2543" s="36" t="n">
        <v>42769</v>
      </c>
      <c r="C2543" s="37" t="n">
        <v>3.1235</v>
      </c>
    </row>
    <row r="2544" customFormat="false" ht="15" hidden="false" customHeight="false" outlineLevel="0" collapsed="false">
      <c r="B2544" s="36" t="n">
        <v>42772</v>
      </c>
      <c r="C2544" s="37" t="n">
        <v>3.1173</v>
      </c>
    </row>
    <row r="2545" customFormat="false" ht="15" hidden="false" customHeight="false" outlineLevel="0" collapsed="false">
      <c r="B2545" s="36" t="n">
        <v>42773</v>
      </c>
      <c r="C2545" s="37" t="n">
        <v>3.1298</v>
      </c>
    </row>
    <row r="2546" customFormat="false" ht="15" hidden="false" customHeight="false" outlineLevel="0" collapsed="false">
      <c r="B2546" s="36" t="n">
        <v>42774</v>
      </c>
      <c r="C2546" s="37" t="n">
        <v>3.1248</v>
      </c>
    </row>
    <row r="2547" customFormat="false" ht="15" hidden="false" customHeight="false" outlineLevel="0" collapsed="false">
      <c r="B2547" s="36" t="n">
        <v>42775</v>
      </c>
      <c r="C2547" s="37" t="n">
        <v>3.1179</v>
      </c>
    </row>
    <row r="2548" customFormat="false" ht="15" hidden="false" customHeight="false" outlineLevel="0" collapsed="false">
      <c r="B2548" s="36" t="n">
        <v>42776</v>
      </c>
      <c r="C2548" s="37" t="n">
        <v>3.1149</v>
      </c>
    </row>
    <row r="2549" customFormat="false" ht="15" hidden="false" customHeight="false" outlineLevel="0" collapsed="false">
      <c r="B2549" s="36" t="n">
        <v>42779</v>
      </c>
      <c r="C2549" s="37" t="n">
        <v>3.1169</v>
      </c>
    </row>
    <row r="2550" customFormat="false" ht="15" hidden="false" customHeight="false" outlineLevel="0" collapsed="false">
      <c r="B2550" s="36" t="n">
        <v>42780</v>
      </c>
      <c r="C2550" s="37" t="n">
        <v>3.0998</v>
      </c>
    </row>
    <row r="2551" customFormat="false" ht="15" hidden="false" customHeight="false" outlineLevel="0" collapsed="false">
      <c r="B2551" s="36" t="n">
        <v>42781</v>
      </c>
      <c r="C2551" s="37" t="n">
        <v>3.0773</v>
      </c>
    </row>
    <row r="2552" customFormat="false" ht="15" hidden="false" customHeight="false" outlineLevel="0" collapsed="false">
      <c r="B2552" s="36" t="n">
        <v>42782</v>
      </c>
      <c r="C2552" s="37" t="n">
        <v>3.0504</v>
      </c>
    </row>
    <row r="2553" customFormat="false" ht="15" hidden="false" customHeight="false" outlineLevel="0" collapsed="false">
      <c r="B2553" s="36" t="n">
        <v>42783</v>
      </c>
      <c r="C2553" s="37" t="n">
        <v>3.0944</v>
      </c>
    </row>
    <row r="2554" customFormat="false" ht="15" hidden="false" customHeight="false" outlineLevel="0" collapsed="false">
      <c r="B2554" s="36" t="n">
        <v>42786</v>
      </c>
      <c r="C2554" s="37" t="n">
        <v>3.0912</v>
      </c>
    </row>
    <row r="2555" customFormat="false" ht="15" hidden="false" customHeight="false" outlineLevel="0" collapsed="false">
      <c r="B2555" s="36" t="n">
        <v>42787</v>
      </c>
      <c r="C2555" s="37" t="n">
        <v>3.0964</v>
      </c>
    </row>
    <row r="2556" customFormat="false" ht="15" hidden="false" customHeight="false" outlineLevel="0" collapsed="false">
      <c r="B2556" s="36" t="n">
        <v>42788</v>
      </c>
      <c r="C2556" s="37" t="n">
        <v>3.0818</v>
      </c>
    </row>
    <row r="2557" customFormat="false" ht="15" hidden="false" customHeight="false" outlineLevel="0" collapsed="false">
      <c r="B2557" s="36" t="n">
        <v>42789</v>
      </c>
      <c r="C2557" s="37" t="n">
        <v>3.0632</v>
      </c>
    </row>
    <row r="2558" customFormat="false" ht="15" hidden="false" customHeight="false" outlineLevel="0" collapsed="false">
      <c r="B2558" s="36" t="n">
        <v>42790</v>
      </c>
      <c r="C2558" s="37" t="n">
        <v>3.0987</v>
      </c>
    </row>
    <row r="2559" customFormat="false" ht="15" hidden="false" customHeight="false" outlineLevel="0" collapsed="false">
      <c r="B2559" s="36" t="n">
        <v>42795</v>
      </c>
      <c r="C2559" s="37" t="n">
        <v>3.097</v>
      </c>
    </row>
    <row r="2560" customFormat="false" ht="15" hidden="false" customHeight="false" outlineLevel="0" collapsed="false">
      <c r="B2560" s="36" t="n">
        <v>42796</v>
      </c>
      <c r="C2560" s="37" t="n">
        <v>3.1132</v>
      </c>
    </row>
    <row r="2561" customFormat="false" ht="15" hidden="false" customHeight="false" outlineLevel="0" collapsed="false">
      <c r="B2561" s="36" t="n">
        <v>42797</v>
      </c>
      <c r="C2561" s="37" t="n">
        <v>3.1358</v>
      </c>
    </row>
    <row r="2562" customFormat="false" ht="15" hidden="false" customHeight="false" outlineLevel="0" collapsed="false">
      <c r="B2562" s="36" t="n">
        <v>42800</v>
      </c>
      <c r="C2562" s="37" t="n">
        <v>3.1105</v>
      </c>
    </row>
    <row r="2563" customFormat="false" ht="15" hidden="false" customHeight="false" outlineLevel="0" collapsed="false">
      <c r="B2563" s="36" t="n">
        <v>42801</v>
      </c>
      <c r="C2563" s="37" t="n">
        <v>3.1179</v>
      </c>
    </row>
    <row r="2564" customFormat="false" ht="15" hidden="false" customHeight="false" outlineLevel="0" collapsed="false">
      <c r="B2564" s="36" t="n">
        <v>42802</v>
      </c>
      <c r="C2564" s="37" t="n">
        <v>3.1471</v>
      </c>
    </row>
    <row r="2565" customFormat="false" ht="15" hidden="false" customHeight="false" outlineLevel="0" collapsed="false">
      <c r="B2565" s="36" t="n">
        <v>42803</v>
      </c>
      <c r="C2565" s="37" t="n">
        <v>3.1729</v>
      </c>
    </row>
    <row r="2566" customFormat="false" ht="15" hidden="false" customHeight="false" outlineLevel="0" collapsed="false">
      <c r="B2566" s="36" t="n">
        <v>42804</v>
      </c>
      <c r="C2566" s="37" t="n">
        <v>3.1617</v>
      </c>
    </row>
    <row r="2567" customFormat="false" ht="15" hidden="false" customHeight="false" outlineLevel="0" collapsed="false">
      <c r="B2567" s="36" t="n">
        <v>42807</v>
      </c>
      <c r="C2567" s="37" t="n">
        <v>3.1535</v>
      </c>
    </row>
    <row r="2568" customFormat="false" ht="15" hidden="false" customHeight="false" outlineLevel="0" collapsed="false">
      <c r="B2568" s="36" t="n">
        <v>42808</v>
      </c>
      <c r="C2568" s="37" t="n">
        <v>3.1633</v>
      </c>
    </row>
    <row r="2569" customFormat="false" ht="15" hidden="false" customHeight="false" outlineLevel="0" collapsed="false">
      <c r="B2569" s="36" t="n">
        <v>42809</v>
      </c>
      <c r="C2569" s="37" t="n">
        <v>3.1623</v>
      </c>
    </row>
    <row r="2570" customFormat="false" ht="15" hidden="false" customHeight="false" outlineLevel="0" collapsed="false">
      <c r="B2570" s="36" t="n">
        <v>42810</v>
      </c>
      <c r="C2570" s="37" t="n">
        <v>3.1074</v>
      </c>
    </row>
    <row r="2571" customFormat="false" ht="15" hidden="false" customHeight="false" outlineLevel="0" collapsed="false">
      <c r="B2571" s="36" t="n">
        <v>42811</v>
      </c>
      <c r="C2571" s="37" t="n">
        <v>3.1069</v>
      </c>
    </row>
    <row r="2572" customFormat="false" ht="15" hidden="false" customHeight="false" outlineLevel="0" collapsed="false">
      <c r="B2572" s="36" t="n">
        <v>42814</v>
      </c>
      <c r="C2572" s="37" t="n">
        <v>3.0892</v>
      </c>
    </row>
    <row r="2573" customFormat="false" ht="15" hidden="false" customHeight="false" outlineLevel="0" collapsed="false">
      <c r="B2573" s="36" t="n">
        <v>42815</v>
      </c>
      <c r="C2573" s="37" t="n">
        <v>3.0759</v>
      </c>
    </row>
    <row r="2574" customFormat="false" ht="15" hidden="false" customHeight="false" outlineLevel="0" collapsed="false">
      <c r="B2574" s="36" t="n">
        <v>42816</v>
      </c>
      <c r="C2574" s="37" t="n">
        <v>3.0933</v>
      </c>
    </row>
    <row r="2575" customFormat="false" ht="15" hidden="false" customHeight="false" outlineLevel="0" collapsed="false">
      <c r="B2575" s="36" t="n">
        <v>42817</v>
      </c>
      <c r="C2575" s="37" t="n">
        <v>3.1242</v>
      </c>
    </row>
    <row r="2576" customFormat="false" ht="15" hidden="false" customHeight="false" outlineLevel="0" collapsed="false">
      <c r="B2576" s="36" t="n">
        <v>42818</v>
      </c>
      <c r="C2576" s="37" t="n">
        <v>3.1276</v>
      </c>
    </row>
    <row r="2577" customFormat="false" ht="15" hidden="false" customHeight="false" outlineLevel="0" collapsed="false">
      <c r="B2577" s="36" t="n">
        <v>42821</v>
      </c>
      <c r="C2577" s="37" t="n">
        <v>3.125</v>
      </c>
    </row>
    <row r="2578" customFormat="false" ht="15" hidden="false" customHeight="false" outlineLevel="0" collapsed="false">
      <c r="B2578" s="36" t="n">
        <v>42822</v>
      </c>
      <c r="C2578" s="37" t="n">
        <v>3.1297</v>
      </c>
    </row>
    <row r="2579" customFormat="false" ht="15" hidden="false" customHeight="false" outlineLevel="0" collapsed="false">
      <c r="B2579" s="36" t="n">
        <v>42823</v>
      </c>
      <c r="C2579" s="37" t="n">
        <v>3.1223</v>
      </c>
    </row>
    <row r="2580" customFormat="false" ht="15" hidden="false" customHeight="false" outlineLevel="0" collapsed="false">
      <c r="B2580" s="36" t="n">
        <v>42824</v>
      </c>
      <c r="C2580" s="37" t="n">
        <v>3.1241</v>
      </c>
    </row>
    <row r="2581" customFormat="false" ht="15" hidden="false" customHeight="false" outlineLevel="0" collapsed="false">
      <c r="B2581" s="36" t="n">
        <v>42825</v>
      </c>
      <c r="C2581" s="37" t="n">
        <v>3.1678</v>
      </c>
    </row>
    <row r="2582" customFormat="false" ht="15" hidden="false" customHeight="false" outlineLevel="0" collapsed="false">
      <c r="B2582" s="36" t="n">
        <v>42828</v>
      </c>
      <c r="C2582" s="37" t="n">
        <v>3.1161</v>
      </c>
    </row>
    <row r="2583" customFormat="false" ht="15" hidden="false" customHeight="false" outlineLevel="0" collapsed="false">
      <c r="B2583" s="36" t="n">
        <v>42829</v>
      </c>
      <c r="C2583" s="37" t="n">
        <v>3.1225</v>
      </c>
    </row>
    <row r="2584" customFormat="false" ht="15" hidden="false" customHeight="false" outlineLevel="0" collapsed="false">
      <c r="B2584" s="36" t="n">
        <v>42830</v>
      </c>
      <c r="C2584" s="37" t="n">
        <v>3.0917</v>
      </c>
    </row>
    <row r="2585" customFormat="false" ht="15" hidden="false" customHeight="false" outlineLevel="0" collapsed="false">
      <c r="B2585" s="36" t="n">
        <v>42831</v>
      </c>
      <c r="C2585" s="37" t="n">
        <v>3.1154</v>
      </c>
    </row>
    <row r="2586" customFormat="false" ht="15" hidden="false" customHeight="false" outlineLevel="0" collapsed="false">
      <c r="B2586" s="36" t="n">
        <v>42832</v>
      </c>
      <c r="C2586" s="37" t="n">
        <v>3.1296</v>
      </c>
    </row>
    <row r="2587" customFormat="false" ht="15" hidden="false" customHeight="false" outlineLevel="0" collapsed="false">
      <c r="B2587" s="36" t="n">
        <v>42835</v>
      </c>
      <c r="C2587" s="37" t="n">
        <v>3.1403</v>
      </c>
    </row>
    <row r="2588" customFormat="false" ht="15" hidden="false" customHeight="false" outlineLevel="0" collapsed="false">
      <c r="B2588" s="36" t="n">
        <v>42836</v>
      </c>
      <c r="C2588" s="37" t="n">
        <v>3.1418</v>
      </c>
    </row>
    <row r="2589" customFormat="false" ht="15" hidden="false" customHeight="false" outlineLevel="0" collapsed="false">
      <c r="B2589" s="36" t="n">
        <v>42837</v>
      </c>
      <c r="C2589" s="37" t="n">
        <v>3.1457</v>
      </c>
    </row>
    <row r="2590" customFormat="false" ht="15" hidden="false" customHeight="false" outlineLevel="0" collapsed="false">
      <c r="B2590" s="36" t="n">
        <v>42838</v>
      </c>
      <c r="C2590" s="37" t="n">
        <v>3.1263</v>
      </c>
    </row>
    <row r="2591" customFormat="false" ht="15" hidden="false" customHeight="false" outlineLevel="0" collapsed="false">
      <c r="B2591" s="36" t="n">
        <v>42842</v>
      </c>
      <c r="C2591" s="37" t="n">
        <v>3.103</v>
      </c>
    </row>
    <row r="2592" customFormat="false" ht="15" hidden="false" customHeight="false" outlineLevel="0" collapsed="false">
      <c r="B2592" s="36" t="n">
        <v>42843</v>
      </c>
      <c r="C2592" s="37" t="n">
        <v>3.0952</v>
      </c>
    </row>
    <row r="2593" customFormat="false" ht="15" hidden="false" customHeight="false" outlineLevel="0" collapsed="false">
      <c r="B2593" s="36" t="n">
        <v>42844</v>
      </c>
      <c r="C2593" s="37" t="n">
        <v>3.1288</v>
      </c>
    </row>
    <row r="2594" customFormat="false" ht="15" hidden="false" customHeight="false" outlineLevel="0" collapsed="false">
      <c r="B2594" s="36" t="n">
        <v>42845</v>
      </c>
      <c r="C2594" s="37" t="n">
        <v>3.1447</v>
      </c>
    </row>
    <row r="2595" customFormat="false" ht="15" hidden="false" customHeight="false" outlineLevel="0" collapsed="false">
      <c r="B2595" s="36" t="n">
        <v>42849</v>
      </c>
      <c r="C2595" s="37" t="n">
        <v>3.1245</v>
      </c>
    </row>
    <row r="2596" customFormat="false" ht="15" hidden="false" customHeight="false" outlineLevel="0" collapsed="false">
      <c r="B2596" s="36" t="n">
        <v>42850</v>
      </c>
      <c r="C2596" s="37" t="n">
        <v>3.1571</v>
      </c>
    </row>
    <row r="2597" customFormat="false" ht="15" hidden="false" customHeight="false" outlineLevel="0" collapsed="false">
      <c r="B2597" s="36" t="n">
        <v>42851</v>
      </c>
      <c r="C2597" s="37" t="n">
        <v>3.1841</v>
      </c>
    </row>
    <row r="2598" customFormat="false" ht="15" hidden="false" customHeight="false" outlineLevel="0" collapsed="false">
      <c r="B2598" s="36" t="n">
        <v>42852</v>
      </c>
      <c r="C2598" s="37" t="n">
        <v>3.1757</v>
      </c>
    </row>
    <row r="2599" customFormat="false" ht="15" hidden="false" customHeight="false" outlineLevel="0" collapsed="false">
      <c r="B2599" s="36" t="n">
        <v>42853</v>
      </c>
      <c r="C2599" s="37" t="n">
        <v>3.1978</v>
      </c>
    </row>
    <row r="2600" customFormat="false" ht="15" hidden="false" customHeight="false" outlineLevel="0" collapsed="false">
      <c r="B2600" s="36" t="n">
        <v>42857</v>
      </c>
      <c r="C2600" s="37" t="n">
        <v>3.1718</v>
      </c>
    </row>
    <row r="2601" customFormat="false" ht="15" hidden="false" customHeight="false" outlineLevel="0" collapsed="false">
      <c r="B2601" s="36" t="n">
        <v>42858</v>
      </c>
      <c r="C2601" s="37" t="n">
        <v>3.1483</v>
      </c>
    </row>
    <row r="2602" customFormat="false" ht="15" hidden="false" customHeight="false" outlineLevel="0" collapsed="false">
      <c r="B2602" s="36" t="n">
        <v>42859</v>
      </c>
      <c r="C2602" s="37" t="n">
        <v>3.1774</v>
      </c>
    </row>
    <row r="2603" customFormat="false" ht="15" hidden="false" customHeight="false" outlineLevel="0" collapsed="false">
      <c r="B2603" s="36" t="n">
        <v>42860</v>
      </c>
      <c r="C2603" s="37" t="n">
        <v>3.1758</v>
      </c>
    </row>
    <row r="2604" customFormat="false" ht="15" hidden="false" customHeight="false" outlineLevel="0" collapsed="false">
      <c r="B2604" s="36" t="n">
        <v>42863</v>
      </c>
      <c r="C2604" s="37" t="n">
        <v>3.1932</v>
      </c>
    </row>
    <row r="2605" customFormat="false" ht="15" hidden="false" customHeight="false" outlineLevel="0" collapsed="false">
      <c r="B2605" s="36" t="n">
        <v>42864</v>
      </c>
      <c r="C2605" s="37" t="n">
        <v>3.1851</v>
      </c>
    </row>
    <row r="2606" customFormat="false" ht="15" hidden="false" customHeight="false" outlineLevel="0" collapsed="false">
      <c r="B2606" s="36" t="n">
        <v>42865</v>
      </c>
      <c r="C2606" s="37" t="n">
        <v>3.16</v>
      </c>
    </row>
    <row r="2607" customFormat="false" ht="15" hidden="false" customHeight="false" outlineLevel="0" collapsed="false">
      <c r="B2607" s="36" t="n">
        <v>42866</v>
      </c>
      <c r="C2607" s="37" t="n">
        <v>3.1553</v>
      </c>
    </row>
    <row r="2608" customFormat="false" ht="15" hidden="false" customHeight="false" outlineLevel="0" collapsed="false">
      <c r="B2608" s="36" t="n">
        <v>42867</v>
      </c>
      <c r="C2608" s="37" t="n">
        <v>3.1284</v>
      </c>
    </row>
    <row r="2609" customFormat="false" ht="15" hidden="false" customHeight="false" outlineLevel="0" collapsed="false">
      <c r="B2609" s="36" t="n">
        <v>42870</v>
      </c>
      <c r="C2609" s="37" t="n">
        <v>3.1005</v>
      </c>
    </row>
    <row r="2610" customFormat="false" ht="15" hidden="false" customHeight="false" outlineLevel="0" collapsed="false">
      <c r="B2610" s="36" t="n">
        <v>42871</v>
      </c>
      <c r="C2610" s="37" t="n">
        <v>3.0918</v>
      </c>
    </row>
    <row r="2611" customFormat="false" ht="15" hidden="false" customHeight="false" outlineLevel="0" collapsed="false">
      <c r="B2611" s="36" t="n">
        <v>42872</v>
      </c>
      <c r="C2611" s="37" t="n">
        <v>3.107</v>
      </c>
    </row>
    <row r="2612" customFormat="false" ht="15" hidden="false" customHeight="false" outlineLevel="0" collapsed="false">
      <c r="B2612" s="36" t="n">
        <v>42873</v>
      </c>
      <c r="C2612" s="37" t="n">
        <v>3.3756</v>
      </c>
    </row>
    <row r="2613" customFormat="false" ht="15" hidden="false" customHeight="false" outlineLevel="0" collapsed="false">
      <c r="B2613" s="36" t="n">
        <v>42874</v>
      </c>
      <c r="C2613" s="37" t="n">
        <v>3.2872</v>
      </c>
    </row>
    <row r="2614" customFormat="false" ht="15" hidden="false" customHeight="false" outlineLevel="0" collapsed="false">
      <c r="B2614" s="36" t="n">
        <v>42877</v>
      </c>
      <c r="C2614" s="37" t="n">
        <v>3.2857</v>
      </c>
    </row>
    <row r="2615" customFormat="false" ht="15" hidden="false" customHeight="false" outlineLevel="0" collapsed="false">
      <c r="B2615" s="36" t="n">
        <v>42878</v>
      </c>
      <c r="C2615" s="37" t="n">
        <v>3.2648</v>
      </c>
    </row>
    <row r="2616" customFormat="false" ht="15" hidden="false" customHeight="false" outlineLevel="0" collapsed="false">
      <c r="B2616" s="36" t="n">
        <v>42879</v>
      </c>
      <c r="C2616" s="37" t="n">
        <v>3.2623</v>
      </c>
    </row>
    <row r="2617" customFormat="false" ht="15" hidden="false" customHeight="false" outlineLevel="0" collapsed="false">
      <c r="B2617" s="36" t="n">
        <v>42880</v>
      </c>
      <c r="C2617" s="37" t="n">
        <v>3.2818</v>
      </c>
    </row>
    <row r="2618" customFormat="false" ht="15" hidden="false" customHeight="false" outlineLevel="0" collapsed="false">
      <c r="B2618" s="36" t="n">
        <v>42881</v>
      </c>
      <c r="C2618" s="37" t="n">
        <v>3.2608</v>
      </c>
    </row>
    <row r="2619" customFormat="false" ht="15" hidden="false" customHeight="false" outlineLevel="0" collapsed="false">
      <c r="B2619" s="36" t="n">
        <v>42884</v>
      </c>
      <c r="C2619" s="37" t="n">
        <v>3.2703</v>
      </c>
    </row>
    <row r="2620" customFormat="false" ht="15" hidden="false" customHeight="false" outlineLevel="0" collapsed="false">
      <c r="B2620" s="36" t="n">
        <v>42885</v>
      </c>
      <c r="C2620" s="37" t="n">
        <v>3.2653</v>
      </c>
    </row>
    <row r="2621" customFormat="false" ht="15" hidden="false" customHeight="false" outlineLevel="0" collapsed="false">
      <c r="B2621" s="36" t="n">
        <v>42886</v>
      </c>
      <c r="C2621" s="37" t="n">
        <v>3.2431</v>
      </c>
    </row>
    <row r="2622" customFormat="false" ht="15" hidden="false" customHeight="false" outlineLevel="0" collapsed="false">
      <c r="B2622" s="36" t="n">
        <v>42887</v>
      </c>
      <c r="C2622" s="37" t="n">
        <v>3.2301</v>
      </c>
    </row>
    <row r="2623" customFormat="false" ht="15" hidden="false" customHeight="false" outlineLevel="0" collapsed="false">
      <c r="B2623" s="36" t="n">
        <v>42888</v>
      </c>
      <c r="C2623" s="37" t="n">
        <v>3.2395</v>
      </c>
    </row>
    <row r="2624" customFormat="false" ht="15" hidden="false" customHeight="false" outlineLevel="0" collapsed="false">
      <c r="B2624" s="36" t="n">
        <v>42891</v>
      </c>
      <c r="C2624" s="37" t="n">
        <v>3.2814</v>
      </c>
    </row>
    <row r="2625" customFormat="false" ht="15" hidden="false" customHeight="false" outlineLevel="0" collapsed="false">
      <c r="B2625" s="36" t="n">
        <v>42892</v>
      </c>
      <c r="C2625" s="37" t="n">
        <v>3.2811</v>
      </c>
    </row>
    <row r="2626" customFormat="false" ht="15" hidden="false" customHeight="false" outlineLevel="0" collapsed="false">
      <c r="B2626" s="36" t="n">
        <v>42893</v>
      </c>
      <c r="C2626" s="37" t="n">
        <v>3.2741</v>
      </c>
    </row>
    <row r="2627" customFormat="false" ht="15" hidden="false" customHeight="false" outlineLevel="0" collapsed="false">
      <c r="B2627" s="36" t="n">
        <v>42894</v>
      </c>
      <c r="C2627" s="37" t="n">
        <v>3.2832</v>
      </c>
    </row>
    <row r="2628" customFormat="false" ht="15" hidden="false" customHeight="false" outlineLevel="0" collapsed="false">
      <c r="B2628" s="36" t="n">
        <v>42895</v>
      </c>
      <c r="C2628" s="37" t="n">
        <v>3.2734</v>
      </c>
    </row>
    <row r="2629" customFormat="false" ht="15" hidden="false" customHeight="false" outlineLevel="0" collapsed="false">
      <c r="B2629" s="36" t="n">
        <v>42898</v>
      </c>
      <c r="C2629" s="37" t="n">
        <v>3.298</v>
      </c>
    </row>
    <row r="2630" customFormat="false" ht="15" hidden="false" customHeight="false" outlineLevel="0" collapsed="false">
      <c r="B2630" s="36" t="n">
        <v>42899</v>
      </c>
      <c r="C2630" s="37" t="n">
        <v>3.3202</v>
      </c>
    </row>
    <row r="2631" customFormat="false" ht="15" hidden="false" customHeight="false" outlineLevel="0" collapsed="false">
      <c r="B2631" s="36" t="n">
        <v>42900</v>
      </c>
      <c r="C2631" s="37" t="n">
        <v>3.283</v>
      </c>
    </row>
    <row r="2632" customFormat="false" ht="15" hidden="false" customHeight="false" outlineLevel="0" collapsed="false">
      <c r="B2632" s="36" t="n">
        <v>42902</v>
      </c>
      <c r="C2632" s="37" t="n">
        <v>3.2886</v>
      </c>
    </row>
    <row r="2633" customFormat="false" ht="15" hidden="false" customHeight="false" outlineLevel="0" collapsed="false">
      <c r="B2633" s="36" t="n">
        <v>42905</v>
      </c>
      <c r="C2633" s="37" t="n">
        <v>3.2969</v>
      </c>
    </row>
    <row r="2634" customFormat="false" ht="15" hidden="false" customHeight="false" outlineLevel="0" collapsed="false">
      <c r="B2634" s="36" t="n">
        <v>42906</v>
      </c>
      <c r="C2634" s="37" t="n">
        <v>3.3139</v>
      </c>
    </row>
    <row r="2635" customFormat="false" ht="15" hidden="false" customHeight="false" outlineLevel="0" collapsed="false">
      <c r="B2635" s="36" t="n">
        <v>42907</v>
      </c>
      <c r="C2635" s="37" t="n">
        <v>3.3241</v>
      </c>
    </row>
    <row r="2636" customFormat="false" ht="15" hidden="false" customHeight="false" outlineLevel="0" collapsed="false">
      <c r="B2636" s="36" t="n">
        <v>42908</v>
      </c>
      <c r="C2636" s="37" t="n">
        <v>3.3356</v>
      </c>
    </row>
    <row r="2637" customFormat="false" ht="15" hidden="false" customHeight="false" outlineLevel="0" collapsed="false">
      <c r="B2637" s="36" t="n">
        <v>42909</v>
      </c>
      <c r="C2637" s="37" t="n">
        <v>3.3336</v>
      </c>
    </row>
    <row r="2638" customFormat="false" ht="15" hidden="false" customHeight="false" outlineLevel="0" collapsed="false">
      <c r="B2638" s="36" t="n">
        <v>42912</v>
      </c>
      <c r="C2638" s="37" t="n">
        <v>3.3122</v>
      </c>
    </row>
    <row r="2639" customFormat="false" ht="15" hidden="false" customHeight="false" outlineLevel="0" collapsed="false">
      <c r="B2639" s="36" t="n">
        <v>42913</v>
      </c>
      <c r="C2639" s="37" t="n">
        <v>3.3166</v>
      </c>
    </row>
    <row r="2640" customFormat="false" ht="15" hidden="false" customHeight="false" outlineLevel="0" collapsed="false">
      <c r="B2640" s="36" t="n">
        <v>42914</v>
      </c>
      <c r="C2640" s="37" t="n">
        <v>3.3024</v>
      </c>
    </row>
    <row r="2641" customFormat="false" ht="15" hidden="false" customHeight="false" outlineLevel="0" collapsed="false">
      <c r="B2641" s="36" t="n">
        <v>42915</v>
      </c>
      <c r="C2641" s="37" t="n">
        <v>3.2946</v>
      </c>
    </row>
    <row r="2642" customFormat="false" ht="15" hidden="false" customHeight="false" outlineLevel="0" collapsed="false">
      <c r="B2642" s="36" t="n">
        <v>42916</v>
      </c>
      <c r="C2642" s="37" t="n">
        <v>3.3076</v>
      </c>
    </row>
    <row r="2643" customFormat="false" ht="15" hidden="false" customHeight="false" outlineLevel="0" collapsed="false">
      <c r="B2643" s="36" t="n">
        <v>42919</v>
      </c>
      <c r="C2643" s="37" t="n">
        <v>3.3009</v>
      </c>
    </row>
    <row r="2644" customFormat="false" ht="15" hidden="false" customHeight="false" outlineLevel="0" collapsed="false">
      <c r="B2644" s="36" t="n">
        <v>42920</v>
      </c>
      <c r="C2644" s="37" t="n">
        <v>3.3044</v>
      </c>
    </row>
    <row r="2645" customFormat="false" ht="15" hidden="false" customHeight="false" outlineLevel="0" collapsed="false">
      <c r="B2645" s="36" t="n">
        <v>42921</v>
      </c>
      <c r="C2645" s="37" t="n">
        <v>3.3187</v>
      </c>
    </row>
    <row r="2646" customFormat="false" ht="15" hidden="false" customHeight="false" outlineLevel="0" collapsed="false">
      <c r="B2646" s="36" t="n">
        <v>42922</v>
      </c>
      <c r="C2646" s="37" t="n">
        <v>3.3058</v>
      </c>
    </row>
    <row r="2647" customFormat="false" ht="15" hidden="false" customHeight="false" outlineLevel="0" collapsed="false">
      <c r="B2647" s="36" t="n">
        <v>42923</v>
      </c>
      <c r="C2647" s="37" t="n">
        <v>3.2889</v>
      </c>
    </row>
    <row r="2648" customFormat="false" ht="15" hidden="false" customHeight="false" outlineLevel="0" collapsed="false">
      <c r="B2648" s="36" t="n">
        <v>42926</v>
      </c>
      <c r="C2648" s="37" t="n">
        <v>3.2644</v>
      </c>
    </row>
    <row r="2649" customFormat="false" ht="15" hidden="false" customHeight="false" outlineLevel="0" collapsed="false">
      <c r="B2649" s="36" t="n">
        <v>42927</v>
      </c>
      <c r="C2649" s="37" t="n">
        <v>3.2516</v>
      </c>
    </row>
    <row r="2650" customFormat="false" ht="15" hidden="false" customHeight="false" outlineLevel="0" collapsed="false">
      <c r="B2650" s="36" t="n">
        <v>42928</v>
      </c>
      <c r="C2650" s="37" t="n">
        <v>3.2258</v>
      </c>
    </row>
    <row r="2651" customFormat="false" ht="15" hidden="false" customHeight="false" outlineLevel="0" collapsed="false">
      <c r="B2651" s="36" t="n">
        <v>42929</v>
      </c>
      <c r="C2651" s="37" t="n">
        <v>3.2102</v>
      </c>
    </row>
    <row r="2652" customFormat="false" ht="15" hidden="false" customHeight="false" outlineLevel="0" collapsed="false">
      <c r="B2652" s="36" t="n">
        <v>42930</v>
      </c>
      <c r="C2652" s="37" t="n">
        <v>3.1893</v>
      </c>
    </row>
    <row r="2653" customFormat="false" ht="15" hidden="false" customHeight="false" outlineLevel="0" collapsed="false">
      <c r="B2653" s="36" t="n">
        <v>42933</v>
      </c>
      <c r="C2653" s="37" t="n">
        <v>3.1815</v>
      </c>
    </row>
    <row r="2654" customFormat="false" ht="15" hidden="false" customHeight="false" outlineLevel="0" collapsed="false">
      <c r="B2654" s="36" t="n">
        <v>42934</v>
      </c>
      <c r="C2654" s="37" t="n">
        <v>3.1662</v>
      </c>
    </row>
    <row r="2655" customFormat="false" ht="15" hidden="false" customHeight="false" outlineLevel="0" collapsed="false">
      <c r="B2655" s="36" t="n">
        <v>42935</v>
      </c>
      <c r="C2655" s="37" t="n">
        <v>3.1527</v>
      </c>
    </row>
    <row r="2656" customFormat="false" ht="15" hidden="false" customHeight="false" outlineLevel="0" collapsed="false">
      <c r="B2656" s="36" t="n">
        <v>42936</v>
      </c>
      <c r="C2656" s="37" t="n">
        <v>3.1396</v>
      </c>
    </row>
    <row r="2657" customFormat="false" ht="15" hidden="false" customHeight="false" outlineLevel="0" collapsed="false">
      <c r="B2657" s="36" t="n">
        <v>42937</v>
      </c>
      <c r="C2657" s="37" t="n">
        <v>3.125</v>
      </c>
    </row>
    <row r="2658" customFormat="false" ht="15" hidden="false" customHeight="false" outlineLevel="0" collapsed="false">
      <c r="B2658" s="36" t="n">
        <v>42940</v>
      </c>
      <c r="C2658" s="37" t="n">
        <v>3.1453</v>
      </c>
    </row>
    <row r="2659" customFormat="false" ht="15" hidden="false" customHeight="false" outlineLevel="0" collapsed="false">
      <c r="B2659" s="36" t="n">
        <v>42941</v>
      </c>
      <c r="C2659" s="37" t="n">
        <v>3.155</v>
      </c>
    </row>
    <row r="2660" customFormat="false" ht="15" hidden="false" customHeight="false" outlineLevel="0" collapsed="false">
      <c r="B2660" s="36" t="n">
        <v>42942</v>
      </c>
      <c r="C2660" s="37" t="n">
        <v>3.1651</v>
      </c>
    </row>
    <row r="2661" customFormat="false" ht="15" hidden="false" customHeight="false" outlineLevel="0" collapsed="false">
      <c r="B2661" s="36" t="n">
        <v>42943</v>
      </c>
      <c r="C2661" s="37" t="n">
        <v>3.1507</v>
      </c>
    </row>
    <row r="2662" customFormat="false" ht="15" hidden="false" customHeight="false" outlineLevel="0" collapsed="false">
      <c r="B2662" s="36" t="n">
        <v>42944</v>
      </c>
      <c r="C2662" s="37" t="n">
        <v>3.1451</v>
      </c>
    </row>
    <row r="2663" customFormat="false" ht="15" hidden="false" customHeight="false" outlineLevel="0" collapsed="false">
      <c r="B2663" s="36" t="n">
        <v>42947</v>
      </c>
      <c r="C2663" s="37" t="n">
        <v>3.1301</v>
      </c>
    </row>
    <row r="2664" customFormat="false" ht="15" hidden="false" customHeight="false" outlineLevel="0" collapsed="false">
      <c r="B2664" s="36" t="n">
        <v>42948</v>
      </c>
      <c r="C2664" s="37" t="n">
        <v>3.1154</v>
      </c>
    </row>
    <row r="2665" customFormat="false" ht="15" hidden="false" customHeight="false" outlineLevel="0" collapsed="false">
      <c r="B2665" s="36" t="n">
        <v>42949</v>
      </c>
      <c r="C2665" s="37" t="n">
        <v>3.1262</v>
      </c>
    </row>
    <row r="2666" customFormat="false" ht="15" hidden="false" customHeight="false" outlineLevel="0" collapsed="false">
      <c r="B2666" s="36" t="n">
        <v>42950</v>
      </c>
      <c r="C2666" s="37" t="n">
        <v>3.1188</v>
      </c>
    </row>
    <row r="2667" customFormat="false" ht="15" hidden="false" customHeight="false" outlineLevel="0" collapsed="false">
      <c r="B2667" s="36" t="n">
        <v>42951</v>
      </c>
      <c r="C2667" s="37" t="n">
        <v>3.1218</v>
      </c>
    </row>
    <row r="2668" customFormat="false" ht="15" hidden="false" customHeight="false" outlineLevel="0" collapsed="false">
      <c r="B2668" s="36" t="n">
        <v>42954</v>
      </c>
      <c r="C2668" s="37" t="n">
        <v>3.1261</v>
      </c>
    </row>
    <row r="2669" customFormat="false" ht="15" hidden="false" customHeight="false" outlineLevel="0" collapsed="false">
      <c r="B2669" s="36" t="n">
        <v>42955</v>
      </c>
      <c r="C2669" s="37" t="n">
        <v>3.1314</v>
      </c>
    </row>
    <row r="2670" customFormat="false" ht="15" hidden="false" customHeight="false" outlineLevel="0" collapsed="false">
      <c r="B2670" s="36" t="n">
        <v>42956</v>
      </c>
      <c r="C2670" s="37" t="n">
        <v>3.1458</v>
      </c>
    </row>
    <row r="2671" customFormat="false" ht="15" hidden="false" customHeight="false" outlineLevel="0" collapsed="false">
      <c r="B2671" s="36" t="n">
        <v>42957</v>
      </c>
      <c r="C2671" s="37" t="n">
        <v>3.1537</v>
      </c>
    </row>
    <row r="2672" customFormat="false" ht="15" hidden="false" customHeight="false" outlineLevel="0" collapsed="false">
      <c r="B2672" s="36" t="n">
        <v>42958</v>
      </c>
      <c r="C2672" s="37" t="n">
        <v>3.1689</v>
      </c>
    </row>
    <row r="2673" customFormat="false" ht="15" hidden="false" customHeight="false" outlineLevel="0" collapsed="false">
      <c r="B2673" s="36" t="n">
        <v>42961</v>
      </c>
      <c r="C2673" s="37" t="n">
        <v>3.1882</v>
      </c>
    </row>
    <row r="2674" customFormat="false" ht="15" hidden="false" customHeight="false" outlineLevel="0" collapsed="false">
      <c r="B2674" s="36" t="n">
        <v>42962</v>
      </c>
      <c r="C2674" s="37" t="n">
        <v>3.197</v>
      </c>
    </row>
    <row r="2675" customFormat="false" ht="15" hidden="false" customHeight="false" outlineLevel="0" collapsed="false">
      <c r="B2675" s="36" t="n">
        <v>42963</v>
      </c>
      <c r="C2675" s="37" t="n">
        <v>3.1664</v>
      </c>
    </row>
    <row r="2676" customFormat="false" ht="15" hidden="false" customHeight="false" outlineLevel="0" collapsed="false">
      <c r="B2676" s="36" t="n">
        <v>42964</v>
      </c>
      <c r="C2676" s="37" t="n">
        <v>3.1597</v>
      </c>
    </row>
    <row r="2677" customFormat="false" ht="15" hidden="false" customHeight="false" outlineLevel="0" collapsed="false">
      <c r="B2677" s="36" t="n">
        <v>42965</v>
      </c>
      <c r="C2677" s="37" t="n">
        <v>3.1648</v>
      </c>
    </row>
    <row r="2678" customFormat="false" ht="15" hidden="false" customHeight="false" outlineLevel="0" collapsed="false">
      <c r="B2678" s="36" t="n">
        <v>42968</v>
      </c>
      <c r="C2678" s="37" t="n">
        <v>3.1437</v>
      </c>
    </row>
    <row r="2679" customFormat="false" ht="15" hidden="false" customHeight="false" outlineLevel="0" collapsed="false">
      <c r="B2679" s="36" t="n">
        <v>42969</v>
      </c>
      <c r="C2679" s="37" t="n">
        <v>3.1533</v>
      </c>
    </row>
    <row r="2680" customFormat="false" ht="15" hidden="false" customHeight="false" outlineLevel="0" collapsed="false">
      <c r="B2680" s="36" t="n">
        <v>42970</v>
      </c>
      <c r="C2680" s="37" t="n">
        <v>3.1563</v>
      </c>
    </row>
    <row r="2681" customFormat="false" ht="15" hidden="false" customHeight="false" outlineLevel="0" collapsed="false">
      <c r="B2681" s="36" t="n">
        <v>42971</v>
      </c>
      <c r="C2681" s="37" t="n">
        <v>3.1398</v>
      </c>
    </row>
    <row r="2682" customFormat="false" ht="15" hidden="false" customHeight="false" outlineLevel="0" collapsed="false">
      <c r="B2682" s="36" t="n">
        <v>42972</v>
      </c>
      <c r="C2682" s="37" t="n">
        <v>3.1456</v>
      </c>
    </row>
    <row r="2683" customFormat="false" ht="15" hidden="false" customHeight="false" outlineLevel="0" collapsed="false">
      <c r="B2683" s="36" t="n">
        <v>42975</v>
      </c>
      <c r="C2683" s="37" t="n">
        <v>3.1557</v>
      </c>
    </row>
    <row r="2684" customFormat="false" ht="15" hidden="false" customHeight="false" outlineLevel="0" collapsed="false">
      <c r="B2684" s="36" t="n">
        <v>42976</v>
      </c>
      <c r="C2684" s="37" t="n">
        <v>3.1689</v>
      </c>
    </row>
    <row r="2685" customFormat="false" ht="15" hidden="false" customHeight="false" outlineLevel="0" collapsed="false">
      <c r="B2685" s="36" t="n">
        <v>42977</v>
      </c>
      <c r="C2685" s="37" t="n">
        <v>3.1632</v>
      </c>
    </row>
    <row r="2686" customFormat="false" ht="15" hidden="false" customHeight="false" outlineLevel="0" collapsed="false">
      <c r="B2686" s="36" t="n">
        <v>42978</v>
      </c>
      <c r="C2686" s="37" t="n">
        <v>3.1465</v>
      </c>
    </row>
    <row r="2687" customFormat="false" ht="15" hidden="false" customHeight="false" outlineLevel="0" collapsed="false">
      <c r="B2687" s="36" t="n">
        <v>42979</v>
      </c>
      <c r="C2687" s="37" t="n">
        <v>3.1327</v>
      </c>
    </row>
    <row r="2688" customFormat="false" ht="15" hidden="false" customHeight="false" outlineLevel="0" collapsed="false">
      <c r="B2688" s="36" t="n">
        <v>42982</v>
      </c>
      <c r="C2688" s="37" t="n">
        <v>3.1383</v>
      </c>
    </row>
    <row r="2689" customFormat="false" ht="15" hidden="false" customHeight="false" outlineLevel="0" collapsed="false">
      <c r="B2689" s="36" t="n">
        <v>42983</v>
      </c>
      <c r="C2689" s="37" t="n">
        <v>3.1197</v>
      </c>
    </row>
    <row r="2690" customFormat="false" ht="15" hidden="false" customHeight="false" outlineLevel="0" collapsed="false">
      <c r="B2690" s="36" t="n">
        <v>42984</v>
      </c>
      <c r="C2690" s="37" t="n">
        <v>3.1127</v>
      </c>
    </row>
    <row r="2691" customFormat="false" ht="15" hidden="false" customHeight="false" outlineLevel="0" collapsed="false">
      <c r="B2691" s="36" t="n">
        <v>42986</v>
      </c>
      <c r="C2691" s="37" t="n">
        <v>3.0902</v>
      </c>
    </row>
    <row r="2692" customFormat="false" ht="15" hidden="false" customHeight="false" outlineLevel="0" collapsed="false">
      <c r="B2692" s="36" t="n">
        <v>42989</v>
      </c>
      <c r="C2692" s="37" t="n">
        <v>3.0846</v>
      </c>
    </row>
    <row r="2693" customFormat="false" ht="15" hidden="false" customHeight="false" outlineLevel="0" collapsed="false">
      <c r="B2693" s="36" t="n">
        <v>42990</v>
      </c>
      <c r="C2693" s="37" t="n">
        <v>3.1138</v>
      </c>
    </row>
    <row r="2694" customFormat="false" ht="15" hidden="false" customHeight="false" outlineLevel="0" collapsed="false">
      <c r="B2694" s="36" t="n">
        <v>42991</v>
      </c>
      <c r="C2694" s="37" t="n">
        <v>3.1337</v>
      </c>
    </row>
    <row r="2695" customFormat="false" ht="15" hidden="false" customHeight="false" outlineLevel="0" collapsed="false">
      <c r="B2695" s="36" t="n">
        <v>42992</v>
      </c>
      <c r="C2695" s="37" t="n">
        <v>3.1348</v>
      </c>
    </row>
    <row r="2696" customFormat="false" ht="15" hidden="false" customHeight="false" outlineLevel="0" collapsed="false">
      <c r="B2696" s="36" t="n">
        <v>42993</v>
      </c>
      <c r="C2696" s="37" t="n">
        <v>3.1249</v>
      </c>
    </row>
    <row r="2697" customFormat="false" ht="15" hidden="false" customHeight="false" outlineLevel="0" collapsed="false">
      <c r="B2697" s="36" t="n">
        <v>42996</v>
      </c>
      <c r="C2697" s="37" t="n">
        <v>3.1233</v>
      </c>
    </row>
    <row r="2698" customFormat="false" ht="15" hidden="false" customHeight="false" outlineLevel="0" collapsed="false">
      <c r="B2698" s="36" t="n">
        <v>42997</v>
      </c>
      <c r="C2698" s="37" t="n">
        <v>3.1317</v>
      </c>
    </row>
    <row r="2699" customFormat="false" ht="15" hidden="false" customHeight="false" outlineLevel="0" collapsed="false">
      <c r="B2699" s="36" t="n">
        <v>42998</v>
      </c>
      <c r="C2699" s="37" t="n">
        <v>3.1275</v>
      </c>
    </row>
    <row r="2700" customFormat="false" ht="15" hidden="false" customHeight="false" outlineLevel="0" collapsed="false">
      <c r="B2700" s="36" t="n">
        <v>42999</v>
      </c>
      <c r="C2700" s="37" t="n">
        <v>3.1341</v>
      </c>
    </row>
    <row r="2701" customFormat="false" ht="15" hidden="false" customHeight="false" outlineLevel="0" collapsed="false">
      <c r="B2701" s="36" t="n">
        <v>43000</v>
      </c>
      <c r="C2701" s="37" t="n">
        <v>3.1279</v>
      </c>
    </row>
    <row r="2702" customFormat="false" ht="15" hidden="false" customHeight="false" outlineLevel="0" collapsed="false">
      <c r="B2702" s="36" t="n">
        <v>43003</v>
      </c>
      <c r="C2702" s="37" t="n">
        <v>3.1406</v>
      </c>
    </row>
    <row r="2703" customFormat="false" ht="15" hidden="false" customHeight="false" outlineLevel="0" collapsed="false">
      <c r="B2703" s="36" t="n">
        <v>43004</v>
      </c>
      <c r="C2703" s="37" t="n">
        <v>3.1668</v>
      </c>
    </row>
    <row r="2704" customFormat="false" ht="15" hidden="false" customHeight="false" outlineLevel="0" collapsed="false">
      <c r="B2704" s="36" t="n">
        <v>43005</v>
      </c>
      <c r="C2704" s="37" t="n">
        <v>3.1926</v>
      </c>
    </row>
    <row r="2705" customFormat="false" ht="15" hidden="false" customHeight="false" outlineLevel="0" collapsed="false">
      <c r="B2705" s="36" t="n">
        <v>43006</v>
      </c>
      <c r="C2705" s="37" t="n">
        <v>3.1865</v>
      </c>
    </row>
    <row r="2706" customFormat="false" ht="15" hidden="false" customHeight="false" outlineLevel="0" collapsed="false">
      <c r="B2706" s="36" t="n">
        <v>43007</v>
      </c>
      <c r="C2706" s="37" t="n">
        <v>3.1674</v>
      </c>
    </row>
    <row r="2707" customFormat="false" ht="15" hidden="false" customHeight="false" outlineLevel="0" collapsed="false">
      <c r="B2707" s="36" t="n">
        <v>43010</v>
      </c>
      <c r="C2707" s="37" t="n">
        <v>3.1636</v>
      </c>
    </row>
    <row r="2708" customFormat="false" ht="15" hidden="false" customHeight="false" outlineLevel="0" collapsed="false">
      <c r="B2708" s="36" t="n">
        <v>43011</v>
      </c>
      <c r="C2708" s="37" t="n">
        <v>3.1496</v>
      </c>
    </row>
    <row r="2709" customFormat="false" ht="15" hidden="false" customHeight="false" outlineLevel="0" collapsed="false">
      <c r="B2709" s="36" t="n">
        <v>43012</v>
      </c>
      <c r="C2709" s="37" t="n">
        <v>3.1309</v>
      </c>
    </row>
    <row r="2710" customFormat="false" ht="15" hidden="false" customHeight="false" outlineLevel="0" collapsed="false">
      <c r="B2710" s="36" t="n">
        <v>43013</v>
      </c>
      <c r="C2710" s="37" t="n">
        <v>3.1341</v>
      </c>
    </row>
    <row r="2711" customFormat="false" ht="15" hidden="false" customHeight="false" outlineLevel="0" collapsed="false">
      <c r="B2711" s="36" t="n">
        <v>43014</v>
      </c>
      <c r="C2711" s="37" t="n">
        <v>3.1642</v>
      </c>
    </row>
    <row r="2712" customFormat="false" ht="15" hidden="false" customHeight="false" outlineLevel="0" collapsed="false">
      <c r="B2712" s="36" t="n">
        <v>43017</v>
      </c>
      <c r="C2712" s="37" t="n">
        <v>3.1764</v>
      </c>
    </row>
    <row r="2713" customFormat="false" ht="15" hidden="false" customHeight="false" outlineLevel="0" collapsed="false">
      <c r="B2713" s="36" t="n">
        <v>43018</v>
      </c>
      <c r="C2713" s="37" t="n">
        <v>3.1682</v>
      </c>
    </row>
    <row r="2714" customFormat="false" ht="15" hidden="false" customHeight="false" outlineLevel="0" collapsed="false">
      <c r="B2714" s="36" t="n">
        <v>43019</v>
      </c>
      <c r="C2714" s="37" t="n">
        <v>3.1633</v>
      </c>
    </row>
    <row r="2715" customFormat="false" ht="15" hidden="false" customHeight="false" outlineLevel="0" collapsed="false">
      <c r="B2715" s="36" t="n">
        <v>43021</v>
      </c>
      <c r="C2715" s="37" t="n">
        <v>3.1567</v>
      </c>
    </row>
    <row r="2716" customFormat="false" ht="15" hidden="false" customHeight="false" outlineLevel="0" collapsed="false">
      <c r="B2716" s="36" t="n">
        <v>43024</v>
      </c>
      <c r="C2716" s="37" t="n">
        <v>3.1601</v>
      </c>
    </row>
    <row r="2717" customFormat="false" ht="15" hidden="false" customHeight="false" outlineLevel="0" collapsed="false">
      <c r="B2717" s="36" t="n">
        <v>43025</v>
      </c>
      <c r="C2717" s="37" t="n">
        <v>3.1763</v>
      </c>
    </row>
    <row r="2718" customFormat="false" ht="15" hidden="false" customHeight="false" outlineLevel="0" collapsed="false">
      <c r="B2718" s="36" t="n">
        <v>43026</v>
      </c>
      <c r="C2718" s="37" t="n">
        <v>3.1667</v>
      </c>
    </row>
    <row r="2719" customFormat="false" ht="15" hidden="false" customHeight="false" outlineLevel="0" collapsed="false">
      <c r="B2719" s="36" t="n">
        <v>43027</v>
      </c>
      <c r="C2719" s="37" t="n">
        <v>3.1727</v>
      </c>
    </row>
    <row r="2720" customFormat="false" ht="15" hidden="false" customHeight="false" outlineLevel="0" collapsed="false">
      <c r="B2720" s="36" t="n">
        <v>43028</v>
      </c>
      <c r="C2720" s="37" t="n">
        <v>3.1827</v>
      </c>
    </row>
    <row r="2721" customFormat="false" ht="15" hidden="false" customHeight="false" outlineLevel="0" collapsed="false">
      <c r="B2721" s="36" t="n">
        <v>43031</v>
      </c>
      <c r="C2721" s="37" t="n">
        <v>3.1997</v>
      </c>
    </row>
    <row r="2722" customFormat="false" ht="15" hidden="false" customHeight="false" outlineLevel="0" collapsed="false">
      <c r="B2722" s="36" t="n">
        <v>43032</v>
      </c>
      <c r="C2722" s="37" t="n">
        <v>3.2464</v>
      </c>
    </row>
    <row r="2723" customFormat="false" ht="15" hidden="false" customHeight="false" outlineLevel="0" collapsed="false">
      <c r="B2723" s="36" t="n">
        <v>43033</v>
      </c>
      <c r="C2723" s="37" t="n">
        <v>3.2381</v>
      </c>
    </row>
    <row r="2724" customFormat="false" ht="15" hidden="false" customHeight="false" outlineLevel="0" collapsed="false">
      <c r="B2724" s="36" t="n">
        <v>43034</v>
      </c>
      <c r="C2724" s="37" t="n">
        <v>3.2438</v>
      </c>
    </row>
    <row r="2725" customFormat="false" ht="15" hidden="false" customHeight="false" outlineLevel="0" collapsed="false">
      <c r="B2725" s="36" t="n">
        <v>43035</v>
      </c>
      <c r="C2725" s="37" t="n">
        <v>3.2795</v>
      </c>
    </row>
    <row r="2726" customFormat="false" ht="15" hidden="false" customHeight="false" outlineLevel="0" collapsed="false">
      <c r="B2726" s="36" t="n">
        <v>43038</v>
      </c>
      <c r="C2726" s="37" t="n">
        <v>3.2541</v>
      </c>
    </row>
    <row r="2727" customFormat="false" ht="15" hidden="false" customHeight="false" outlineLevel="0" collapsed="false">
      <c r="B2727" s="36" t="n">
        <v>43039</v>
      </c>
      <c r="C2727" s="37" t="n">
        <v>3.2763</v>
      </c>
    </row>
    <row r="2728" customFormat="false" ht="15" hidden="false" customHeight="false" outlineLevel="0" collapsed="false">
      <c r="B2728" s="36" t="n">
        <v>43040</v>
      </c>
      <c r="C2728" s="37" t="n">
        <v>3.273</v>
      </c>
    </row>
    <row r="2729" customFormat="false" ht="15" hidden="false" customHeight="false" outlineLevel="0" collapsed="false">
      <c r="B2729" s="36" t="n">
        <v>43042</v>
      </c>
      <c r="C2729" s="37" t="n">
        <v>3.2914</v>
      </c>
    </row>
    <row r="2730" customFormat="false" ht="15" hidden="false" customHeight="false" outlineLevel="0" collapsed="false">
      <c r="B2730" s="36" t="n">
        <v>43045</v>
      </c>
      <c r="C2730" s="37" t="n">
        <v>3.2845</v>
      </c>
    </row>
    <row r="2731" customFormat="false" ht="15" hidden="false" customHeight="false" outlineLevel="0" collapsed="false">
      <c r="B2731" s="36" t="n">
        <v>43046</v>
      </c>
      <c r="C2731" s="37" t="n">
        <v>3.2727</v>
      </c>
    </row>
    <row r="2732" customFormat="false" ht="15" hidden="false" customHeight="false" outlineLevel="0" collapsed="false">
      <c r="B2732" s="36" t="n">
        <v>43047</v>
      </c>
      <c r="C2732" s="37" t="n">
        <v>3.2503</v>
      </c>
    </row>
    <row r="2733" customFormat="false" ht="15" hidden="false" customHeight="false" outlineLevel="0" collapsed="false">
      <c r="B2733" s="36" t="n">
        <v>43048</v>
      </c>
      <c r="C2733" s="37" t="n">
        <v>3.2509</v>
      </c>
    </row>
    <row r="2734" customFormat="false" ht="15" hidden="false" customHeight="false" outlineLevel="0" collapsed="false">
      <c r="B2734" s="36" t="n">
        <v>43049</v>
      </c>
      <c r="C2734" s="37" t="n">
        <v>3.2655</v>
      </c>
    </row>
    <row r="2735" customFormat="false" ht="15" hidden="false" customHeight="false" outlineLevel="0" collapsed="false">
      <c r="B2735" s="36" t="n">
        <v>43052</v>
      </c>
      <c r="C2735" s="37" t="n">
        <v>3.2867</v>
      </c>
    </row>
    <row r="2736" customFormat="false" ht="15" hidden="false" customHeight="false" outlineLevel="0" collapsed="false">
      <c r="B2736" s="36" t="n">
        <v>43053</v>
      </c>
      <c r="C2736" s="37" t="n">
        <v>3.2828</v>
      </c>
    </row>
    <row r="2737" customFormat="false" ht="15" hidden="false" customHeight="false" outlineLevel="0" collapsed="false">
      <c r="B2737" s="36" t="n">
        <v>43055</v>
      </c>
      <c r="C2737" s="37" t="n">
        <v>3.2802</v>
      </c>
    </row>
    <row r="2738" customFormat="false" ht="15" hidden="false" customHeight="false" outlineLevel="0" collapsed="false">
      <c r="B2738" s="36" t="n">
        <v>43056</v>
      </c>
      <c r="C2738" s="37" t="n">
        <v>3.2782</v>
      </c>
    </row>
    <row r="2739" customFormat="false" ht="15" hidden="false" customHeight="false" outlineLevel="0" collapsed="false">
      <c r="B2739" s="36" t="n">
        <v>43059</v>
      </c>
      <c r="C2739" s="37" t="n">
        <v>3.2608</v>
      </c>
    </row>
    <row r="2740" customFormat="false" ht="15" hidden="false" customHeight="false" outlineLevel="0" collapsed="false">
      <c r="B2740" s="36" t="n">
        <v>43060</v>
      </c>
      <c r="C2740" s="37" t="n">
        <v>3.2585</v>
      </c>
    </row>
    <row r="2741" customFormat="false" ht="15" hidden="false" customHeight="false" outlineLevel="0" collapsed="false">
      <c r="B2741" s="36" t="n">
        <v>43061</v>
      </c>
      <c r="C2741" s="37" t="n">
        <v>3.2555</v>
      </c>
    </row>
    <row r="2742" customFormat="false" ht="15" hidden="false" customHeight="false" outlineLevel="0" collapsed="false">
      <c r="B2742" s="36" t="n">
        <v>43062</v>
      </c>
      <c r="C2742" s="37" t="n">
        <v>3.2365</v>
      </c>
    </row>
    <row r="2743" customFormat="false" ht="15" hidden="false" customHeight="false" outlineLevel="0" collapsed="false">
      <c r="B2743" s="36" t="n">
        <v>43063</v>
      </c>
      <c r="C2743" s="37" t="n">
        <v>3.2294</v>
      </c>
    </row>
    <row r="2744" customFormat="false" ht="15" hidden="false" customHeight="false" outlineLevel="0" collapsed="false">
      <c r="B2744" s="36" t="n">
        <v>43066</v>
      </c>
      <c r="C2744" s="37" t="n">
        <v>3.2212</v>
      </c>
    </row>
    <row r="2745" customFormat="false" ht="15" hidden="false" customHeight="false" outlineLevel="0" collapsed="false">
      <c r="B2745" s="36" t="n">
        <v>43067</v>
      </c>
      <c r="C2745" s="37" t="n">
        <v>3.2226</v>
      </c>
    </row>
    <row r="2746" customFormat="false" ht="15" hidden="false" customHeight="false" outlineLevel="0" collapsed="false">
      <c r="B2746" s="36" t="n">
        <v>43068</v>
      </c>
      <c r="C2746" s="37" t="n">
        <v>3.213</v>
      </c>
    </row>
    <row r="2747" customFormat="false" ht="15" hidden="false" customHeight="false" outlineLevel="0" collapsed="false">
      <c r="B2747" s="36" t="n">
        <v>43069</v>
      </c>
      <c r="C2747" s="37" t="n">
        <v>3.261</v>
      </c>
    </row>
    <row r="2748" customFormat="false" ht="15" hidden="false" customHeight="false" outlineLevel="0" collapsed="false">
      <c r="B2748" s="36" t="n">
        <v>43070</v>
      </c>
      <c r="C2748" s="37" t="n">
        <v>3.263</v>
      </c>
    </row>
    <row r="2749" customFormat="false" ht="15" hidden="false" customHeight="false" outlineLevel="0" collapsed="false">
      <c r="B2749" s="36" t="n">
        <v>43073</v>
      </c>
      <c r="C2749" s="37" t="n">
        <v>3.25</v>
      </c>
    </row>
    <row r="2750" customFormat="false" ht="15" hidden="false" customHeight="false" outlineLevel="0" collapsed="false">
      <c r="B2750" s="36" t="n">
        <v>43074</v>
      </c>
      <c r="C2750" s="37" t="n">
        <v>3.2316</v>
      </c>
    </row>
    <row r="2751" customFormat="false" ht="15" hidden="false" customHeight="false" outlineLevel="0" collapsed="false">
      <c r="B2751" s="36" t="n">
        <v>43075</v>
      </c>
      <c r="C2751" s="37" t="n">
        <v>3.2348</v>
      </c>
    </row>
    <row r="2752" customFormat="false" ht="15" hidden="false" customHeight="false" outlineLevel="0" collapsed="false">
      <c r="B2752" s="36" t="n">
        <v>43076</v>
      </c>
      <c r="C2752" s="37" t="n">
        <v>3.2886</v>
      </c>
    </row>
    <row r="2753" customFormat="false" ht="15" hidden="false" customHeight="false" outlineLevel="0" collapsed="false">
      <c r="B2753" s="36" t="n">
        <v>43077</v>
      </c>
      <c r="C2753" s="37" t="n">
        <v>3.2805</v>
      </c>
    </row>
    <row r="2754" customFormat="false" ht="15" hidden="false" customHeight="false" outlineLevel="0" collapsed="false">
      <c r="B2754" s="36" t="n">
        <v>43080</v>
      </c>
      <c r="C2754" s="37" t="n">
        <v>3.2839</v>
      </c>
    </row>
    <row r="2755" customFormat="false" ht="15" hidden="false" customHeight="false" outlineLevel="0" collapsed="false">
      <c r="B2755" s="36" t="n">
        <v>43081</v>
      </c>
      <c r="C2755" s="37" t="n">
        <v>3.3143</v>
      </c>
    </row>
    <row r="2756" customFormat="false" ht="15" hidden="false" customHeight="false" outlineLevel="0" collapsed="false">
      <c r="B2756" s="36" t="n">
        <v>43082</v>
      </c>
      <c r="C2756" s="37" t="n">
        <v>3.303</v>
      </c>
    </row>
    <row r="2757" customFormat="false" ht="15" hidden="false" customHeight="false" outlineLevel="0" collapsed="false">
      <c r="B2757" s="36" t="n">
        <v>43083</v>
      </c>
      <c r="C2757" s="37" t="n">
        <v>3.3326</v>
      </c>
    </row>
    <row r="2758" customFormat="false" ht="15" hidden="false" customHeight="false" outlineLevel="0" collapsed="false">
      <c r="B2758" s="36" t="n">
        <v>43084</v>
      </c>
      <c r="C2758" s="37" t="n">
        <v>3.3176</v>
      </c>
    </row>
    <row r="2759" customFormat="false" ht="15" hidden="false" customHeight="false" outlineLevel="0" collapsed="false">
      <c r="B2759" s="36" t="n">
        <v>43087</v>
      </c>
      <c r="C2759" s="37" t="n">
        <v>3.2875</v>
      </c>
    </row>
    <row r="2760" customFormat="false" ht="15" hidden="false" customHeight="false" outlineLevel="0" collapsed="false">
      <c r="B2760" s="36" t="n">
        <v>43088</v>
      </c>
      <c r="C2760" s="37" t="n">
        <v>3.2877</v>
      </c>
    </row>
    <row r="2761" customFormat="false" ht="15" hidden="false" customHeight="false" outlineLevel="0" collapsed="false">
      <c r="B2761" s="36" t="n">
        <v>43089</v>
      </c>
      <c r="C2761" s="37" t="n">
        <v>3.2903</v>
      </c>
    </row>
    <row r="2762" customFormat="false" ht="15" hidden="false" customHeight="false" outlineLevel="0" collapsed="false">
      <c r="B2762" s="36" t="n">
        <v>43090</v>
      </c>
      <c r="C2762" s="37" t="n">
        <v>3.3039</v>
      </c>
    </row>
    <row r="2763" customFormat="false" ht="15" hidden="false" customHeight="false" outlineLevel="0" collapsed="false">
      <c r="B2763" s="36" t="n">
        <v>43091</v>
      </c>
      <c r="C2763" s="37" t="n">
        <v>3.3203</v>
      </c>
    </row>
    <row r="2764" customFormat="false" ht="15" hidden="false" customHeight="false" outlineLevel="0" collapsed="false">
      <c r="B2764" s="36" t="n">
        <v>43095</v>
      </c>
      <c r="C2764" s="37" t="n">
        <v>3.3194</v>
      </c>
    </row>
    <row r="2765" customFormat="false" ht="15" hidden="false" customHeight="false" outlineLevel="0" collapsed="false">
      <c r="B2765" s="36" t="n">
        <v>43096</v>
      </c>
      <c r="C2765" s="37" t="n">
        <v>3.3024</v>
      </c>
    </row>
    <row r="2766" customFormat="false" ht="15" hidden="false" customHeight="false" outlineLevel="0" collapsed="false">
      <c r="B2766" s="36" t="n">
        <v>43097</v>
      </c>
      <c r="C2766" s="37" t="n">
        <v>3.3074</v>
      </c>
    </row>
    <row r="2767" customFormat="false" ht="15" hidden="false" customHeight="false" outlineLevel="0" collapsed="false">
      <c r="B2767" s="36" t="n">
        <v>43098</v>
      </c>
      <c r="C2767" s="37" t="n">
        <v>3.3074</v>
      </c>
    </row>
    <row r="2768" customFormat="false" ht="15" hidden="false" customHeight="false" outlineLevel="0" collapsed="false">
      <c r="B2768" s="36" t="n">
        <v>43102</v>
      </c>
      <c r="C2768" s="37" t="n">
        <v>3.2691</v>
      </c>
    </row>
    <row r="2769" customFormat="false" ht="15" hidden="false" customHeight="false" outlineLevel="0" collapsed="false">
      <c r="B2769" s="36" t="n">
        <v>43103</v>
      </c>
      <c r="C2769" s="37" t="n">
        <v>3.2529</v>
      </c>
    </row>
    <row r="2770" customFormat="false" ht="15" hidden="false" customHeight="false" outlineLevel="0" collapsed="false">
      <c r="B2770" s="36" t="n">
        <v>43104</v>
      </c>
      <c r="C2770" s="37" t="n">
        <v>3.2312</v>
      </c>
    </row>
    <row r="2771" customFormat="false" ht="15" hidden="false" customHeight="false" outlineLevel="0" collapsed="false">
      <c r="B2771" s="36" t="n">
        <v>43105</v>
      </c>
      <c r="C2771" s="37" t="n">
        <v>3.2403</v>
      </c>
    </row>
    <row r="2772" customFormat="false" ht="15" hidden="false" customHeight="false" outlineLevel="0" collapsed="false">
      <c r="B2772" s="36" t="n">
        <v>43108</v>
      </c>
      <c r="C2772" s="37" t="n">
        <v>3.2351</v>
      </c>
    </row>
    <row r="2773" customFormat="false" ht="15" hidden="false" customHeight="false" outlineLevel="0" collapsed="false">
      <c r="B2773" s="36" t="n">
        <v>43109</v>
      </c>
      <c r="C2773" s="37" t="n">
        <v>3.2391</v>
      </c>
    </row>
    <row r="2774" customFormat="false" ht="15" hidden="false" customHeight="false" outlineLevel="0" collapsed="false">
      <c r="B2774" s="36" t="n">
        <v>43110</v>
      </c>
      <c r="C2774" s="37" t="n">
        <v>3.2461</v>
      </c>
    </row>
    <row r="2775" customFormat="false" ht="15" hidden="false" customHeight="false" outlineLevel="0" collapsed="false">
      <c r="B2775" s="36" t="n">
        <v>43111</v>
      </c>
      <c r="C2775" s="37" t="n">
        <v>3.2295</v>
      </c>
    </row>
    <row r="2776" customFormat="false" ht="15" hidden="false" customHeight="false" outlineLevel="0" collapsed="false">
      <c r="B2776" s="36" t="n">
        <v>43112</v>
      </c>
      <c r="C2776" s="37" t="n">
        <v>3.2192</v>
      </c>
    </row>
    <row r="2777" customFormat="false" ht="15" hidden="false" customHeight="false" outlineLevel="0" collapsed="false">
      <c r="B2777" s="36" t="n">
        <v>43115</v>
      </c>
      <c r="C2777" s="37" t="n">
        <v>3.1957</v>
      </c>
    </row>
    <row r="2778" customFormat="false" ht="15" hidden="false" customHeight="false" outlineLevel="0" collapsed="false">
      <c r="B2778" s="36" t="n">
        <v>43116</v>
      </c>
      <c r="C2778" s="37" t="n">
        <v>3.2213</v>
      </c>
    </row>
    <row r="2779" customFormat="false" ht="15" hidden="false" customHeight="false" outlineLevel="0" collapsed="false">
      <c r="B2779" s="36" t="n">
        <v>43117</v>
      </c>
      <c r="C2779" s="37" t="n">
        <v>3.2318</v>
      </c>
    </row>
    <row r="2780" customFormat="false" ht="15" hidden="false" customHeight="false" outlineLevel="0" collapsed="false">
      <c r="B2780" s="36" t="n">
        <v>43118</v>
      </c>
      <c r="C2780" s="37" t="n">
        <v>3.2123</v>
      </c>
    </row>
    <row r="2781" customFormat="false" ht="15" hidden="false" customHeight="false" outlineLevel="0" collapsed="false">
      <c r="B2781" s="36" t="n">
        <v>43119</v>
      </c>
      <c r="C2781" s="37" t="n">
        <v>3.2081</v>
      </c>
    </row>
    <row r="2782" customFormat="false" ht="15" hidden="false" customHeight="false" outlineLevel="0" collapsed="false">
      <c r="B2782" s="36" t="n">
        <v>43122</v>
      </c>
      <c r="C2782" s="37" t="n">
        <v>3.1928</v>
      </c>
    </row>
    <row r="2783" customFormat="false" ht="15" hidden="false" customHeight="false" outlineLevel="0" collapsed="false">
      <c r="B2783" s="36" t="n">
        <v>43123</v>
      </c>
      <c r="C2783" s="37" t="n">
        <v>3.2243</v>
      </c>
    </row>
    <row r="2784" customFormat="false" ht="15" hidden="false" customHeight="false" outlineLevel="0" collapsed="false">
      <c r="B2784" s="36" t="n">
        <v>43124</v>
      </c>
      <c r="C2784" s="37" t="n">
        <v>3.1964</v>
      </c>
    </row>
    <row r="2785" customFormat="false" ht="15" hidden="false" customHeight="false" outlineLevel="0" collapsed="false">
      <c r="B2785" s="36" t="n">
        <v>43125</v>
      </c>
      <c r="C2785" s="37" t="n">
        <v>3.138</v>
      </c>
    </row>
    <row r="2786" customFormat="false" ht="15" hidden="false" customHeight="false" outlineLevel="0" collapsed="false">
      <c r="B2786" s="36" t="n">
        <v>43126</v>
      </c>
      <c r="C2786" s="37" t="n">
        <v>3.1444</v>
      </c>
    </row>
    <row r="2787" customFormat="false" ht="15" hidden="false" customHeight="false" outlineLevel="0" collapsed="false">
      <c r="B2787" s="36" t="n">
        <v>43129</v>
      </c>
      <c r="C2787" s="37" t="n">
        <v>3.1648</v>
      </c>
    </row>
    <row r="2788" customFormat="false" ht="15" hidden="false" customHeight="false" outlineLevel="0" collapsed="false">
      <c r="B2788" s="36" t="n">
        <v>43130</v>
      </c>
      <c r="C2788" s="37" t="n">
        <v>3.1655</v>
      </c>
    </row>
    <row r="2789" customFormat="false" ht="15" hidden="false" customHeight="false" outlineLevel="0" collapsed="false">
      <c r="B2789" s="36" t="n">
        <v>43131</v>
      </c>
      <c r="C2789" s="37" t="n">
        <v>3.1618</v>
      </c>
    </row>
    <row r="2790" customFormat="false" ht="15" hidden="false" customHeight="false" outlineLevel="0" collapsed="false">
      <c r="B2790" s="36" t="n">
        <v>43132</v>
      </c>
      <c r="C2790" s="37" t="n">
        <v>3.1724</v>
      </c>
    </row>
    <row r="2791" customFormat="false" ht="15" hidden="false" customHeight="false" outlineLevel="0" collapsed="false">
      <c r="B2791" s="36" t="n">
        <v>43133</v>
      </c>
      <c r="C2791" s="37" t="n">
        <v>3.2054</v>
      </c>
    </row>
    <row r="2792" customFormat="false" ht="15" hidden="false" customHeight="false" outlineLevel="0" collapsed="false">
      <c r="B2792" s="36" t="n">
        <v>43136</v>
      </c>
      <c r="C2792" s="37" t="n">
        <v>3.2349</v>
      </c>
    </row>
    <row r="2793" customFormat="false" ht="15" hidden="false" customHeight="false" outlineLevel="0" collapsed="false">
      <c r="B2793" s="36" t="n">
        <v>43137</v>
      </c>
      <c r="C2793" s="37" t="n">
        <v>3.2607</v>
      </c>
    </row>
    <row r="2794" customFormat="false" ht="15" hidden="false" customHeight="false" outlineLevel="0" collapsed="false">
      <c r="B2794" s="36" t="n">
        <v>43138</v>
      </c>
      <c r="C2794" s="37" t="n">
        <v>3.2461</v>
      </c>
    </row>
    <row r="2795" customFormat="false" ht="15" hidden="false" customHeight="false" outlineLevel="0" collapsed="false">
      <c r="B2795" s="36" t="n">
        <v>43139</v>
      </c>
      <c r="C2795" s="37" t="n">
        <v>3.2686</v>
      </c>
    </row>
    <row r="2796" customFormat="false" ht="15" hidden="false" customHeight="false" outlineLevel="0" collapsed="false">
      <c r="B2796" s="36" t="n">
        <v>43140</v>
      </c>
      <c r="C2796" s="37" t="n">
        <v>3.2815</v>
      </c>
    </row>
    <row r="2797" customFormat="false" ht="15" hidden="false" customHeight="false" outlineLevel="0" collapsed="false">
      <c r="B2797" s="36" t="n">
        <v>43145</v>
      </c>
      <c r="C2797" s="37" t="n">
        <v>3.2531</v>
      </c>
    </row>
    <row r="2798" customFormat="false" ht="15" hidden="false" customHeight="false" outlineLevel="0" collapsed="false">
      <c r="B2798" s="36" t="n">
        <v>43146</v>
      </c>
      <c r="C2798" s="37" t="n">
        <v>3.2202</v>
      </c>
    </row>
    <row r="2799" customFormat="false" ht="15" hidden="false" customHeight="false" outlineLevel="0" collapsed="false">
      <c r="B2799" s="36" t="n">
        <v>43147</v>
      </c>
      <c r="C2799" s="37" t="n">
        <v>3.2375</v>
      </c>
    </row>
    <row r="2800" customFormat="false" ht="15" hidden="false" customHeight="false" outlineLevel="0" collapsed="false">
      <c r="B2800" s="36" t="n">
        <v>43150</v>
      </c>
      <c r="C2800" s="37" t="n">
        <v>3.2341</v>
      </c>
    </row>
    <row r="2801" customFormat="false" ht="15" hidden="false" customHeight="false" outlineLevel="0" collapsed="false">
      <c r="B2801" s="36" t="n">
        <v>43151</v>
      </c>
      <c r="C2801" s="37" t="n">
        <v>3.2501</v>
      </c>
    </row>
    <row r="2802" customFormat="false" ht="15" hidden="false" customHeight="false" outlineLevel="0" collapsed="false">
      <c r="B2802" s="36" t="n">
        <v>43152</v>
      </c>
      <c r="C2802" s="37" t="n">
        <v>3.2549</v>
      </c>
    </row>
    <row r="2803" customFormat="false" ht="15" hidden="false" customHeight="false" outlineLevel="0" collapsed="false">
      <c r="B2803" s="36" t="n">
        <v>43153</v>
      </c>
      <c r="C2803" s="37" t="n">
        <v>3.2592</v>
      </c>
    </row>
    <row r="2804" customFormat="false" ht="15" hidden="false" customHeight="false" outlineLevel="0" collapsed="false">
      <c r="B2804" s="36" t="n">
        <v>43154</v>
      </c>
      <c r="C2804" s="37" t="n">
        <v>3.2411</v>
      </c>
    </row>
    <row r="2805" customFormat="false" ht="15" hidden="false" customHeight="false" outlineLevel="0" collapsed="false">
      <c r="B2805" s="36" t="n">
        <v>43157</v>
      </c>
      <c r="C2805" s="37" t="n">
        <v>3.2345</v>
      </c>
    </row>
    <row r="2806" customFormat="false" ht="15" hidden="false" customHeight="false" outlineLevel="0" collapsed="false">
      <c r="B2806" s="36" t="n">
        <v>43158</v>
      </c>
      <c r="C2806" s="37" t="n">
        <v>3.2377</v>
      </c>
    </row>
    <row r="2807" customFormat="false" ht="15" hidden="false" customHeight="false" outlineLevel="0" collapsed="false">
      <c r="B2807" s="36" t="n">
        <v>43159</v>
      </c>
      <c r="C2807" s="37" t="n">
        <v>3.2443</v>
      </c>
    </row>
    <row r="2808" customFormat="false" ht="15" hidden="false" customHeight="false" outlineLevel="0" collapsed="false">
      <c r="B2808" s="36" t="n">
        <v>43160</v>
      </c>
      <c r="C2808" s="37" t="n">
        <v>3.2614</v>
      </c>
    </row>
    <row r="2809" customFormat="false" ht="15" hidden="false" customHeight="false" outlineLevel="0" collapsed="false">
      <c r="B2809" s="36" t="n">
        <v>43161</v>
      </c>
      <c r="C2809" s="37" t="n">
        <v>3.2608</v>
      </c>
    </row>
    <row r="2810" customFormat="false" ht="15" hidden="false" customHeight="false" outlineLevel="0" collapsed="false">
      <c r="B2810" s="36" t="n">
        <v>43164</v>
      </c>
      <c r="C2810" s="37" t="n">
        <v>3.2576</v>
      </c>
    </row>
    <row r="2811" customFormat="false" ht="15" hidden="false" customHeight="false" outlineLevel="0" collapsed="false">
      <c r="B2811" s="36" t="n">
        <v>43165</v>
      </c>
      <c r="C2811" s="37" t="n">
        <v>3.224</v>
      </c>
    </row>
    <row r="2812" customFormat="false" ht="15" hidden="false" customHeight="false" outlineLevel="0" collapsed="false">
      <c r="B2812" s="36" t="n">
        <v>43166</v>
      </c>
      <c r="C2812" s="37" t="n">
        <v>3.2312</v>
      </c>
    </row>
    <row r="2813" customFormat="false" ht="15" hidden="false" customHeight="false" outlineLevel="0" collapsed="false">
      <c r="B2813" s="36" t="n">
        <v>43167</v>
      </c>
      <c r="C2813" s="37" t="n">
        <v>3.2512</v>
      </c>
    </row>
    <row r="2814" customFormat="false" ht="15" hidden="false" customHeight="false" outlineLevel="0" collapsed="false">
      <c r="B2814" s="36" t="n">
        <v>43168</v>
      </c>
      <c r="C2814" s="37" t="n">
        <v>3.249</v>
      </c>
    </row>
    <row r="2815" customFormat="false" ht="15" hidden="false" customHeight="false" outlineLevel="0" collapsed="false">
      <c r="B2815" s="36" t="n">
        <v>43171</v>
      </c>
      <c r="C2815" s="37" t="n">
        <v>3.26</v>
      </c>
    </row>
    <row r="2816" customFormat="false" ht="15" hidden="false" customHeight="false" outlineLevel="0" collapsed="false">
      <c r="B2816" s="36" t="n">
        <v>43172</v>
      </c>
      <c r="C2816" s="37" t="n">
        <v>3.2486</v>
      </c>
    </row>
    <row r="2817" customFormat="false" ht="15" hidden="false" customHeight="false" outlineLevel="0" collapsed="false">
      <c r="B2817" s="36" t="n">
        <v>43173</v>
      </c>
      <c r="C2817" s="37" t="n">
        <v>3.2578</v>
      </c>
    </row>
    <row r="2818" customFormat="false" ht="15" hidden="false" customHeight="false" outlineLevel="0" collapsed="false">
      <c r="B2818" s="36" t="n">
        <v>43174</v>
      </c>
      <c r="C2818" s="37" t="n">
        <v>3.2853</v>
      </c>
    </row>
    <row r="2819" customFormat="false" ht="15" hidden="false" customHeight="false" outlineLevel="0" collapsed="false">
      <c r="B2819" s="36" t="n">
        <v>43175</v>
      </c>
      <c r="C2819" s="37" t="n">
        <v>3.2899</v>
      </c>
    </row>
    <row r="2820" customFormat="false" ht="15" hidden="false" customHeight="false" outlineLevel="0" collapsed="false">
      <c r="B2820" s="36" t="n">
        <v>43178</v>
      </c>
      <c r="C2820" s="37" t="n">
        <v>3.2905</v>
      </c>
    </row>
    <row r="2821" customFormat="false" ht="15" hidden="false" customHeight="false" outlineLevel="0" collapsed="false">
      <c r="B2821" s="36" t="n">
        <v>43179</v>
      </c>
      <c r="C2821" s="37" t="n">
        <v>3.2975</v>
      </c>
    </row>
    <row r="2822" customFormat="false" ht="15" hidden="false" customHeight="false" outlineLevel="0" collapsed="false">
      <c r="B2822" s="36" t="n">
        <v>43180</v>
      </c>
      <c r="C2822" s="37" t="n">
        <v>3.2915</v>
      </c>
    </row>
    <row r="2823" customFormat="false" ht="15" hidden="false" customHeight="false" outlineLevel="0" collapsed="false">
      <c r="B2823" s="36" t="n">
        <v>43181</v>
      </c>
      <c r="C2823" s="37" t="n">
        <v>3.3027</v>
      </c>
    </row>
    <row r="2824" customFormat="false" ht="15" hidden="false" customHeight="false" outlineLevel="0" collapsed="false">
      <c r="B2824" s="36" t="n">
        <v>43182</v>
      </c>
      <c r="C2824" s="37" t="n">
        <v>3.3035</v>
      </c>
    </row>
    <row r="2825" customFormat="false" ht="15" hidden="false" customHeight="false" outlineLevel="0" collapsed="false">
      <c r="B2825" s="36" t="n">
        <v>43185</v>
      </c>
      <c r="C2825" s="37" t="n">
        <v>3.3028</v>
      </c>
    </row>
    <row r="2826" customFormat="false" ht="15" hidden="false" customHeight="false" outlineLevel="0" collapsed="false">
      <c r="B2826" s="36" t="n">
        <v>43186</v>
      </c>
      <c r="C2826" s="37" t="n">
        <v>3.325</v>
      </c>
    </row>
    <row r="2827" customFormat="false" ht="15" hidden="false" customHeight="false" outlineLevel="0" collapsed="false">
      <c r="B2827" s="36" t="n">
        <v>43187</v>
      </c>
      <c r="C2827" s="37" t="n">
        <v>3.3374</v>
      </c>
    </row>
    <row r="2828" customFormat="false" ht="15" hidden="false" customHeight="false" outlineLevel="0" collapsed="false">
      <c r="B2828" s="36" t="n">
        <v>43188</v>
      </c>
      <c r="C2828" s="37" t="n">
        <v>3.3232</v>
      </c>
    </row>
    <row r="2829" customFormat="false" ht="15" hidden="false" customHeight="false" outlineLevel="0" collapsed="false">
      <c r="B2829" s="36" t="n">
        <v>43192</v>
      </c>
      <c r="C2829" s="37" t="n">
        <v>3.3098</v>
      </c>
    </row>
    <row r="2830" customFormat="false" ht="15" hidden="false" customHeight="false" outlineLevel="0" collapsed="false">
      <c r="B2830" s="36" t="n">
        <v>43193</v>
      </c>
      <c r="C2830" s="37" t="n">
        <v>3.3133</v>
      </c>
    </row>
    <row r="2831" customFormat="false" ht="15" hidden="false" customHeight="false" outlineLevel="0" collapsed="false">
      <c r="B2831" s="36" t="n">
        <v>43194</v>
      </c>
      <c r="C2831" s="37" t="n">
        <v>3.3532</v>
      </c>
    </row>
    <row r="2832" customFormat="false" ht="15" hidden="false" customHeight="false" outlineLevel="0" collapsed="false">
      <c r="B2832" s="36" t="n">
        <v>43195</v>
      </c>
      <c r="C2832" s="37" t="n">
        <v>3.319</v>
      </c>
    </row>
    <row r="2833" customFormat="false" ht="15" hidden="false" customHeight="false" outlineLevel="0" collapsed="false">
      <c r="B2833" s="36" t="n">
        <v>43196</v>
      </c>
      <c r="C2833" s="37" t="n">
        <v>3.366</v>
      </c>
    </row>
    <row r="2834" customFormat="false" ht="15" hidden="false" customHeight="false" outlineLevel="0" collapsed="false">
      <c r="B2834" s="36" t="n">
        <v>43199</v>
      </c>
      <c r="C2834" s="37" t="n">
        <v>3.3897</v>
      </c>
    </row>
    <row r="2835" customFormat="false" ht="15" hidden="false" customHeight="false" outlineLevel="0" collapsed="false">
      <c r="B2835" s="36" t="n">
        <v>43200</v>
      </c>
      <c r="C2835" s="37" t="n">
        <v>3.4189</v>
      </c>
    </row>
    <row r="2836" customFormat="false" ht="15" hidden="false" customHeight="false" outlineLevel="0" collapsed="false">
      <c r="B2836" s="36" t="n">
        <v>43201</v>
      </c>
      <c r="C2836" s="37" t="n">
        <v>3.4046</v>
      </c>
    </row>
    <row r="2837" customFormat="false" ht="15" hidden="false" customHeight="false" outlineLevel="0" collapsed="false">
      <c r="B2837" s="36" t="n">
        <v>43202</v>
      </c>
      <c r="C2837" s="37" t="n">
        <v>3.3852</v>
      </c>
    </row>
    <row r="2838" customFormat="false" ht="15" hidden="false" customHeight="false" outlineLevel="0" collapsed="false">
      <c r="B2838" s="36" t="n">
        <v>43203</v>
      </c>
      <c r="C2838" s="37" t="n">
        <v>3.4099</v>
      </c>
    </row>
    <row r="2839" customFormat="false" ht="15" hidden="false" customHeight="false" outlineLevel="0" collapsed="false">
      <c r="B2839" s="36" t="n">
        <v>43206</v>
      </c>
      <c r="C2839" s="37" t="n">
        <v>3.4257</v>
      </c>
    </row>
    <row r="2840" customFormat="false" ht="15" hidden="false" customHeight="false" outlineLevel="0" collapsed="false">
      <c r="B2840" s="36" t="n">
        <v>43207</v>
      </c>
      <c r="C2840" s="37" t="n">
        <v>3.4035</v>
      </c>
    </row>
    <row r="2841" customFormat="false" ht="15" hidden="false" customHeight="false" outlineLevel="0" collapsed="false">
      <c r="B2841" s="36" t="n">
        <v>43208</v>
      </c>
      <c r="C2841" s="37" t="n">
        <v>3.3838</v>
      </c>
    </row>
    <row r="2842" customFormat="false" ht="15" hidden="false" customHeight="false" outlineLevel="0" collapsed="false">
      <c r="B2842" s="36" t="n">
        <v>43209</v>
      </c>
      <c r="C2842" s="37" t="n">
        <v>3.3971</v>
      </c>
    </row>
    <row r="2843" customFormat="false" ht="15" hidden="false" customHeight="false" outlineLevel="0" collapsed="false">
      <c r="B2843" s="36" t="n">
        <v>43210</v>
      </c>
      <c r="C2843" s="37" t="n">
        <v>3.4096</v>
      </c>
    </row>
    <row r="2844" customFormat="false" ht="15" hidden="false" customHeight="false" outlineLevel="0" collapsed="false">
      <c r="B2844" s="36" t="n">
        <v>43213</v>
      </c>
      <c r="C2844" s="37" t="n">
        <v>3.4415</v>
      </c>
    </row>
    <row r="2845" customFormat="false" ht="15" hidden="false" customHeight="false" outlineLevel="0" collapsed="false">
      <c r="B2845" s="36" t="n">
        <v>43214</v>
      </c>
      <c r="C2845" s="37" t="n">
        <v>3.4661</v>
      </c>
    </row>
    <row r="2846" customFormat="false" ht="15" hidden="false" customHeight="false" outlineLevel="0" collapsed="false">
      <c r="B2846" s="36" t="n">
        <v>43215</v>
      </c>
      <c r="C2846" s="37" t="n">
        <v>3.5034</v>
      </c>
    </row>
    <row r="2847" customFormat="false" ht="15" hidden="false" customHeight="false" outlineLevel="0" collapsed="false">
      <c r="B2847" s="36" t="n">
        <v>43216</v>
      </c>
      <c r="C2847" s="37" t="n">
        <v>3.4971</v>
      </c>
    </row>
    <row r="2848" customFormat="false" ht="15" hidden="false" customHeight="false" outlineLevel="0" collapsed="false">
      <c r="B2848" s="36" t="n">
        <v>43217</v>
      </c>
      <c r="C2848" s="37" t="n">
        <v>3.467</v>
      </c>
    </row>
    <row r="2849" customFormat="false" ht="15" hidden="false" customHeight="false" outlineLevel="0" collapsed="false">
      <c r="B2849" s="36" t="n">
        <v>43220</v>
      </c>
      <c r="C2849" s="37" t="n">
        <v>3.4805</v>
      </c>
    </row>
    <row r="2850" customFormat="false" ht="15" hidden="false" customHeight="false" outlineLevel="0" collapsed="false">
      <c r="B2850" s="36" t="n">
        <v>43222</v>
      </c>
      <c r="C2850" s="37" t="n">
        <v>3.5418</v>
      </c>
    </row>
    <row r="2851" customFormat="false" ht="15" hidden="false" customHeight="false" outlineLevel="0" collapsed="false">
      <c r="B2851" s="36" t="n">
        <v>43223</v>
      </c>
      <c r="C2851" s="37" t="n">
        <v>3.5478</v>
      </c>
    </row>
    <row r="2852" customFormat="false" ht="15" hidden="false" customHeight="false" outlineLevel="0" collapsed="false">
      <c r="B2852" s="36" t="n">
        <v>43224</v>
      </c>
      <c r="C2852" s="37" t="n">
        <v>3.5302</v>
      </c>
    </row>
    <row r="2853" customFormat="false" ht="15" hidden="false" customHeight="false" outlineLevel="0" collapsed="false">
      <c r="B2853" s="36" t="n">
        <v>43227</v>
      </c>
      <c r="C2853" s="37" t="n">
        <v>3.5452</v>
      </c>
    </row>
    <row r="2854" customFormat="false" ht="15" hidden="false" customHeight="false" outlineLevel="0" collapsed="false">
      <c r="B2854" s="36" t="n">
        <v>43228</v>
      </c>
      <c r="C2854" s="37" t="n">
        <v>3.5782</v>
      </c>
    </row>
    <row r="2855" customFormat="false" ht="15" hidden="false" customHeight="false" outlineLevel="0" collapsed="false">
      <c r="B2855" s="36" t="n">
        <v>43229</v>
      </c>
      <c r="C2855" s="37" t="n">
        <v>3.5937</v>
      </c>
    </row>
    <row r="2856" customFormat="false" ht="15" hidden="false" customHeight="false" outlineLevel="0" collapsed="false">
      <c r="B2856" s="36" t="n">
        <v>43230</v>
      </c>
      <c r="C2856" s="37" t="n">
        <v>3.5561</v>
      </c>
    </row>
    <row r="2857" customFormat="false" ht="15" hidden="false" customHeight="false" outlineLevel="0" collapsed="false">
      <c r="B2857" s="36" t="n">
        <v>43231</v>
      </c>
      <c r="C2857" s="37" t="n">
        <v>3.571</v>
      </c>
    </row>
    <row r="2858" customFormat="false" ht="15" hidden="false" customHeight="false" outlineLevel="0" collapsed="false">
      <c r="B2858" s="36" t="n">
        <v>43234</v>
      </c>
      <c r="C2858" s="37" t="n">
        <v>3.6091</v>
      </c>
    </row>
    <row r="2859" customFormat="false" ht="15" hidden="false" customHeight="false" outlineLevel="0" collapsed="false">
      <c r="B2859" s="36" t="n">
        <v>43235</v>
      </c>
      <c r="C2859" s="37" t="n">
        <v>3.6747</v>
      </c>
    </row>
    <row r="2860" customFormat="false" ht="15" hidden="false" customHeight="false" outlineLevel="0" collapsed="false">
      <c r="B2860" s="36" t="n">
        <v>43236</v>
      </c>
      <c r="C2860" s="37" t="n">
        <v>3.6797</v>
      </c>
    </row>
    <row r="2861" customFormat="false" ht="15" hidden="false" customHeight="false" outlineLevel="0" collapsed="false">
      <c r="B2861" s="36" t="n">
        <v>43237</v>
      </c>
      <c r="C2861" s="37" t="n">
        <v>3.6868</v>
      </c>
    </row>
    <row r="2862" customFormat="false" ht="15" hidden="false" customHeight="false" outlineLevel="0" collapsed="false">
      <c r="B2862" s="36" t="n">
        <v>43238</v>
      </c>
      <c r="C2862" s="37" t="n">
        <v>3.7497</v>
      </c>
    </row>
    <row r="2863" customFormat="false" ht="15" hidden="false" customHeight="false" outlineLevel="0" collapsed="false">
      <c r="B2863" s="36" t="n">
        <v>43241</v>
      </c>
      <c r="C2863" s="37" t="n">
        <v>3.7066</v>
      </c>
    </row>
    <row r="2864" customFormat="false" ht="15" hidden="false" customHeight="false" outlineLevel="0" collapsed="false">
      <c r="B2864" s="36" t="n">
        <v>43242</v>
      </c>
      <c r="C2864" s="37" t="n">
        <v>3.6496</v>
      </c>
    </row>
    <row r="2865" customFormat="false" ht="15" hidden="false" customHeight="false" outlineLevel="0" collapsed="false">
      <c r="B2865" s="36" t="n">
        <v>43243</v>
      </c>
      <c r="C2865" s="37" t="n">
        <v>3.6501</v>
      </c>
    </row>
    <row r="2866" customFormat="false" ht="15" hidden="false" customHeight="false" outlineLevel="0" collapsed="false">
      <c r="B2866" s="36" t="n">
        <v>43244</v>
      </c>
      <c r="C2866" s="37" t="n">
        <v>3.643</v>
      </c>
    </row>
    <row r="2867" customFormat="false" ht="15" hidden="false" customHeight="false" outlineLevel="0" collapsed="false">
      <c r="B2867" s="36" t="n">
        <v>43245</v>
      </c>
      <c r="C2867" s="37" t="n">
        <v>3.6581</v>
      </c>
    </row>
    <row r="2868" customFormat="false" ht="15" hidden="false" customHeight="false" outlineLevel="0" collapsed="false">
      <c r="B2868" s="36" t="n">
        <v>43248</v>
      </c>
      <c r="C2868" s="37" t="n">
        <v>3.7086</v>
      </c>
    </row>
    <row r="2869" customFormat="false" ht="15" hidden="false" customHeight="false" outlineLevel="0" collapsed="false">
      <c r="B2869" s="36" t="n">
        <v>43249</v>
      </c>
      <c r="C2869" s="37" t="n">
        <v>3.7283</v>
      </c>
    </row>
    <row r="2870" customFormat="false" ht="15" hidden="false" customHeight="false" outlineLevel="0" collapsed="false">
      <c r="B2870" s="36" t="n">
        <v>43250</v>
      </c>
      <c r="C2870" s="37" t="n">
        <v>3.7364</v>
      </c>
    </row>
    <row r="2871" customFormat="false" ht="15" hidden="false" customHeight="false" outlineLevel="0" collapsed="false">
      <c r="B2871" s="36" t="n">
        <v>43252</v>
      </c>
      <c r="C2871" s="37" t="n">
        <v>3.7407</v>
      </c>
    </row>
    <row r="2872" customFormat="false" ht="15" hidden="false" customHeight="false" outlineLevel="0" collapsed="false">
      <c r="B2872" s="36" t="n">
        <v>43255</v>
      </c>
      <c r="C2872" s="37" t="n">
        <v>3.7418</v>
      </c>
    </row>
    <row r="2873" customFormat="false" ht="15" hidden="false" customHeight="false" outlineLevel="0" collapsed="false">
      <c r="B2873" s="36" t="n">
        <v>43256</v>
      </c>
      <c r="C2873" s="37" t="n">
        <v>3.7746</v>
      </c>
    </row>
    <row r="2874" customFormat="false" ht="15" hidden="false" customHeight="false" outlineLevel="0" collapsed="false">
      <c r="B2874" s="36" t="n">
        <v>43257</v>
      </c>
      <c r="C2874" s="37" t="n">
        <v>3.8187</v>
      </c>
    </row>
    <row r="2875" customFormat="false" ht="15" hidden="false" customHeight="false" outlineLevel="0" collapsed="false">
      <c r="B2875" s="36" t="n">
        <v>43258</v>
      </c>
      <c r="C2875" s="37" t="n">
        <v>3.8994</v>
      </c>
    </row>
    <row r="2876" customFormat="false" ht="15" hidden="false" customHeight="false" outlineLevel="0" collapsed="false">
      <c r="B2876" s="36" t="n">
        <v>43259</v>
      </c>
      <c r="C2876" s="37" t="n">
        <v>3.7853</v>
      </c>
    </row>
    <row r="2877" customFormat="false" ht="15" hidden="false" customHeight="false" outlineLevel="0" collapsed="false">
      <c r="B2877" s="36" t="n">
        <v>43262</v>
      </c>
      <c r="C2877" s="37" t="n">
        <v>3.6907</v>
      </c>
    </row>
    <row r="2878" customFormat="false" ht="15" hidden="false" customHeight="false" outlineLevel="0" collapsed="false">
      <c r="B2878" s="36" t="n">
        <v>43263</v>
      </c>
      <c r="C2878" s="37" t="n">
        <v>3.7038</v>
      </c>
    </row>
    <row r="2879" customFormat="false" ht="15" hidden="false" customHeight="false" outlineLevel="0" collapsed="false">
      <c r="B2879" s="36" t="n">
        <v>43264</v>
      </c>
      <c r="C2879" s="37" t="n">
        <v>3.7048</v>
      </c>
    </row>
    <row r="2880" customFormat="false" ht="15" hidden="false" customHeight="false" outlineLevel="0" collapsed="false">
      <c r="B2880" s="36" t="n">
        <v>43265</v>
      </c>
      <c r="C2880" s="37" t="n">
        <v>3.7051</v>
      </c>
    </row>
    <row r="2881" customFormat="false" ht="15" hidden="false" customHeight="false" outlineLevel="0" collapsed="false">
      <c r="B2881" s="36" t="n">
        <v>43266</v>
      </c>
      <c r="C2881" s="37" t="n">
        <v>3.7732</v>
      </c>
    </row>
    <row r="2882" customFormat="false" ht="15" hidden="false" customHeight="false" outlineLevel="0" collapsed="false">
      <c r="B2882" s="36" t="n">
        <v>43269</v>
      </c>
      <c r="C2882" s="37" t="n">
        <v>3.7537</v>
      </c>
    </row>
    <row r="2883" customFormat="false" ht="15" hidden="false" customHeight="false" outlineLevel="0" collapsed="false">
      <c r="B2883" s="36" t="n">
        <v>43270</v>
      </c>
      <c r="C2883" s="37" t="n">
        <v>3.756</v>
      </c>
    </row>
    <row r="2884" customFormat="false" ht="15" hidden="false" customHeight="false" outlineLevel="0" collapsed="false">
      <c r="B2884" s="36" t="n">
        <v>43271</v>
      </c>
      <c r="C2884" s="37" t="n">
        <v>3.7329</v>
      </c>
    </row>
    <row r="2885" customFormat="false" ht="15" hidden="false" customHeight="false" outlineLevel="0" collapsed="false">
      <c r="B2885" s="36" t="n">
        <v>43272</v>
      </c>
      <c r="C2885" s="37" t="n">
        <v>3.7888</v>
      </c>
    </row>
    <row r="2886" customFormat="false" ht="15" hidden="false" customHeight="false" outlineLevel="0" collapsed="false">
      <c r="B2886" s="36" t="n">
        <v>43273</v>
      </c>
      <c r="C2886" s="37" t="n">
        <v>3.7657</v>
      </c>
    </row>
    <row r="2887" customFormat="false" ht="15" hidden="false" customHeight="false" outlineLevel="0" collapsed="false">
      <c r="B2887" s="36" t="n">
        <v>43276</v>
      </c>
      <c r="C2887" s="37" t="n">
        <v>3.7754</v>
      </c>
    </row>
    <row r="2888" customFormat="false" ht="15" hidden="false" customHeight="false" outlineLevel="0" collapsed="false">
      <c r="B2888" s="36" t="n">
        <v>43277</v>
      </c>
      <c r="C2888" s="37" t="n">
        <v>3.7715</v>
      </c>
    </row>
    <row r="2889" customFormat="false" ht="15" hidden="false" customHeight="false" outlineLevel="0" collapsed="false">
      <c r="B2889" s="36" t="n">
        <v>43278</v>
      </c>
      <c r="C2889" s="37" t="n">
        <v>3.8352</v>
      </c>
    </row>
    <row r="2890" customFormat="false" ht="15" hidden="false" customHeight="false" outlineLevel="0" collapsed="false">
      <c r="B2890" s="36" t="n">
        <v>43279</v>
      </c>
      <c r="C2890" s="37" t="n">
        <v>3.8515</v>
      </c>
    </row>
    <row r="2891" customFormat="false" ht="15" hidden="false" customHeight="false" outlineLevel="0" collapsed="false">
      <c r="B2891" s="36" t="n">
        <v>43280</v>
      </c>
      <c r="C2891" s="37" t="n">
        <v>3.8552</v>
      </c>
    </row>
    <row r="2892" customFormat="false" ht="15" hidden="false" customHeight="false" outlineLevel="0" collapsed="false">
      <c r="B2892" s="36" t="n">
        <v>43283</v>
      </c>
      <c r="C2892" s="37" t="n">
        <v>3.9049</v>
      </c>
    </row>
    <row r="2893" customFormat="false" ht="15" hidden="false" customHeight="false" outlineLevel="0" collapsed="false">
      <c r="B2893" s="36" t="n">
        <v>43284</v>
      </c>
      <c r="C2893" s="37" t="n">
        <v>3.8914</v>
      </c>
    </row>
    <row r="2894" customFormat="false" ht="15" hidden="false" customHeight="false" outlineLevel="0" collapsed="false">
      <c r="B2894" s="36" t="n">
        <v>43285</v>
      </c>
      <c r="C2894" s="37" t="n">
        <v>3.9052</v>
      </c>
    </row>
    <row r="2895" customFormat="false" ht="15" hidden="false" customHeight="false" outlineLevel="0" collapsed="false">
      <c r="B2895" s="36" t="n">
        <v>43286</v>
      </c>
      <c r="C2895" s="37" t="n">
        <v>3.9186</v>
      </c>
    </row>
    <row r="2896" customFormat="false" ht="15" hidden="false" customHeight="false" outlineLevel="0" collapsed="false">
      <c r="B2896" s="36" t="n">
        <v>43287</v>
      </c>
      <c r="C2896" s="37" t="n">
        <v>3.9258</v>
      </c>
    </row>
    <row r="2897" customFormat="false" ht="15" hidden="false" customHeight="false" outlineLevel="0" collapsed="false">
      <c r="B2897" s="36" t="n">
        <v>43290</v>
      </c>
      <c r="C2897" s="37" t="n">
        <v>3.868</v>
      </c>
    </row>
    <row r="2898" customFormat="false" ht="15" hidden="false" customHeight="false" outlineLevel="0" collapsed="false">
      <c r="B2898" s="36" t="n">
        <v>43291</v>
      </c>
      <c r="C2898" s="37" t="n">
        <v>3.8446</v>
      </c>
    </row>
    <row r="2899" customFormat="false" ht="15" hidden="false" customHeight="false" outlineLevel="0" collapsed="false">
      <c r="B2899" s="36" t="n">
        <v>43292</v>
      </c>
      <c r="C2899" s="37" t="n">
        <v>3.8411</v>
      </c>
    </row>
    <row r="2900" customFormat="false" ht="15" hidden="false" customHeight="false" outlineLevel="0" collapsed="false">
      <c r="B2900" s="36" t="n">
        <v>43293</v>
      </c>
      <c r="C2900" s="37" t="n">
        <v>3.8558</v>
      </c>
    </row>
    <row r="2901" customFormat="false" ht="15" hidden="false" customHeight="false" outlineLevel="0" collapsed="false">
      <c r="B2901" s="36" t="n">
        <v>43294</v>
      </c>
      <c r="C2901" s="37" t="n">
        <v>3.8739</v>
      </c>
    </row>
    <row r="2902" customFormat="false" ht="15" hidden="false" customHeight="false" outlineLevel="0" collapsed="false">
      <c r="B2902" s="36" t="n">
        <v>43297</v>
      </c>
      <c r="C2902" s="37" t="n">
        <v>3.8573</v>
      </c>
    </row>
    <row r="2903" customFormat="false" ht="15" hidden="false" customHeight="false" outlineLevel="0" collapsed="false">
      <c r="B2903" s="36" t="n">
        <v>43298</v>
      </c>
      <c r="C2903" s="37" t="n">
        <v>3.8665</v>
      </c>
    </row>
    <row r="2904" customFormat="false" ht="15" hidden="false" customHeight="false" outlineLevel="0" collapsed="false">
      <c r="B2904" s="36" t="n">
        <v>43299</v>
      </c>
      <c r="C2904" s="37" t="n">
        <v>3.8468</v>
      </c>
    </row>
    <row r="2905" customFormat="false" ht="15" hidden="false" customHeight="false" outlineLevel="0" collapsed="false">
      <c r="B2905" s="36" t="n">
        <v>43300</v>
      </c>
      <c r="C2905" s="37" t="n">
        <v>3.8841</v>
      </c>
    </row>
    <row r="2906" customFormat="false" ht="15" hidden="false" customHeight="false" outlineLevel="0" collapsed="false">
      <c r="B2906" s="36" t="n">
        <v>43301</v>
      </c>
      <c r="C2906" s="37" t="n">
        <v>3.7787</v>
      </c>
    </row>
    <row r="2907" customFormat="false" ht="15" hidden="false" customHeight="false" outlineLevel="0" collapsed="false">
      <c r="B2907" s="36" t="n">
        <v>43304</v>
      </c>
      <c r="C2907" s="37" t="n">
        <v>3.7909</v>
      </c>
    </row>
    <row r="2908" customFormat="false" ht="15" hidden="false" customHeight="false" outlineLevel="0" collapsed="false">
      <c r="B2908" s="36" t="n">
        <v>43305</v>
      </c>
      <c r="C2908" s="37" t="n">
        <v>3.7453</v>
      </c>
    </row>
    <row r="2909" customFormat="false" ht="15" hidden="false" customHeight="false" outlineLevel="0" collapsed="false">
      <c r="B2909" s="36" t="n">
        <v>43306</v>
      </c>
      <c r="C2909" s="37" t="n">
        <v>3.7114</v>
      </c>
    </row>
    <row r="2910" customFormat="false" ht="15" hidden="false" customHeight="false" outlineLevel="0" collapsed="false">
      <c r="B2910" s="36" t="n">
        <v>43307</v>
      </c>
      <c r="C2910" s="37" t="n">
        <v>3.7237</v>
      </c>
    </row>
    <row r="2911" customFormat="false" ht="15" hidden="false" customHeight="false" outlineLevel="0" collapsed="false">
      <c r="B2911" s="36" t="n">
        <v>43308</v>
      </c>
      <c r="C2911" s="37" t="n">
        <v>3.7158</v>
      </c>
    </row>
    <row r="2912" customFormat="false" ht="15" hidden="false" customHeight="false" outlineLevel="0" collapsed="false">
      <c r="B2912" s="36" t="n">
        <v>43311</v>
      </c>
      <c r="C2912" s="37" t="n">
        <v>3.7149</v>
      </c>
    </row>
    <row r="2913" customFormat="false" ht="15" hidden="false" customHeight="false" outlineLevel="0" collapsed="false">
      <c r="B2913" s="36" t="n">
        <v>43312</v>
      </c>
      <c r="C2913" s="37" t="n">
        <v>3.7543</v>
      </c>
    </row>
    <row r="2914" customFormat="false" ht="15" hidden="false" customHeight="false" outlineLevel="0" collapsed="false">
      <c r="B2914" s="36" t="n">
        <v>43313</v>
      </c>
      <c r="C2914" s="37" t="n">
        <v>3.7485</v>
      </c>
    </row>
    <row r="2915" customFormat="false" ht="15" hidden="false" customHeight="false" outlineLevel="0" collapsed="false">
      <c r="B2915" s="36" t="n">
        <v>43314</v>
      </c>
      <c r="C2915" s="37" t="n">
        <v>3.7639</v>
      </c>
    </row>
    <row r="2916" customFormat="false" ht="15" hidden="false" customHeight="false" outlineLevel="0" collapsed="false">
      <c r="B2916" s="36" t="n">
        <v>43315</v>
      </c>
      <c r="C2916" s="37" t="n">
        <v>3.7195</v>
      </c>
    </row>
    <row r="2917" customFormat="false" ht="15" hidden="false" customHeight="false" outlineLevel="0" collapsed="false">
      <c r="B2917" s="36" t="n">
        <v>43318</v>
      </c>
      <c r="C2917" s="37" t="n">
        <v>3.7208</v>
      </c>
    </row>
    <row r="2918" customFormat="false" ht="15" hidden="false" customHeight="false" outlineLevel="0" collapsed="false">
      <c r="B2918" s="36" t="n">
        <v>43319</v>
      </c>
      <c r="C2918" s="37" t="n">
        <v>3.7112</v>
      </c>
    </row>
    <row r="2919" customFormat="false" ht="15" hidden="false" customHeight="false" outlineLevel="0" collapsed="false">
      <c r="B2919" s="36" t="n">
        <v>43320</v>
      </c>
      <c r="C2919" s="37" t="n">
        <v>3.7513</v>
      </c>
    </row>
    <row r="2920" customFormat="false" ht="15" hidden="false" customHeight="false" outlineLevel="0" collapsed="false">
      <c r="B2920" s="36" t="n">
        <v>43321</v>
      </c>
      <c r="C2920" s="37" t="n">
        <v>3.8024</v>
      </c>
    </row>
    <row r="2921" customFormat="false" ht="15" hidden="false" customHeight="false" outlineLevel="0" collapsed="false">
      <c r="B2921" s="36" t="n">
        <v>43322</v>
      </c>
      <c r="C2921" s="37" t="n">
        <v>3.8466</v>
      </c>
    </row>
    <row r="2922" customFormat="false" ht="15" hidden="false" customHeight="false" outlineLevel="0" collapsed="false">
      <c r="B2922" s="36" t="n">
        <v>43325</v>
      </c>
      <c r="C2922" s="37" t="n">
        <v>3.8982</v>
      </c>
    </row>
    <row r="2923" customFormat="false" ht="15" hidden="false" customHeight="false" outlineLevel="0" collapsed="false">
      <c r="B2923" s="36" t="n">
        <v>43326</v>
      </c>
      <c r="C2923" s="37" t="n">
        <v>3.8806</v>
      </c>
    </row>
    <row r="2924" customFormat="false" ht="15" hidden="false" customHeight="false" outlineLevel="0" collapsed="false">
      <c r="B2924" s="36" t="n">
        <v>43327</v>
      </c>
      <c r="C2924" s="37" t="n">
        <v>3.9128</v>
      </c>
    </row>
    <row r="2925" customFormat="false" ht="15" hidden="false" customHeight="false" outlineLevel="0" collapsed="false">
      <c r="B2925" s="36" t="n">
        <v>43328</v>
      </c>
      <c r="C2925" s="37" t="n">
        <v>3.8804</v>
      </c>
    </row>
    <row r="2926" customFormat="false" ht="15" hidden="false" customHeight="false" outlineLevel="0" collapsed="false">
      <c r="B2926" s="36" t="n">
        <v>43329</v>
      </c>
      <c r="C2926" s="37" t="n">
        <v>3.9383</v>
      </c>
    </row>
    <row r="2927" customFormat="false" ht="15" hidden="false" customHeight="false" outlineLevel="0" collapsed="false">
      <c r="B2927" s="36" t="n">
        <v>43332</v>
      </c>
      <c r="C2927" s="37" t="n">
        <v>3.9424</v>
      </c>
    </row>
    <row r="2928" customFormat="false" ht="15" hidden="false" customHeight="false" outlineLevel="0" collapsed="false">
      <c r="B2928" s="36" t="n">
        <v>43333</v>
      </c>
      <c r="C2928" s="37" t="n">
        <v>3.9867</v>
      </c>
    </row>
    <row r="2929" customFormat="false" ht="15" hidden="false" customHeight="false" outlineLevel="0" collapsed="false">
      <c r="B2929" s="36" t="n">
        <v>43334</v>
      </c>
      <c r="C2929" s="37" t="n">
        <v>4.0734</v>
      </c>
    </row>
    <row r="2930" customFormat="false" ht="15" hidden="false" customHeight="false" outlineLevel="0" collapsed="false">
      <c r="B2930" s="36" t="n">
        <v>43335</v>
      </c>
      <c r="C2930" s="37" t="n">
        <v>4.0721</v>
      </c>
    </row>
    <row r="2931" customFormat="false" ht="15" hidden="false" customHeight="false" outlineLevel="0" collapsed="false">
      <c r="B2931" s="36" t="n">
        <v>43336</v>
      </c>
      <c r="C2931" s="37" t="n">
        <v>4.0848</v>
      </c>
    </row>
    <row r="2932" customFormat="false" ht="15" hidden="false" customHeight="false" outlineLevel="0" collapsed="false">
      <c r="B2932" s="36" t="n">
        <v>43339</v>
      </c>
      <c r="C2932" s="37" t="n">
        <v>4.0681</v>
      </c>
    </row>
    <row r="2933" customFormat="false" ht="15" hidden="false" customHeight="false" outlineLevel="0" collapsed="false">
      <c r="B2933" s="36" t="n">
        <v>43340</v>
      </c>
      <c r="C2933" s="37" t="n">
        <v>4.1186</v>
      </c>
    </row>
    <row r="2934" customFormat="false" ht="15" hidden="false" customHeight="false" outlineLevel="0" collapsed="false">
      <c r="B2934" s="36" t="n">
        <v>43341</v>
      </c>
      <c r="C2934" s="37" t="n">
        <v>4.1347</v>
      </c>
    </row>
    <row r="2935" customFormat="false" ht="15" hidden="false" customHeight="false" outlineLevel="0" collapsed="false">
      <c r="B2935" s="36" t="n">
        <v>43342</v>
      </c>
      <c r="C2935" s="37" t="n">
        <v>4.1806</v>
      </c>
    </row>
    <row r="2936" customFormat="false" ht="15" hidden="false" customHeight="false" outlineLevel="0" collapsed="false">
      <c r="B2936" s="36" t="n">
        <v>43343</v>
      </c>
      <c r="C2936" s="37" t="n">
        <v>4.1347</v>
      </c>
    </row>
    <row r="2937" customFormat="false" ht="15" hidden="false" customHeight="false" outlineLevel="0" collapsed="false">
      <c r="B2937" s="36" t="n">
        <v>43346</v>
      </c>
      <c r="C2937" s="37" t="n">
        <v>4.1273</v>
      </c>
    </row>
    <row r="2938" customFormat="false" ht="15" hidden="false" customHeight="false" outlineLevel="0" collapsed="false">
      <c r="B2938" s="36" t="n">
        <v>43347</v>
      </c>
      <c r="C2938" s="37" t="n">
        <v>4.1646</v>
      </c>
    </row>
    <row r="2939" customFormat="false" ht="15" hidden="false" customHeight="false" outlineLevel="0" collapsed="false">
      <c r="B2939" s="36" t="n">
        <v>43348</v>
      </c>
      <c r="C2939" s="37" t="n">
        <v>4.1603</v>
      </c>
    </row>
    <row r="2940" customFormat="false" ht="15" hidden="false" customHeight="false" outlineLevel="0" collapsed="false">
      <c r="B2940" s="36" t="n">
        <v>43349</v>
      </c>
      <c r="C2940" s="37" t="n">
        <v>4.1454</v>
      </c>
    </row>
    <row r="2941" customFormat="false" ht="15" hidden="false" customHeight="false" outlineLevel="0" collapsed="false">
      <c r="B2941" s="36" t="n">
        <v>43353</v>
      </c>
      <c r="C2941" s="37" t="n">
        <v>4.1001</v>
      </c>
    </row>
    <row r="2942" customFormat="false" ht="15" hidden="false" customHeight="false" outlineLevel="0" collapsed="false">
      <c r="B2942" s="36" t="n">
        <v>43354</v>
      </c>
      <c r="C2942" s="37" t="n">
        <v>4.1635</v>
      </c>
    </row>
    <row r="2943" customFormat="false" ht="15" hidden="false" customHeight="false" outlineLevel="0" collapsed="false">
      <c r="B2943" s="36" t="n">
        <v>43355</v>
      </c>
      <c r="C2943" s="37" t="n">
        <v>4.1253</v>
      </c>
    </row>
    <row r="2944" customFormat="false" ht="15" hidden="false" customHeight="false" outlineLevel="0" collapsed="false">
      <c r="B2944" s="36" t="n">
        <v>43356</v>
      </c>
      <c r="C2944" s="37" t="n">
        <v>4.1631</v>
      </c>
    </row>
    <row r="2945" customFormat="false" ht="15" hidden="false" customHeight="false" outlineLevel="0" collapsed="false">
      <c r="B2945" s="36" t="n">
        <v>43357</v>
      </c>
      <c r="C2945" s="37" t="n">
        <v>4.1873</v>
      </c>
    </row>
    <row r="2946" customFormat="false" ht="15" hidden="false" customHeight="false" outlineLevel="0" collapsed="false">
      <c r="B2946" s="36" t="n">
        <v>43360</v>
      </c>
      <c r="C2946" s="37" t="n">
        <v>4.1689</v>
      </c>
    </row>
    <row r="2947" customFormat="false" ht="15" hidden="false" customHeight="false" outlineLevel="0" collapsed="false">
      <c r="B2947" s="36" t="n">
        <v>43361</v>
      </c>
      <c r="C2947" s="37" t="n">
        <v>4.1363</v>
      </c>
    </row>
    <row r="2948" customFormat="false" ht="15" hidden="false" customHeight="false" outlineLevel="0" collapsed="false">
      <c r="B2948" s="36" t="n">
        <v>43362</v>
      </c>
      <c r="C2948" s="37" t="n">
        <v>4.1345</v>
      </c>
    </row>
    <row r="2949" customFormat="false" ht="15" hidden="false" customHeight="false" outlineLevel="0" collapsed="false">
      <c r="B2949" s="36" t="n">
        <v>43363</v>
      </c>
      <c r="C2949" s="37" t="n">
        <v>4.0991</v>
      </c>
    </row>
    <row r="2950" customFormat="false" ht="15" hidden="false" customHeight="false" outlineLevel="0" collapsed="false">
      <c r="B2950" s="36" t="n">
        <v>43364</v>
      </c>
      <c r="C2950" s="37" t="n">
        <v>4.0722</v>
      </c>
    </row>
    <row r="2951" customFormat="false" ht="15" hidden="false" customHeight="false" outlineLevel="0" collapsed="false">
      <c r="B2951" s="36" t="n">
        <v>43367</v>
      </c>
      <c r="C2951" s="37" t="n">
        <v>4.0588</v>
      </c>
    </row>
    <row r="2952" customFormat="false" ht="15" hidden="false" customHeight="false" outlineLevel="0" collapsed="false">
      <c r="B2952" s="36" t="n">
        <v>43368</v>
      </c>
      <c r="C2952" s="37" t="n">
        <v>4.128</v>
      </c>
    </row>
    <row r="2953" customFormat="false" ht="15" hidden="false" customHeight="false" outlineLevel="0" collapsed="false">
      <c r="B2953" s="36" t="n">
        <v>43369</v>
      </c>
      <c r="C2953" s="37" t="n">
        <v>4.0564</v>
      </c>
    </row>
    <row r="2954" customFormat="false" ht="15" hidden="false" customHeight="false" outlineLevel="0" collapsed="false">
      <c r="B2954" s="36" t="n">
        <v>43370</v>
      </c>
      <c r="C2954" s="37" t="n">
        <v>4.0086</v>
      </c>
    </row>
    <row r="2955" customFormat="false" ht="15" hidden="false" customHeight="false" outlineLevel="0" collapsed="false">
      <c r="B2955" s="36" t="n">
        <v>43371</v>
      </c>
      <c r="C2955" s="37" t="n">
        <v>4.0033</v>
      </c>
    </row>
    <row r="2956" customFormat="false" ht="15" hidden="false" customHeight="false" outlineLevel="0" collapsed="false">
      <c r="B2956" s="36" t="n">
        <v>43374</v>
      </c>
      <c r="C2956" s="37" t="n">
        <v>4.0267</v>
      </c>
    </row>
    <row r="2957" customFormat="false" ht="15" hidden="false" customHeight="false" outlineLevel="0" collapsed="false">
      <c r="B2957" s="36" t="n">
        <v>43375</v>
      </c>
      <c r="C2957" s="37" t="n">
        <v>3.9499</v>
      </c>
    </row>
    <row r="2958" customFormat="false" ht="15" hidden="false" customHeight="false" outlineLevel="0" collapsed="false">
      <c r="B2958" s="36" t="n">
        <v>43376</v>
      </c>
      <c r="C2958" s="37" t="n">
        <v>3.8536</v>
      </c>
    </row>
    <row r="2959" customFormat="false" ht="15" hidden="false" customHeight="false" outlineLevel="0" collapsed="false">
      <c r="B2959" s="36" t="n">
        <v>43377</v>
      </c>
      <c r="C2959" s="37" t="n">
        <v>3.9041</v>
      </c>
    </row>
    <row r="2960" customFormat="false" ht="15" hidden="false" customHeight="false" outlineLevel="0" collapsed="false">
      <c r="B2960" s="36" t="n">
        <v>43378</v>
      </c>
      <c r="C2960" s="37" t="n">
        <v>3.8693</v>
      </c>
    </row>
    <row r="2961" customFormat="false" ht="15" hidden="false" customHeight="false" outlineLevel="0" collapsed="false">
      <c r="B2961" s="36" t="n">
        <v>43381</v>
      </c>
      <c r="C2961" s="37" t="n">
        <v>3.7582</v>
      </c>
    </row>
    <row r="2962" customFormat="false" ht="15" hidden="false" customHeight="false" outlineLevel="0" collapsed="false">
      <c r="B2962" s="36" t="n">
        <v>43382</v>
      </c>
      <c r="C2962" s="37" t="n">
        <v>3.7385</v>
      </c>
    </row>
    <row r="2963" customFormat="false" ht="15" hidden="false" customHeight="false" outlineLevel="0" collapsed="false">
      <c r="B2963" s="36" t="n">
        <v>43383</v>
      </c>
      <c r="C2963" s="37" t="n">
        <v>3.7504</v>
      </c>
    </row>
    <row r="2964" customFormat="false" ht="15" hidden="false" customHeight="false" outlineLevel="0" collapsed="false">
      <c r="B2964" s="36" t="n">
        <v>43384</v>
      </c>
      <c r="C2964" s="37" t="n">
        <v>3.7454</v>
      </c>
    </row>
    <row r="2965" customFormat="false" ht="15" hidden="false" customHeight="false" outlineLevel="0" collapsed="false">
      <c r="B2965" s="36" t="n">
        <v>43388</v>
      </c>
      <c r="C2965" s="37" t="n">
        <v>3.7326</v>
      </c>
    </row>
    <row r="2966" customFormat="false" ht="15" hidden="false" customHeight="false" outlineLevel="0" collapsed="false">
      <c r="B2966" s="36" t="n">
        <v>43389</v>
      </c>
      <c r="C2966" s="37" t="n">
        <v>3.7073</v>
      </c>
    </row>
    <row r="2967" customFormat="false" ht="15" hidden="false" customHeight="false" outlineLevel="0" collapsed="false">
      <c r="B2967" s="36" t="n">
        <v>43390</v>
      </c>
      <c r="C2967" s="37" t="n">
        <v>3.7002</v>
      </c>
    </row>
    <row r="2968" customFormat="false" ht="15" hidden="false" customHeight="false" outlineLevel="0" collapsed="false">
      <c r="B2968" s="36" t="n">
        <v>43391</v>
      </c>
      <c r="C2968" s="37" t="n">
        <v>3.6957</v>
      </c>
    </row>
    <row r="2969" customFormat="false" ht="15" hidden="false" customHeight="false" outlineLevel="0" collapsed="false">
      <c r="B2969" s="36" t="n">
        <v>43392</v>
      </c>
      <c r="C2969" s="37" t="n">
        <v>3.7073</v>
      </c>
    </row>
    <row r="2970" customFormat="false" ht="15" hidden="false" customHeight="false" outlineLevel="0" collapsed="false">
      <c r="B2970" s="36" t="n">
        <v>43395</v>
      </c>
      <c r="C2970" s="37" t="n">
        <v>3.6897</v>
      </c>
    </row>
    <row r="2971" customFormat="false" ht="15" hidden="false" customHeight="false" outlineLevel="0" collapsed="false">
      <c r="B2971" s="36" t="n">
        <v>43396</v>
      </c>
      <c r="C2971" s="37" t="n">
        <v>3.7074</v>
      </c>
    </row>
    <row r="2972" customFormat="false" ht="15" hidden="false" customHeight="false" outlineLevel="0" collapsed="false">
      <c r="B2972" s="36" t="n">
        <v>43397</v>
      </c>
      <c r="C2972" s="37" t="n">
        <v>3.7054</v>
      </c>
    </row>
    <row r="2973" customFormat="false" ht="15" hidden="false" customHeight="false" outlineLevel="0" collapsed="false">
      <c r="B2973" s="36" t="n">
        <v>43398</v>
      </c>
      <c r="C2973" s="37" t="n">
        <v>3.7008</v>
      </c>
    </row>
    <row r="2974" customFormat="false" ht="15" hidden="false" customHeight="false" outlineLevel="0" collapsed="false">
      <c r="B2974" s="36" t="n">
        <v>43399</v>
      </c>
      <c r="C2974" s="37" t="n">
        <v>3.6746</v>
      </c>
    </row>
    <row r="2975" customFormat="false" ht="15" hidden="false" customHeight="false" outlineLevel="0" collapsed="false">
      <c r="B2975" s="36" t="n">
        <v>43402</v>
      </c>
      <c r="C2975" s="37" t="n">
        <v>3.6362</v>
      </c>
    </row>
    <row r="2976" customFormat="false" ht="15" hidden="false" customHeight="false" outlineLevel="0" collapsed="false">
      <c r="B2976" s="36" t="n">
        <v>43403</v>
      </c>
      <c r="C2976" s="37" t="n">
        <v>3.7013</v>
      </c>
    </row>
    <row r="2977" customFormat="false" ht="15" hidden="false" customHeight="false" outlineLevel="0" collapsed="false">
      <c r="B2977" s="36" t="n">
        <v>43404</v>
      </c>
      <c r="C2977" s="37" t="n">
        <v>3.7171</v>
      </c>
    </row>
    <row r="2978" customFormat="false" ht="15" hidden="false" customHeight="false" outlineLevel="0" collapsed="false">
      <c r="B2978" s="36" t="n">
        <v>43405</v>
      </c>
      <c r="C2978" s="37" t="n">
        <v>3.6968</v>
      </c>
    </row>
    <row r="2979" customFormat="false" ht="15" hidden="false" customHeight="false" outlineLevel="0" collapsed="false">
      <c r="B2979" s="36" t="n">
        <v>43409</v>
      </c>
      <c r="C2979" s="37" t="n">
        <v>3.7042</v>
      </c>
    </row>
    <row r="2980" customFormat="false" ht="15" hidden="false" customHeight="false" outlineLevel="0" collapsed="false">
      <c r="B2980" s="36" t="n">
        <v>43410</v>
      </c>
      <c r="C2980" s="37" t="n">
        <v>3.7486</v>
      </c>
    </row>
    <row r="2981" customFormat="false" ht="15" hidden="false" customHeight="false" outlineLevel="0" collapsed="false">
      <c r="B2981" s="36" t="n">
        <v>43411</v>
      </c>
      <c r="C2981" s="37" t="n">
        <v>3.7586</v>
      </c>
    </row>
    <row r="2982" customFormat="false" ht="15" hidden="false" customHeight="false" outlineLevel="0" collapsed="false">
      <c r="B2982" s="36" t="n">
        <v>43412</v>
      </c>
      <c r="C2982" s="37" t="n">
        <v>3.7385</v>
      </c>
    </row>
    <row r="2983" customFormat="false" ht="15" hidden="false" customHeight="false" outlineLevel="0" collapsed="false">
      <c r="B2983" s="36" t="n">
        <v>43413</v>
      </c>
      <c r="C2983" s="37" t="n">
        <v>3.75</v>
      </c>
    </row>
    <row r="2984" customFormat="false" ht="15" hidden="false" customHeight="false" outlineLevel="0" collapsed="false">
      <c r="B2984" s="36" t="n">
        <v>43416</v>
      </c>
      <c r="C2984" s="37" t="n">
        <v>3.7472</v>
      </c>
    </row>
    <row r="2985" customFormat="false" ht="15" hidden="false" customHeight="false" outlineLevel="0" collapsed="false">
      <c r="B2985" s="36" t="n">
        <v>43417</v>
      </c>
      <c r="C2985" s="37" t="n">
        <v>3.7786</v>
      </c>
    </row>
    <row r="2986" customFormat="false" ht="15" hidden="false" customHeight="false" outlineLevel="0" collapsed="false">
      <c r="B2986" s="36" t="n">
        <v>43418</v>
      </c>
      <c r="C2986" s="37" t="n">
        <v>3.7918</v>
      </c>
    </row>
    <row r="2987" customFormat="false" ht="15" hidden="false" customHeight="false" outlineLevel="0" collapsed="false">
      <c r="B2987" s="36" t="n">
        <v>43420</v>
      </c>
      <c r="C2987" s="37" t="n">
        <v>3.7519</v>
      </c>
    </row>
    <row r="2988" customFormat="false" ht="15" hidden="false" customHeight="false" outlineLevel="0" collapsed="false">
      <c r="B2988" s="36" t="n">
        <v>43423</v>
      </c>
      <c r="C2988" s="37" t="n">
        <v>3.7547</v>
      </c>
    </row>
    <row r="2989" customFormat="false" ht="15" hidden="false" customHeight="false" outlineLevel="0" collapsed="false">
      <c r="B2989" s="36" t="n">
        <v>43424</v>
      </c>
      <c r="C2989" s="37" t="n">
        <v>3.7574</v>
      </c>
    </row>
    <row r="2990" customFormat="false" ht="15" hidden="false" customHeight="false" outlineLevel="0" collapsed="false">
      <c r="B2990" s="36" t="n">
        <v>43425</v>
      </c>
      <c r="C2990" s="37" t="n">
        <v>3.7866</v>
      </c>
    </row>
    <row r="2991" customFormat="false" ht="15" hidden="false" customHeight="false" outlineLevel="0" collapsed="false">
      <c r="B2991" s="36" t="n">
        <v>43426</v>
      </c>
      <c r="C2991" s="37" t="n">
        <v>3.8097</v>
      </c>
    </row>
    <row r="2992" customFormat="false" ht="15" hidden="false" customHeight="false" outlineLevel="0" collapsed="false">
      <c r="B2992" s="36" t="n">
        <v>43427</v>
      </c>
      <c r="C2992" s="37" t="n">
        <v>3.8075</v>
      </c>
    </row>
    <row r="2993" customFormat="false" ht="15" hidden="false" customHeight="false" outlineLevel="0" collapsed="false">
      <c r="B2993" s="36" t="n">
        <v>43430</v>
      </c>
      <c r="C2993" s="37" t="n">
        <v>3.8649</v>
      </c>
    </row>
    <row r="2994" customFormat="false" ht="15" hidden="false" customHeight="false" outlineLevel="0" collapsed="false">
      <c r="B2994" s="36" t="n">
        <v>43431</v>
      </c>
      <c r="C2994" s="37" t="n">
        <v>3.8919</v>
      </c>
    </row>
    <row r="2995" customFormat="false" ht="15" hidden="false" customHeight="false" outlineLevel="0" collapsed="false">
      <c r="B2995" s="36" t="n">
        <v>43432</v>
      </c>
      <c r="C2995" s="37" t="n">
        <v>3.8625</v>
      </c>
    </row>
    <row r="2996" customFormat="false" ht="15" hidden="false" customHeight="false" outlineLevel="0" collapsed="false">
      <c r="B2996" s="36" t="n">
        <v>43433</v>
      </c>
      <c r="C2996" s="37" t="n">
        <v>3.8562</v>
      </c>
    </row>
    <row r="2997" customFormat="false" ht="15" hidden="false" customHeight="false" outlineLevel="0" collapsed="false">
      <c r="B2997" s="36" t="n">
        <v>43434</v>
      </c>
      <c r="C2997" s="37" t="n">
        <v>3.8627</v>
      </c>
    </row>
    <row r="2998" customFormat="false" ht="15" hidden="false" customHeight="false" outlineLevel="0" collapsed="false">
      <c r="B2998" s="36" t="n">
        <v>43437</v>
      </c>
      <c r="C2998" s="37" t="n">
        <v>3.8279</v>
      </c>
    </row>
    <row r="2999" customFormat="false" ht="15" hidden="false" customHeight="false" outlineLevel="0" collapsed="false">
      <c r="B2999" s="36" t="n">
        <v>43438</v>
      </c>
      <c r="C2999" s="37" t="n">
        <v>3.8307</v>
      </c>
    </row>
    <row r="3000" customFormat="false" ht="15" hidden="false" customHeight="false" outlineLevel="0" collapsed="false">
      <c r="B3000" s="36" t="n">
        <v>43439</v>
      </c>
      <c r="C3000" s="37" t="n">
        <v>3.8555</v>
      </c>
    </row>
    <row r="3001" customFormat="false" ht="15" hidden="false" customHeight="false" outlineLevel="0" collapsed="false">
      <c r="B3001" s="36" t="n">
        <v>43440</v>
      </c>
      <c r="C3001" s="37" t="n">
        <v>3.9172</v>
      </c>
    </row>
    <row r="3002" customFormat="false" ht="15" hidden="false" customHeight="false" outlineLevel="0" collapsed="false">
      <c r="B3002" s="36" t="n">
        <v>43441</v>
      </c>
      <c r="C3002" s="37" t="n">
        <v>3.8958</v>
      </c>
    </row>
    <row r="3003" customFormat="false" ht="15" hidden="false" customHeight="false" outlineLevel="0" collapsed="false">
      <c r="B3003" s="36" t="n">
        <v>43444</v>
      </c>
      <c r="C3003" s="37" t="n">
        <v>3.9104</v>
      </c>
    </row>
    <row r="3004" customFormat="false" ht="15" hidden="false" customHeight="false" outlineLevel="0" collapsed="false">
      <c r="B3004" s="36" t="n">
        <v>43445</v>
      </c>
      <c r="C3004" s="37" t="n">
        <v>3.9007</v>
      </c>
    </row>
    <row r="3005" customFormat="false" ht="15" hidden="false" customHeight="false" outlineLevel="0" collapsed="false">
      <c r="B3005" s="36" t="n">
        <v>43446</v>
      </c>
      <c r="C3005" s="37" t="n">
        <v>3.8623</v>
      </c>
    </row>
    <row r="3006" customFormat="false" ht="15" hidden="false" customHeight="false" outlineLevel="0" collapsed="false">
      <c r="B3006" s="36" t="n">
        <v>43447</v>
      </c>
      <c r="C3006" s="37" t="n">
        <v>3.8784</v>
      </c>
    </row>
    <row r="3007" customFormat="false" ht="15" hidden="false" customHeight="false" outlineLevel="0" collapsed="false">
      <c r="B3007" s="36" t="n">
        <v>43448</v>
      </c>
      <c r="C3007" s="37" t="n">
        <v>3.9084</v>
      </c>
    </row>
    <row r="3008" customFormat="false" ht="15" hidden="false" customHeight="false" outlineLevel="0" collapsed="false">
      <c r="B3008" s="36" t="n">
        <v>43451</v>
      </c>
      <c r="C3008" s="37" t="n">
        <v>3.9115</v>
      </c>
    </row>
    <row r="3009" customFormat="false" ht="15" hidden="false" customHeight="false" outlineLevel="0" collapsed="false">
      <c r="B3009" s="36" t="n">
        <v>43452</v>
      </c>
      <c r="C3009" s="37" t="n">
        <v>3.8991</v>
      </c>
    </row>
    <row r="3010" customFormat="false" ht="15" hidden="false" customHeight="false" outlineLevel="0" collapsed="false">
      <c r="B3010" s="36" t="n">
        <v>43453</v>
      </c>
      <c r="C3010" s="37" t="n">
        <v>3.8901</v>
      </c>
    </row>
    <row r="3011" customFormat="false" ht="15" hidden="false" customHeight="false" outlineLevel="0" collapsed="false">
      <c r="B3011" s="36" t="n">
        <v>43454</v>
      </c>
      <c r="C3011" s="37" t="n">
        <v>3.8437</v>
      </c>
    </row>
    <row r="3012" customFormat="false" ht="15" hidden="false" customHeight="false" outlineLevel="0" collapsed="false">
      <c r="B3012" s="36" t="n">
        <v>43455</v>
      </c>
      <c r="C3012" s="37" t="n">
        <v>3.8665</v>
      </c>
    </row>
    <row r="3013" customFormat="false" ht="15" hidden="false" customHeight="false" outlineLevel="0" collapsed="false">
      <c r="B3013" s="36" t="n">
        <v>43458</v>
      </c>
      <c r="C3013" s="37" t="n">
        <v>3.8839</v>
      </c>
    </row>
    <row r="3014" customFormat="false" ht="15" hidden="false" customHeight="false" outlineLevel="0" collapsed="false">
      <c r="B3014" s="36" t="n">
        <v>43460</v>
      </c>
      <c r="C3014" s="37" t="n">
        <v>3.9252</v>
      </c>
    </row>
    <row r="3015" customFormat="false" ht="15" hidden="false" customHeight="false" outlineLevel="0" collapsed="false">
      <c r="B3015" s="36" t="n">
        <v>43461</v>
      </c>
      <c r="C3015" s="37" t="n">
        <v>3.9324</v>
      </c>
    </row>
    <row r="3016" customFormat="false" ht="15" hidden="false" customHeight="false" outlineLevel="0" collapsed="false">
      <c r="B3016" s="36" t="n">
        <v>43462</v>
      </c>
      <c r="C3016" s="37" t="n">
        <v>3.8742</v>
      </c>
    </row>
    <row r="3017" customFormat="false" ht="15" hidden="false" customHeight="false" outlineLevel="0" collapsed="false">
      <c r="B3017" s="36" t="n">
        <v>43465</v>
      </c>
      <c r="C3017" s="37" t="n">
        <v>3.8742</v>
      </c>
    </row>
    <row r="3018" customFormat="false" ht="15" hidden="false" customHeight="false" outlineLevel="0" collapsed="false">
      <c r="B3018" s="36" t="n">
        <v>43467</v>
      </c>
      <c r="C3018" s="37" t="n">
        <v>3.8589</v>
      </c>
    </row>
    <row r="3019" customFormat="false" ht="15" hidden="false" customHeight="false" outlineLevel="0" collapsed="false">
      <c r="B3019" s="36" t="n">
        <v>43468</v>
      </c>
      <c r="C3019" s="37" t="n">
        <v>3.7677</v>
      </c>
    </row>
    <row r="3020" customFormat="false" ht="15" hidden="false" customHeight="false" outlineLevel="0" collapsed="false">
      <c r="B3020" s="36" t="n">
        <v>43469</v>
      </c>
      <c r="C3020" s="37" t="n">
        <v>3.7621</v>
      </c>
    </row>
    <row r="3021" customFormat="false" ht="15" hidden="false" customHeight="false" outlineLevel="0" collapsed="false">
      <c r="B3021" s="36" t="n">
        <v>43472</v>
      </c>
      <c r="C3021" s="37" t="n">
        <v>3.7056</v>
      </c>
    </row>
    <row r="3022" customFormat="false" ht="15" hidden="false" customHeight="false" outlineLevel="0" collapsed="false">
      <c r="B3022" s="36" t="n">
        <v>43473</v>
      </c>
      <c r="C3022" s="37" t="n">
        <v>3.7202</v>
      </c>
    </row>
    <row r="3023" customFormat="false" ht="15" hidden="false" customHeight="false" outlineLevel="0" collapsed="false">
      <c r="B3023" s="36" t="n">
        <v>43474</v>
      </c>
      <c r="C3023" s="37" t="n">
        <v>3.6925</v>
      </c>
    </row>
    <row r="3024" customFormat="false" ht="15" hidden="false" customHeight="false" outlineLevel="0" collapsed="false">
      <c r="B3024" s="36" t="n">
        <v>43475</v>
      </c>
      <c r="C3024" s="37" t="n">
        <v>3.6863</v>
      </c>
    </row>
    <row r="3025" customFormat="false" ht="15" hidden="false" customHeight="false" outlineLevel="0" collapsed="false">
      <c r="B3025" s="36" t="n">
        <v>43476</v>
      </c>
      <c r="C3025" s="37" t="n">
        <v>3.7135</v>
      </c>
    </row>
    <row r="3026" customFormat="false" ht="15" hidden="false" customHeight="false" outlineLevel="0" collapsed="false">
      <c r="B3026" s="36" t="n">
        <v>43479</v>
      </c>
      <c r="C3026" s="37" t="n">
        <v>3.7255</v>
      </c>
    </row>
    <row r="3027" customFormat="false" ht="15" hidden="false" customHeight="false" outlineLevel="0" collapsed="false">
      <c r="B3027" s="36" t="n">
        <v>43480</v>
      </c>
      <c r="C3027" s="37" t="n">
        <v>3.7043</v>
      </c>
    </row>
    <row r="3028" customFormat="false" ht="15" hidden="false" customHeight="false" outlineLevel="0" collapsed="false">
      <c r="B3028" s="36" t="n">
        <v>43481</v>
      </c>
      <c r="C3028" s="37" t="n">
        <v>3.7191</v>
      </c>
    </row>
    <row r="3029" customFormat="false" ht="15" hidden="false" customHeight="false" outlineLevel="0" collapsed="false">
      <c r="B3029" s="36" t="n">
        <v>43482</v>
      </c>
      <c r="C3029" s="37" t="n">
        <v>3.7585</v>
      </c>
    </row>
    <row r="3030" customFormat="false" ht="15" hidden="false" customHeight="false" outlineLevel="0" collapsed="false">
      <c r="B3030" s="36" t="n">
        <v>43483</v>
      </c>
      <c r="C3030" s="37" t="n">
        <v>3.748</v>
      </c>
    </row>
    <row r="3031" customFormat="false" ht="15" hidden="false" customHeight="false" outlineLevel="0" collapsed="false">
      <c r="B3031" s="36" t="n">
        <v>43486</v>
      </c>
      <c r="C3031" s="37" t="n">
        <v>3.7699</v>
      </c>
    </row>
    <row r="3032" customFormat="false" ht="15" hidden="false" customHeight="false" outlineLevel="0" collapsed="false">
      <c r="B3032" s="36" t="n">
        <v>43487</v>
      </c>
      <c r="C3032" s="37" t="n">
        <v>3.7609</v>
      </c>
    </row>
    <row r="3033" customFormat="false" ht="15" hidden="false" customHeight="false" outlineLevel="0" collapsed="false">
      <c r="B3033" s="36" t="n">
        <v>43488</v>
      </c>
      <c r="C3033" s="37" t="n">
        <v>3.7988</v>
      </c>
    </row>
    <row r="3034" customFormat="false" ht="15" hidden="false" customHeight="false" outlineLevel="0" collapsed="false">
      <c r="B3034" s="36" t="n">
        <v>43489</v>
      </c>
      <c r="C3034" s="37" t="n">
        <v>3.7809</v>
      </c>
    </row>
    <row r="3035" customFormat="false" ht="15" hidden="false" customHeight="false" outlineLevel="0" collapsed="false">
      <c r="B3035" s="36" t="n">
        <v>43490</v>
      </c>
      <c r="C3035" s="37" t="n">
        <v>3.7613</v>
      </c>
    </row>
    <row r="3036" customFormat="false" ht="15" hidden="false" customHeight="false" outlineLevel="0" collapsed="false">
      <c r="B3036" s="36" t="n">
        <v>43493</v>
      </c>
      <c r="C3036" s="37" t="n">
        <v>3.767</v>
      </c>
    </row>
    <row r="3037" customFormat="false" ht="15" hidden="false" customHeight="false" outlineLevel="0" collapsed="false">
      <c r="B3037" s="36" t="n">
        <v>43494</v>
      </c>
      <c r="C3037" s="37" t="n">
        <v>3.7364</v>
      </c>
    </row>
    <row r="3038" customFormat="false" ht="15" hidden="false" customHeight="false" outlineLevel="0" collapsed="false">
      <c r="B3038" s="36" t="n">
        <v>43495</v>
      </c>
      <c r="C3038" s="37" t="n">
        <v>3.7145</v>
      </c>
    </row>
    <row r="3039" customFormat="false" ht="15" hidden="false" customHeight="false" outlineLevel="0" collapsed="false">
      <c r="B3039" s="36" t="n">
        <v>43496</v>
      </c>
      <c r="C3039" s="37" t="n">
        <v>3.6513</v>
      </c>
    </row>
    <row r="3040" customFormat="false" ht="15" hidden="false" customHeight="false" outlineLevel="0" collapsed="false">
      <c r="B3040" s="36" t="n">
        <v>43497</v>
      </c>
      <c r="C3040" s="37" t="n">
        <v>3.6688</v>
      </c>
    </row>
    <row r="3041" customFormat="false" ht="15" hidden="false" customHeight="false" outlineLevel="0" collapsed="false">
      <c r="B3041" s="36" t="n">
        <v>43500</v>
      </c>
      <c r="C3041" s="37" t="n">
        <v>3.675</v>
      </c>
    </row>
    <row r="3042" customFormat="false" ht="15" hidden="false" customHeight="false" outlineLevel="0" collapsed="false">
      <c r="B3042" s="36" t="n">
        <v>43501</v>
      </c>
      <c r="C3042" s="37" t="n">
        <v>3.6735</v>
      </c>
    </row>
    <row r="3043" customFormat="false" ht="15" hidden="false" customHeight="false" outlineLevel="0" collapsed="false">
      <c r="B3043" s="36" t="n">
        <v>43502</v>
      </c>
      <c r="C3043" s="37" t="n">
        <v>3.7013</v>
      </c>
    </row>
    <row r="3044" customFormat="false" ht="15" hidden="false" customHeight="false" outlineLevel="0" collapsed="false">
      <c r="B3044" s="36" t="n">
        <v>43503</v>
      </c>
      <c r="C3044" s="37" t="n">
        <v>3.7187</v>
      </c>
    </row>
    <row r="3045" customFormat="false" ht="15" hidden="false" customHeight="false" outlineLevel="0" collapsed="false">
      <c r="B3045" s="36" t="n">
        <v>43504</v>
      </c>
      <c r="C3045" s="37" t="n">
        <v>3.7178</v>
      </c>
    </row>
    <row r="3046" customFormat="false" ht="15" hidden="false" customHeight="false" outlineLevel="0" collapsed="false">
      <c r="B3046" s="36" t="n">
        <v>43507</v>
      </c>
      <c r="C3046" s="37" t="n">
        <v>3.7385</v>
      </c>
    </row>
    <row r="3047" customFormat="false" ht="15" hidden="false" customHeight="false" outlineLevel="0" collapsed="false">
      <c r="B3047" s="36" t="n">
        <v>43508</v>
      </c>
      <c r="C3047" s="37" t="n">
        <v>3.729</v>
      </c>
    </row>
    <row r="3048" customFormat="false" ht="15" hidden="false" customHeight="false" outlineLevel="0" collapsed="false">
      <c r="B3048" s="36" t="n">
        <v>43509</v>
      </c>
      <c r="C3048" s="37" t="n">
        <v>3.7271</v>
      </c>
    </row>
    <row r="3049" customFormat="false" ht="15" hidden="false" customHeight="false" outlineLevel="0" collapsed="false">
      <c r="B3049" s="36" t="n">
        <v>43510</v>
      </c>
      <c r="C3049" s="37" t="n">
        <v>3.775</v>
      </c>
    </row>
    <row r="3050" customFormat="false" ht="15" hidden="false" customHeight="false" outlineLevel="0" collapsed="false">
      <c r="B3050" s="36" t="n">
        <v>43511</v>
      </c>
      <c r="C3050" s="37" t="n">
        <v>3.7149</v>
      </c>
    </row>
    <row r="3051" customFormat="false" ht="15" hidden="false" customHeight="false" outlineLevel="0" collapsed="false">
      <c r="B3051" s="36" t="n">
        <v>43514</v>
      </c>
      <c r="C3051" s="37" t="n">
        <v>3.731</v>
      </c>
    </row>
    <row r="3052" customFormat="false" ht="15" hidden="false" customHeight="false" outlineLevel="0" collapsed="false">
      <c r="B3052" s="36" t="n">
        <v>43515</v>
      </c>
      <c r="C3052" s="37" t="n">
        <v>3.72</v>
      </c>
    </row>
    <row r="3053" customFormat="false" ht="15" hidden="false" customHeight="false" outlineLevel="0" collapsed="false">
      <c r="B3053" s="36" t="n">
        <v>43516</v>
      </c>
      <c r="C3053" s="37" t="n">
        <v>3.7094</v>
      </c>
    </row>
    <row r="3054" customFormat="false" ht="15" hidden="false" customHeight="false" outlineLevel="0" collapsed="false">
      <c r="B3054" s="36" t="n">
        <v>43517</v>
      </c>
      <c r="C3054" s="37" t="n">
        <v>3.7589</v>
      </c>
    </row>
    <row r="3055" customFormat="false" ht="15" hidden="false" customHeight="false" outlineLevel="0" collapsed="false">
      <c r="B3055" s="36" t="n">
        <v>43518</v>
      </c>
      <c r="C3055" s="37" t="n">
        <v>3.7424</v>
      </c>
    </row>
    <row r="3056" customFormat="false" ht="15" hidden="false" customHeight="false" outlineLevel="0" collapsed="false">
      <c r="B3056" s="36" t="n">
        <v>43521</v>
      </c>
      <c r="C3056" s="37" t="n">
        <v>3.7279</v>
      </c>
    </row>
    <row r="3057" customFormat="false" ht="15" hidden="false" customHeight="false" outlineLevel="0" collapsed="false">
      <c r="B3057" s="36" t="n">
        <v>43522</v>
      </c>
      <c r="C3057" s="37" t="n">
        <v>3.7589</v>
      </c>
    </row>
    <row r="3058" customFormat="false" ht="15" hidden="false" customHeight="false" outlineLevel="0" collapsed="false">
      <c r="B3058" s="36" t="n">
        <v>43523</v>
      </c>
      <c r="C3058" s="37" t="n">
        <v>3.7345</v>
      </c>
    </row>
    <row r="3059" customFormat="false" ht="15" hidden="false" customHeight="false" outlineLevel="0" collapsed="false">
      <c r="B3059" s="36" t="n">
        <v>43524</v>
      </c>
      <c r="C3059" s="37" t="n">
        <v>3.7379</v>
      </c>
    </row>
    <row r="3060" customFormat="false" ht="15" hidden="false" customHeight="false" outlineLevel="0" collapsed="false">
      <c r="B3060" s="36" t="n">
        <v>43525</v>
      </c>
      <c r="C3060" s="37" t="n">
        <v>3.7826</v>
      </c>
    </row>
    <row r="3061" customFormat="false" ht="15" hidden="false" customHeight="false" outlineLevel="0" collapsed="false">
      <c r="B3061" s="36" t="n">
        <v>43530</v>
      </c>
      <c r="C3061" s="37" t="n">
        <v>3.8297</v>
      </c>
    </row>
    <row r="3062" customFormat="false" ht="15" hidden="false" customHeight="false" outlineLevel="0" collapsed="false">
      <c r="B3062" s="36" t="n">
        <v>43531</v>
      </c>
      <c r="C3062" s="37" t="n">
        <v>3.8481</v>
      </c>
    </row>
    <row r="3063" customFormat="false" ht="15" hidden="false" customHeight="false" outlineLevel="0" collapsed="false">
      <c r="B3063" s="36" t="n">
        <v>43532</v>
      </c>
      <c r="C3063" s="37" t="n">
        <v>3.8672</v>
      </c>
    </row>
    <row r="3064" customFormat="false" ht="15" hidden="false" customHeight="false" outlineLevel="0" collapsed="false">
      <c r="B3064" s="36" t="n">
        <v>43535</v>
      </c>
      <c r="C3064" s="37" t="n">
        <v>3.8455</v>
      </c>
    </row>
    <row r="3065" customFormat="false" ht="15" hidden="false" customHeight="false" outlineLevel="0" collapsed="false">
      <c r="B3065" s="36" t="n">
        <v>43536</v>
      </c>
      <c r="C3065" s="37" t="n">
        <v>3.8123</v>
      </c>
    </row>
    <row r="3066" customFormat="false" ht="15" hidden="false" customHeight="false" outlineLevel="0" collapsed="false">
      <c r="B3066" s="36" t="n">
        <v>43537</v>
      </c>
      <c r="C3066" s="37" t="n">
        <v>3.8259</v>
      </c>
    </row>
    <row r="3067" customFormat="false" ht="15" hidden="false" customHeight="false" outlineLevel="0" collapsed="false">
      <c r="B3067" s="36" t="n">
        <v>43538</v>
      </c>
      <c r="C3067" s="37" t="n">
        <v>3.8321</v>
      </c>
    </row>
    <row r="3068" customFormat="false" ht="15" hidden="false" customHeight="false" outlineLevel="0" collapsed="false">
      <c r="B3068" s="36" t="n">
        <v>43539</v>
      </c>
      <c r="C3068" s="37" t="n">
        <v>3.8338</v>
      </c>
    </row>
    <row r="3069" customFormat="false" ht="15" hidden="false" customHeight="false" outlineLevel="0" collapsed="false">
      <c r="B3069" s="36" t="n">
        <v>43542</v>
      </c>
      <c r="C3069" s="37" t="n">
        <v>3.8105</v>
      </c>
    </row>
    <row r="3070" customFormat="false" ht="15" hidden="false" customHeight="false" outlineLevel="0" collapsed="false">
      <c r="B3070" s="36" t="n">
        <v>43543</v>
      </c>
      <c r="C3070" s="37" t="n">
        <v>3.7756</v>
      </c>
    </row>
    <row r="3071" customFormat="false" ht="15" hidden="false" customHeight="false" outlineLevel="0" collapsed="false">
      <c r="B3071" s="36" t="n">
        <v>43544</v>
      </c>
      <c r="C3071" s="37" t="n">
        <v>3.7891</v>
      </c>
    </row>
    <row r="3072" customFormat="false" ht="15" hidden="false" customHeight="false" outlineLevel="0" collapsed="false">
      <c r="B3072" s="36" t="n">
        <v>43545</v>
      </c>
      <c r="C3072" s="37" t="n">
        <v>3.7961</v>
      </c>
    </row>
    <row r="3073" customFormat="false" ht="15" hidden="false" customHeight="false" outlineLevel="0" collapsed="false">
      <c r="B3073" s="36" t="n">
        <v>43546</v>
      </c>
      <c r="C3073" s="37" t="n">
        <v>3.8809</v>
      </c>
    </row>
    <row r="3074" customFormat="false" ht="15" hidden="false" customHeight="false" outlineLevel="0" collapsed="false">
      <c r="B3074" s="36" t="n">
        <v>43549</v>
      </c>
      <c r="C3074" s="37" t="n">
        <v>3.8764</v>
      </c>
    </row>
    <row r="3075" customFormat="false" ht="15" hidden="false" customHeight="false" outlineLevel="0" collapsed="false">
      <c r="B3075" s="36" t="n">
        <v>43550</v>
      </c>
      <c r="C3075" s="37" t="n">
        <v>3.864</v>
      </c>
    </row>
    <row r="3076" customFormat="false" ht="15" hidden="false" customHeight="false" outlineLevel="0" collapsed="false">
      <c r="B3076" s="36" t="n">
        <v>43551</v>
      </c>
      <c r="C3076" s="37" t="n">
        <v>3.9383</v>
      </c>
    </row>
    <row r="3077" customFormat="false" ht="15" hidden="false" customHeight="false" outlineLevel="0" collapsed="false">
      <c r="B3077" s="36" t="n">
        <v>43552</v>
      </c>
      <c r="C3077" s="37" t="n">
        <v>3.9676</v>
      </c>
    </row>
    <row r="3078" customFormat="false" ht="15" hidden="false" customHeight="false" outlineLevel="0" collapsed="false">
      <c r="B3078" s="36" t="n">
        <v>43553</v>
      </c>
      <c r="C3078" s="37" t="n">
        <v>3.8961</v>
      </c>
    </row>
    <row r="3079" customFormat="false" ht="15" hidden="false" customHeight="false" outlineLevel="0" collapsed="false">
      <c r="B3079" s="36" t="n">
        <v>43556</v>
      </c>
      <c r="C3079" s="37" t="n">
        <v>3.8676</v>
      </c>
    </row>
    <row r="3080" customFormat="false" ht="15" hidden="false" customHeight="false" outlineLevel="0" collapsed="false">
      <c r="B3080" s="36" t="n">
        <v>43557</v>
      </c>
      <c r="C3080" s="37" t="n">
        <v>3.8655</v>
      </c>
    </row>
    <row r="3081" customFormat="false" ht="15" hidden="false" customHeight="false" outlineLevel="0" collapsed="false">
      <c r="B3081" s="36" t="n">
        <v>43558</v>
      </c>
      <c r="C3081" s="37" t="n">
        <v>3.843</v>
      </c>
    </row>
    <row r="3082" customFormat="false" ht="15" hidden="false" customHeight="false" outlineLevel="0" collapsed="false">
      <c r="B3082" s="36" t="n">
        <v>43559</v>
      </c>
      <c r="C3082" s="37" t="n">
        <v>3.8707</v>
      </c>
    </row>
    <row r="3083" customFormat="false" ht="15" hidden="false" customHeight="false" outlineLevel="0" collapsed="false">
      <c r="B3083" s="36" t="n">
        <v>43560</v>
      </c>
      <c r="C3083" s="37" t="n">
        <v>3.8616</v>
      </c>
    </row>
    <row r="3084" customFormat="false" ht="15" hidden="false" customHeight="false" outlineLevel="0" collapsed="false">
      <c r="B3084" s="36" t="n">
        <v>43563</v>
      </c>
      <c r="C3084" s="37" t="n">
        <v>3.8652</v>
      </c>
    </row>
    <row r="3085" customFormat="false" ht="15" hidden="false" customHeight="false" outlineLevel="0" collapsed="false">
      <c r="B3085" s="36" t="n">
        <v>43564</v>
      </c>
      <c r="C3085" s="37" t="n">
        <v>3.8557</v>
      </c>
    </row>
    <row r="3086" customFormat="false" ht="15" hidden="false" customHeight="false" outlineLevel="0" collapsed="false">
      <c r="B3086" s="36" t="n">
        <v>43565</v>
      </c>
      <c r="C3086" s="37" t="n">
        <v>3.8339</v>
      </c>
    </row>
    <row r="3087" customFormat="false" ht="15" hidden="false" customHeight="false" outlineLevel="0" collapsed="false">
      <c r="B3087" s="36" t="n">
        <v>43566</v>
      </c>
      <c r="C3087" s="37" t="n">
        <v>3.8393</v>
      </c>
    </row>
    <row r="3088" customFormat="false" ht="15" hidden="false" customHeight="false" outlineLevel="0" collapsed="false">
      <c r="B3088" s="36" t="n">
        <v>43567</v>
      </c>
      <c r="C3088" s="37" t="n">
        <v>3.8679</v>
      </c>
    </row>
    <row r="3089" customFormat="false" ht="15" hidden="false" customHeight="false" outlineLevel="0" collapsed="false">
      <c r="B3089" s="36" t="n">
        <v>43570</v>
      </c>
      <c r="C3089" s="37" t="n">
        <v>3.8724</v>
      </c>
    </row>
    <row r="3090" customFormat="false" ht="15" hidden="false" customHeight="false" outlineLevel="0" collapsed="false">
      <c r="B3090" s="36" t="n">
        <v>43571</v>
      </c>
      <c r="C3090" s="37" t="n">
        <v>3.8907</v>
      </c>
    </row>
    <row r="3091" customFormat="false" ht="15" hidden="false" customHeight="false" outlineLevel="0" collapsed="false">
      <c r="B3091" s="36" t="n">
        <v>43572</v>
      </c>
      <c r="C3091" s="37" t="n">
        <v>3.9219</v>
      </c>
    </row>
    <row r="3092" customFormat="false" ht="15" hidden="false" customHeight="false" outlineLevel="0" collapsed="false">
      <c r="B3092" s="36" t="n">
        <v>43573</v>
      </c>
      <c r="C3092" s="37" t="n">
        <v>3.9364</v>
      </c>
    </row>
    <row r="3093" customFormat="false" ht="15" hidden="false" customHeight="false" outlineLevel="0" collapsed="false">
      <c r="B3093" s="36" t="n">
        <v>43577</v>
      </c>
      <c r="C3093" s="37" t="n">
        <v>3.9224</v>
      </c>
    </row>
    <row r="3094" customFormat="false" ht="15" hidden="false" customHeight="false" outlineLevel="0" collapsed="false">
      <c r="B3094" s="36" t="n">
        <v>43578</v>
      </c>
      <c r="C3094" s="37" t="n">
        <v>3.943</v>
      </c>
    </row>
    <row r="3095" customFormat="false" ht="15" hidden="false" customHeight="false" outlineLevel="0" collapsed="false">
      <c r="B3095" s="36" t="n">
        <v>43579</v>
      </c>
      <c r="C3095" s="37" t="n">
        <v>3.9624</v>
      </c>
    </row>
    <row r="3096" customFormat="false" ht="15" hidden="false" customHeight="false" outlineLevel="0" collapsed="false">
      <c r="B3096" s="36" t="n">
        <v>43580</v>
      </c>
      <c r="C3096" s="37" t="n">
        <v>3.9719</v>
      </c>
    </row>
    <row r="3097" customFormat="false" ht="15" hidden="false" customHeight="false" outlineLevel="0" collapsed="false">
      <c r="B3097" s="36" t="n">
        <v>43581</v>
      </c>
      <c r="C3097" s="37" t="n">
        <v>3.9347</v>
      </c>
    </row>
    <row r="3098" customFormat="false" ht="15" hidden="false" customHeight="false" outlineLevel="0" collapsed="false">
      <c r="B3098" s="36" t="n">
        <v>43584</v>
      </c>
      <c r="C3098" s="37" t="n">
        <v>3.9358</v>
      </c>
    </row>
    <row r="3099" customFormat="false" ht="15" hidden="false" customHeight="false" outlineLevel="0" collapsed="false">
      <c r="B3099" s="36" t="n">
        <v>43585</v>
      </c>
      <c r="C3099" s="37" t="n">
        <v>3.9447</v>
      </c>
    </row>
    <row r="3100" customFormat="false" ht="15" hidden="false" customHeight="false" outlineLevel="0" collapsed="false">
      <c r="B3100" s="36" t="n">
        <v>43587</v>
      </c>
      <c r="C3100" s="37" t="n">
        <v>3.9644</v>
      </c>
    </row>
    <row r="3101" customFormat="false" ht="15" hidden="false" customHeight="false" outlineLevel="0" collapsed="false">
      <c r="B3101" s="36" t="n">
        <v>43588</v>
      </c>
      <c r="C3101" s="37" t="n">
        <v>3.9382</v>
      </c>
    </row>
    <row r="3102" customFormat="false" ht="15" hidden="false" customHeight="false" outlineLevel="0" collapsed="false">
      <c r="B3102" s="36" t="n">
        <v>43591</v>
      </c>
      <c r="C3102" s="37" t="n">
        <v>3.9618</v>
      </c>
    </row>
    <row r="3103" customFormat="false" ht="15" hidden="false" customHeight="false" outlineLevel="0" collapsed="false">
      <c r="B3103" s="36" t="n">
        <v>43592</v>
      </c>
      <c r="C3103" s="37" t="n">
        <v>3.9874</v>
      </c>
    </row>
    <row r="3104" customFormat="false" ht="15" hidden="false" customHeight="false" outlineLevel="0" collapsed="false">
      <c r="B3104" s="36" t="n">
        <v>43593</v>
      </c>
      <c r="C3104" s="37" t="n">
        <v>3.9338</v>
      </c>
    </row>
    <row r="3105" customFormat="false" ht="15" hidden="false" customHeight="false" outlineLevel="0" collapsed="false">
      <c r="B3105" s="36" t="n">
        <v>43594</v>
      </c>
      <c r="C3105" s="37" t="n">
        <v>3.9667</v>
      </c>
    </row>
    <row r="3106" customFormat="false" ht="15" hidden="false" customHeight="false" outlineLevel="0" collapsed="false">
      <c r="B3106" s="36" t="n">
        <v>43595</v>
      </c>
      <c r="C3106" s="37" t="n">
        <v>3.9572</v>
      </c>
    </row>
    <row r="3107" customFormat="false" ht="15" hidden="false" customHeight="false" outlineLevel="0" collapsed="false">
      <c r="B3107" s="36" t="n">
        <v>43598</v>
      </c>
      <c r="C3107" s="37" t="n">
        <v>3.9884</v>
      </c>
    </row>
    <row r="3108" customFormat="false" ht="15" hidden="false" customHeight="false" outlineLevel="0" collapsed="false">
      <c r="B3108" s="36" t="n">
        <v>43599</v>
      </c>
      <c r="C3108" s="37" t="n">
        <v>3.9782</v>
      </c>
    </row>
    <row r="3109" customFormat="false" ht="15" hidden="false" customHeight="false" outlineLevel="0" collapsed="false">
      <c r="B3109" s="36" t="n">
        <v>43600</v>
      </c>
      <c r="C3109" s="37" t="n">
        <v>4.0025</v>
      </c>
    </row>
    <row r="3110" customFormat="false" ht="15" hidden="false" customHeight="false" outlineLevel="0" collapsed="false">
      <c r="B3110" s="36" t="n">
        <v>43601</v>
      </c>
      <c r="C3110" s="37" t="n">
        <v>4.0132</v>
      </c>
    </row>
    <row r="3111" customFormat="false" ht="15" hidden="false" customHeight="false" outlineLevel="0" collapsed="false">
      <c r="B3111" s="36" t="n">
        <v>43602</v>
      </c>
      <c r="C3111" s="37" t="n">
        <v>4.0838</v>
      </c>
    </row>
    <row r="3112" customFormat="false" ht="15" hidden="false" customHeight="false" outlineLevel="0" collapsed="false">
      <c r="B3112" s="36" t="n">
        <v>43605</v>
      </c>
      <c r="C3112" s="37" t="n">
        <v>4.105</v>
      </c>
    </row>
    <row r="3113" customFormat="false" ht="15" hidden="false" customHeight="false" outlineLevel="0" collapsed="false">
      <c r="B3113" s="36" t="n">
        <v>43606</v>
      </c>
      <c r="C3113" s="37" t="n">
        <v>4.0804</v>
      </c>
    </row>
    <row r="3114" customFormat="false" ht="15" hidden="false" customHeight="false" outlineLevel="0" collapsed="false">
      <c r="B3114" s="36" t="n">
        <v>43607</v>
      </c>
      <c r="C3114" s="37" t="n">
        <v>4.0222</v>
      </c>
    </row>
    <row r="3115" customFormat="false" ht="15" hidden="false" customHeight="false" outlineLevel="0" collapsed="false">
      <c r="B3115" s="36" t="n">
        <v>43608</v>
      </c>
      <c r="C3115" s="37" t="n">
        <v>4.0507</v>
      </c>
    </row>
    <row r="3116" customFormat="false" ht="15" hidden="false" customHeight="false" outlineLevel="0" collapsed="false">
      <c r="B3116" s="36" t="n">
        <v>43609</v>
      </c>
      <c r="C3116" s="37" t="n">
        <v>4.0316</v>
      </c>
    </row>
    <row r="3117" customFormat="false" ht="15" hidden="false" customHeight="false" outlineLevel="0" collapsed="false">
      <c r="B3117" s="36" t="n">
        <v>43612</v>
      </c>
      <c r="C3117" s="37" t="n">
        <v>4.0204</v>
      </c>
    </row>
    <row r="3118" customFormat="false" ht="15" hidden="false" customHeight="false" outlineLevel="0" collapsed="false">
      <c r="B3118" s="36" t="n">
        <v>43613</v>
      </c>
      <c r="C3118" s="37" t="n">
        <v>4.0269</v>
      </c>
    </row>
    <row r="3119" customFormat="false" ht="15" hidden="false" customHeight="false" outlineLevel="0" collapsed="false">
      <c r="B3119" s="36" t="n">
        <v>43614</v>
      </c>
      <c r="C3119" s="37" t="n">
        <v>3.9959</v>
      </c>
    </row>
    <row r="3120" customFormat="false" ht="15" hidden="false" customHeight="false" outlineLevel="0" collapsed="false">
      <c r="B3120" s="36" t="n">
        <v>43615</v>
      </c>
      <c r="C3120" s="37" t="n">
        <v>3.9714</v>
      </c>
    </row>
    <row r="3121" customFormat="false" ht="15" hidden="false" customHeight="false" outlineLevel="0" collapsed="false">
      <c r="B3121" s="36" t="n">
        <v>43616</v>
      </c>
      <c r="C3121" s="37" t="n">
        <v>3.9401</v>
      </c>
    </row>
    <row r="3122" customFormat="false" ht="15" hidden="false" customHeight="false" outlineLevel="0" collapsed="false">
      <c r="B3122" s="36" t="n">
        <v>43619</v>
      </c>
      <c r="C3122" s="37" t="n">
        <v>3.8997</v>
      </c>
    </row>
    <row r="3123" customFormat="false" ht="15" hidden="false" customHeight="false" outlineLevel="0" collapsed="false">
      <c r="B3123" s="36" t="n">
        <v>43620</v>
      </c>
      <c r="C3123" s="37" t="n">
        <v>3.8704</v>
      </c>
    </row>
    <row r="3124" customFormat="false" ht="15" hidden="false" customHeight="false" outlineLevel="0" collapsed="false">
      <c r="B3124" s="36" t="n">
        <v>43621</v>
      </c>
      <c r="C3124" s="37" t="n">
        <v>3.8605</v>
      </c>
    </row>
    <row r="3125" customFormat="false" ht="15" hidden="false" customHeight="false" outlineLevel="0" collapsed="false">
      <c r="B3125" s="36" t="n">
        <v>43622</v>
      </c>
      <c r="C3125" s="37" t="n">
        <v>3.872</v>
      </c>
    </row>
    <row r="3126" customFormat="false" ht="15" hidden="false" customHeight="false" outlineLevel="0" collapsed="false">
      <c r="B3126" s="36" t="n">
        <v>43623</v>
      </c>
      <c r="C3126" s="37" t="n">
        <v>3.8565</v>
      </c>
    </row>
    <row r="3127" customFormat="false" ht="15" hidden="false" customHeight="false" outlineLevel="0" collapsed="false">
      <c r="B3127" s="36" t="n">
        <v>43626</v>
      </c>
      <c r="C3127" s="37" t="n">
        <v>3.8784</v>
      </c>
    </row>
    <row r="3128" customFormat="false" ht="15" hidden="false" customHeight="false" outlineLevel="0" collapsed="false">
      <c r="B3128" s="36" t="n">
        <v>43627</v>
      </c>
      <c r="C3128" s="37" t="n">
        <v>3.8658</v>
      </c>
    </row>
    <row r="3129" customFormat="false" ht="15" hidden="false" customHeight="false" outlineLevel="0" collapsed="false">
      <c r="B3129" s="36" t="n">
        <v>43628</v>
      </c>
      <c r="C3129" s="37" t="n">
        <v>3.8431</v>
      </c>
    </row>
    <row r="3130" customFormat="false" ht="15" hidden="false" customHeight="false" outlineLevel="0" collapsed="false">
      <c r="B3130" s="36" t="n">
        <v>43629</v>
      </c>
      <c r="C3130" s="37" t="n">
        <v>3.8423</v>
      </c>
    </row>
    <row r="3131" customFormat="false" ht="15" hidden="false" customHeight="false" outlineLevel="0" collapsed="false">
      <c r="B3131" s="36" t="n">
        <v>43630</v>
      </c>
      <c r="C3131" s="37" t="n">
        <v>3.8807</v>
      </c>
    </row>
    <row r="3132" customFormat="false" ht="15" hidden="false" customHeight="false" outlineLevel="0" collapsed="false">
      <c r="B3132" s="36" t="n">
        <v>43633</v>
      </c>
      <c r="C3132" s="37" t="n">
        <v>3.8889</v>
      </c>
    </row>
    <row r="3133" customFormat="false" ht="15" hidden="false" customHeight="false" outlineLevel="0" collapsed="false">
      <c r="B3133" s="36" t="n">
        <v>43634</v>
      </c>
      <c r="C3133" s="37" t="n">
        <v>3.8602</v>
      </c>
    </row>
    <row r="3134" customFormat="false" ht="15" hidden="false" customHeight="false" outlineLevel="0" collapsed="false">
      <c r="B3134" s="36" t="n">
        <v>43635</v>
      </c>
      <c r="C3134" s="37" t="n">
        <v>3.8717</v>
      </c>
    </row>
    <row r="3135" customFormat="false" ht="15" hidden="false" customHeight="false" outlineLevel="0" collapsed="false">
      <c r="B3135" s="36" t="n">
        <v>43637</v>
      </c>
      <c r="C3135" s="37" t="n">
        <v>3.8249</v>
      </c>
    </row>
    <row r="3136" customFormat="false" ht="15" hidden="false" customHeight="false" outlineLevel="0" collapsed="false">
      <c r="B3136" s="36" t="n">
        <v>43640</v>
      </c>
      <c r="C3136" s="37" t="n">
        <v>3.8228</v>
      </c>
    </row>
    <row r="3137" customFormat="false" ht="15" hidden="false" customHeight="false" outlineLevel="0" collapsed="false">
      <c r="B3137" s="36" t="n">
        <v>43641</v>
      </c>
      <c r="C3137" s="37" t="n">
        <v>3.8297</v>
      </c>
    </row>
    <row r="3138" customFormat="false" ht="15" hidden="false" customHeight="false" outlineLevel="0" collapsed="false">
      <c r="B3138" s="36" t="n">
        <v>43642</v>
      </c>
      <c r="C3138" s="37" t="n">
        <v>3.8435</v>
      </c>
    </row>
    <row r="3139" customFormat="false" ht="15" hidden="false" customHeight="false" outlineLevel="0" collapsed="false">
      <c r="B3139" s="36" t="n">
        <v>43643</v>
      </c>
      <c r="C3139" s="37" t="n">
        <v>3.8636</v>
      </c>
    </row>
    <row r="3140" customFormat="false" ht="15" hidden="false" customHeight="false" outlineLevel="0" collapsed="false">
      <c r="B3140" s="36" t="n">
        <v>43644</v>
      </c>
      <c r="C3140" s="37" t="n">
        <v>3.8316</v>
      </c>
    </row>
    <row r="3141" customFormat="false" ht="15" hidden="false" customHeight="false" outlineLevel="0" collapsed="false">
      <c r="B3141" s="36" t="n">
        <v>43647</v>
      </c>
      <c r="C3141" s="37" t="n">
        <v>3.8187</v>
      </c>
    </row>
    <row r="3142" customFormat="false" ht="15" hidden="false" customHeight="false" outlineLevel="0" collapsed="false">
      <c r="B3142" s="36" t="n">
        <v>43648</v>
      </c>
      <c r="C3142" s="37" t="n">
        <v>3.8558</v>
      </c>
    </row>
    <row r="3143" customFormat="false" ht="15" hidden="false" customHeight="false" outlineLevel="0" collapsed="false">
      <c r="B3143" s="36" t="n">
        <v>43649</v>
      </c>
      <c r="C3143" s="37" t="n">
        <v>3.8469</v>
      </c>
    </row>
    <row r="3144" customFormat="false" ht="15" hidden="false" customHeight="false" outlineLevel="0" collapsed="false">
      <c r="B3144" s="36" t="n">
        <v>43650</v>
      </c>
      <c r="C3144" s="37" t="n">
        <v>3.7934</v>
      </c>
    </row>
    <row r="3145" customFormat="false" ht="15" hidden="false" customHeight="false" outlineLevel="0" collapsed="false">
      <c r="B3145" s="36" t="n">
        <v>43651</v>
      </c>
      <c r="C3145" s="37" t="n">
        <v>3.8198</v>
      </c>
    </row>
    <row r="3146" customFormat="false" ht="15" hidden="false" customHeight="false" outlineLevel="0" collapsed="false">
      <c r="B3146" s="36" t="n">
        <v>43654</v>
      </c>
      <c r="C3146" s="37" t="n">
        <v>3.8059</v>
      </c>
    </row>
    <row r="3147" customFormat="false" ht="15" hidden="false" customHeight="false" outlineLevel="0" collapsed="false">
      <c r="B3147" s="36" t="n">
        <v>43655</v>
      </c>
      <c r="C3147" s="37" t="n">
        <v>3.7846</v>
      </c>
    </row>
    <row r="3148" customFormat="false" ht="15" hidden="false" customHeight="false" outlineLevel="0" collapsed="false">
      <c r="B3148" s="36" t="n">
        <v>43656</v>
      </c>
      <c r="C3148" s="37" t="n">
        <v>3.7691</v>
      </c>
    </row>
    <row r="3149" customFormat="false" ht="15" hidden="false" customHeight="false" outlineLevel="0" collapsed="false">
      <c r="B3149" s="36" t="n">
        <v>43657</v>
      </c>
      <c r="C3149" s="37" t="n">
        <v>3.7527</v>
      </c>
    </row>
    <row r="3150" customFormat="false" ht="15" hidden="false" customHeight="false" outlineLevel="0" collapsed="false">
      <c r="B3150" s="36" t="n">
        <v>43658</v>
      </c>
      <c r="C3150" s="37" t="n">
        <v>3.7446</v>
      </c>
    </row>
    <row r="3151" customFormat="false" ht="15" hidden="false" customHeight="false" outlineLevel="0" collapsed="false">
      <c r="B3151" s="36" t="n">
        <v>43661</v>
      </c>
      <c r="C3151" s="37" t="n">
        <v>3.7457</v>
      </c>
    </row>
    <row r="3152" customFormat="false" ht="15" hidden="false" customHeight="false" outlineLevel="0" collapsed="false">
      <c r="B3152" s="36" t="n">
        <v>43662</v>
      </c>
      <c r="C3152" s="37" t="n">
        <v>3.7618</v>
      </c>
    </row>
    <row r="3153" customFormat="false" ht="15" hidden="false" customHeight="false" outlineLevel="0" collapsed="false">
      <c r="B3153" s="36" t="n">
        <v>43663</v>
      </c>
      <c r="C3153" s="37" t="n">
        <v>3.7612</v>
      </c>
    </row>
    <row r="3154" customFormat="false" ht="15" hidden="false" customHeight="false" outlineLevel="0" collapsed="false">
      <c r="B3154" s="36" t="n">
        <v>43664</v>
      </c>
      <c r="C3154" s="37" t="n">
        <v>3.7483</v>
      </c>
    </row>
    <row r="3155" customFormat="false" ht="15" hidden="false" customHeight="false" outlineLevel="0" collapsed="false">
      <c r="B3155" s="36" t="n">
        <v>43665</v>
      </c>
      <c r="C3155" s="37" t="n">
        <v>3.7402</v>
      </c>
    </row>
    <row r="3156" customFormat="false" ht="15" hidden="false" customHeight="false" outlineLevel="0" collapsed="false">
      <c r="B3156" s="36" t="n">
        <v>43668</v>
      </c>
      <c r="C3156" s="37" t="n">
        <v>3.7394</v>
      </c>
    </row>
    <row r="3157" customFormat="false" ht="15" hidden="false" customHeight="false" outlineLevel="0" collapsed="false">
      <c r="B3157" s="36" t="n">
        <v>43669</v>
      </c>
      <c r="C3157" s="37" t="n">
        <v>3.7615</v>
      </c>
    </row>
    <row r="3158" customFormat="false" ht="15" hidden="false" customHeight="false" outlineLevel="0" collapsed="false">
      <c r="B3158" s="36" t="n">
        <v>43670</v>
      </c>
      <c r="C3158" s="37" t="n">
        <v>3.759</v>
      </c>
    </row>
    <row r="3159" customFormat="false" ht="15" hidden="false" customHeight="false" outlineLevel="0" collapsed="false">
      <c r="B3159" s="36" t="n">
        <v>43671</v>
      </c>
      <c r="C3159" s="37" t="n">
        <v>3.7843</v>
      </c>
    </row>
    <row r="3160" customFormat="false" ht="15" hidden="false" customHeight="false" outlineLevel="0" collapsed="false">
      <c r="B3160" s="36" t="n">
        <v>43672</v>
      </c>
      <c r="C3160" s="37" t="n">
        <v>3.7735</v>
      </c>
    </row>
    <row r="3161" customFormat="false" ht="15" hidden="false" customHeight="false" outlineLevel="0" collapsed="false">
      <c r="B3161" s="36" t="n">
        <v>43675</v>
      </c>
      <c r="C3161" s="37" t="n">
        <v>3.7903</v>
      </c>
    </row>
    <row r="3162" customFormat="false" ht="15" hidden="false" customHeight="false" outlineLevel="0" collapsed="false">
      <c r="B3162" s="36" t="n">
        <v>43676</v>
      </c>
      <c r="C3162" s="37" t="n">
        <v>3.7894</v>
      </c>
    </row>
    <row r="3163" customFormat="false" ht="15" hidden="false" customHeight="false" outlineLevel="0" collapsed="false">
      <c r="B3163" s="36" t="n">
        <v>43677</v>
      </c>
      <c r="C3163" s="37" t="n">
        <v>3.7643</v>
      </c>
    </row>
    <row r="3164" customFormat="false" ht="15" hidden="false" customHeight="false" outlineLevel="0" collapsed="false">
      <c r="B3164" s="36" t="n">
        <v>43678</v>
      </c>
      <c r="C3164" s="37" t="n">
        <v>3.829</v>
      </c>
    </row>
    <row r="3165" customFormat="false" ht="15" hidden="false" customHeight="false" outlineLevel="0" collapsed="false">
      <c r="B3165" s="36" t="n">
        <v>43679</v>
      </c>
      <c r="C3165" s="37" t="n">
        <v>3.8733</v>
      </c>
    </row>
    <row r="3166" customFormat="false" ht="15" hidden="false" customHeight="false" outlineLevel="0" collapsed="false">
      <c r="B3166" s="36" t="n">
        <v>43682</v>
      </c>
      <c r="C3166" s="37" t="n">
        <v>3.9398</v>
      </c>
    </row>
    <row r="3167" customFormat="false" ht="15" hidden="false" customHeight="false" outlineLevel="0" collapsed="false">
      <c r="B3167" s="36" t="n">
        <v>43683</v>
      </c>
      <c r="C3167" s="37" t="n">
        <v>3.9637</v>
      </c>
    </row>
    <row r="3168" customFormat="false" ht="15" hidden="false" customHeight="false" outlineLevel="0" collapsed="false">
      <c r="B3168" s="36" t="n">
        <v>43684</v>
      </c>
      <c r="C3168" s="37" t="n">
        <v>3.9844</v>
      </c>
    </row>
    <row r="3169" customFormat="false" ht="15" hidden="false" customHeight="false" outlineLevel="0" collapsed="false">
      <c r="B3169" s="36" t="n">
        <v>43685</v>
      </c>
      <c r="C3169" s="37" t="n">
        <v>3.9403</v>
      </c>
    </row>
    <row r="3170" customFormat="false" ht="15" hidden="false" customHeight="false" outlineLevel="0" collapsed="false">
      <c r="B3170" s="36" t="n">
        <v>43686</v>
      </c>
      <c r="C3170" s="37" t="n">
        <v>3.9356</v>
      </c>
    </row>
    <row r="3171" customFormat="false" ht="15" hidden="false" customHeight="false" outlineLevel="0" collapsed="false">
      <c r="B3171" s="36" t="n">
        <v>43689</v>
      </c>
      <c r="C3171" s="37" t="n">
        <v>3.996</v>
      </c>
    </row>
    <row r="3172" customFormat="false" ht="15" hidden="false" customHeight="false" outlineLevel="0" collapsed="false">
      <c r="B3172" s="36" t="n">
        <v>43690</v>
      </c>
      <c r="C3172" s="37" t="n">
        <v>3.973</v>
      </c>
    </row>
    <row r="3173" customFormat="false" ht="15" hidden="false" customHeight="false" outlineLevel="0" collapsed="false">
      <c r="B3173" s="36" t="n">
        <v>43691</v>
      </c>
      <c r="C3173" s="37" t="n">
        <v>4.0068</v>
      </c>
    </row>
    <row r="3174" customFormat="false" ht="15" hidden="false" customHeight="false" outlineLevel="0" collapsed="false">
      <c r="B3174" s="36" t="n">
        <v>43692</v>
      </c>
      <c r="C3174" s="37" t="n">
        <v>4.0182</v>
      </c>
    </row>
    <row r="3175" customFormat="false" ht="15" hidden="false" customHeight="false" outlineLevel="0" collapsed="false">
      <c r="B3175" s="36" t="n">
        <v>43693</v>
      </c>
      <c r="C3175" s="37" t="n">
        <v>3.9927</v>
      </c>
    </row>
    <row r="3176" customFormat="false" ht="15" hidden="false" customHeight="false" outlineLevel="0" collapsed="false">
      <c r="B3176" s="36" t="n">
        <v>43696</v>
      </c>
      <c r="C3176" s="37" t="n">
        <v>4.0268</v>
      </c>
    </row>
    <row r="3177" customFormat="false" ht="15" hidden="false" customHeight="false" outlineLevel="0" collapsed="false">
      <c r="B3177" s="36" t="n">
        <v>43697</v>
      </c>
      <c r="C3177" s="37" t="n">
        <v>4.0419</v>
      </c>
    </row>
    <row r="3178" customFormat="false" ht="15" hidden="false" customHeight="false" outlineLevel="0" collapsed="false">
      <c r="B3178" s="36" t="n">
        <v>43698</v>
      </c>
      <c r="C3178" s="37" t="n">
        <v>4.0248</v>
      </c>
    </row>
    <row r="3179" customFormat="false" ht="15" hidden="false" customHeight="false" outlineLevel="0" collapsed="false">
      <c r="B3179" s="36" t="n">
        <v>43699</v>
      </c>
      <c r="C3179" s="37" t="n">
        <v>4.0438</v>
      </c>
    </row>
    <row r="3180" customFormat="false" ht="15" hidden="false" customHeight="false" outlineLevel="0" collapsed="false">
      <c r="B3180" s="36" t="n">
        <v>43700</v>
      </c>
      <c r="C3180" s="37" t="n">
        <v>4.0845</v>
      </c>
    </row>
    <row r="3181" customFormat="false" ht="15" hidden="false" customHeight="false" outlineLevel="0" collapsed="false">
      <c r="B3181" s="36" t="n">
        <v>43703</v>
      </c>
      <c r="C3181" s="37" t="n">
        <v>4.1361</v>
      </c>
    </row>
    <row r="3182" customFormat="false" ht="15" hidden="false" customHeight="false" outlineLevel="0" collapsed="false">
      <c r="B3182" s="36" t="n">
        <v>43704</v>
      </c>
      <c r="C3182" s="37" t="n">
        <v>4.1551</v>
      </c>
    </row>
    <row r="3183" customFormat="false" ht="15" hidden="false" customHeight="false" outlineLevel="0" collapsed="false">
      <c r="B3183" s="36" t="n">
        <v>43705</v>
      </c>
      <c r="C3183" s="37" t="n">
        <v>4.1553</v>
      </c>
    </row>
    <row r="3184" customFormat="false" ht="15" hidden="false" customHeight="false" outlineLevel="0" collapsed="false">
      <c r="B3184" s="36" t="n">
        <v>43706</v>
      </c>
      <c r="C3184" s="37" t="n">
        <v>4.1674</v>
      </c>
    </row>
    <row r="3185" customFormat="false" ht="15" hidden="false" customHeight="false" outlineLevel="0" collapsed="false">
      <c r="B3185" s="36" t="n">
        <v>43707</v>
      </c>
      <c r="C3185" s="37" t="n">
        <v>4.1379</v>
      </c>
    </row>
    <row r="3186" customFormat="false" ht="15" hidden="false" customHeight="false" outlineLevel="0" collapsed="false">
      <c r="B3186" s="36" t="n">
        <v>43710</v>
      </c>
      <c r="C3186" s="37" t="n">
        <v>4.1575</v>
      </c>
    </row>
    <row r="3187" customFormat="false" ht="15" hidden="false" customHeight="false" outlineLevel="0" collapsed="false">
      <c r="B3187" s="36" t="n">
        <v>43711</v>
      </c>
      <c r="C3187" s="37" t="n">
        <v>4.1651</v>
      </c>
    </row>
    <row r="3188" customFormat="false" ht="15" hidden="false" customHeight="false" outlineLevel="0" collapsed="false">
      <c r="B3188" s="36" t="n">
        <v>43712</v>
      </c>
      <c r="C3188" s="37" t="n">
        <v>4.1243</v>
      </c>
    </row>
    <row r="3189" customFormat="false" ht="15" hidden="false" customHeight="false" outlineLevel="0" collapsed="false">
      <c r="B3189" s="36" t="n">
        <v>43713</v>
      </c>
      <c r="C3189" s="37" t="n">
        <v>4.0853</v>
      </c>
    </row>
    <row r="3190" customFormat="false" ht="15" hidden="false" customHeight="false" outlineLevel="0" collapsed="false">
      <c r="B3190" s="36" t="n">
        <v>43714</v>
      </c>
      <c r="C3190" s="37" t="n">
        <v>4.0644</v>
      </c>
    </row>
    <row r="3191" customFormat="false" ht="15" hidden="false" customHeight="false" outlineLevel="0" collapsed="false">
      <c r="B3191" s="36" t="n">
        <v>43717</v>
      </c>
      <c r="C3191" s="37" t="n">
        <v>4.076</v>
      </c>
    </row>
    <row r="3192" customFormat="false" ht="15" hidden="false" customHeight="false" outlineLevel="0" collapsed="false">
      <c r="B3192" s="36" t="n">
        <v>43718</v>
      </c>
      <c r="C3192" s="37" t="n">
        <v>4.1102</v>
      </c>
    </row>
    <row r="3193" customFormat="false" ht="15" hidden="false" customHeight="false" outlineLevel="0" collapsed="false">
      <c r="B3193" s="36" t="n">
        <v>43719</v>
      </c>
      <c r="C3193" s="37" t="n">
        <v>4.0625</v>
      </c>
    </row>
    <row r="3194" customFormat="false" ht="15" hidden="false" customHeight="false" outlineLevel="0" collapsed="false">
      <c r="B3194" s="36" t="n">
        <v>43720</v>
      </c>
      <c r="C3194" s="37" t="n">
        <v>4.0488</v>
      </c>
    </row>
    <row r="3195" customFormat="false" ht="15" hidden="false" customHeight="false" outlineLevel="0" collapsed="false">
      <c r="B3195" s="36" t="n">
        <v>43721</v>
      </c>
      <c r="C3195" s="37" t="n">
        <v>4.061</v>
      </c>
    </row>
    <row r="3196" customFormat="false" ht="15" hidden="false" customHeight="false" outlineLevel="0" collapsed="false">
      <c r="B3196" s="36" t="n">
        <v>43724</v>
      </c>
      <c r="C3196" s="37" t="n">
        <v>4.0866</v>
      </c>
    </row>
    <row r="3197" customFormat="false" ht="15" hidden="false" customHeight="false" outlineLevel="0" collapsed="false">
      <c r="B3197" s="36" t="n">
        <v>43725</v>
      </c>
      <c r="C3197" s="37" t="n">
        <v>4.0992</v>
      </c>
    </row>
    <row r="3198" customFormat="false" ht="15" hidden="false" customHeight="false" outlineLevel="0" collapsed="false">
      <c r="B3198" s="36" t="n">
        <v>43726</v>
      </c>
      <c r="C3198" s="37" t="n">
        <v>4.0966</v>
      </c>
    </row>
    <row r="3199" customFormat="false" ht="15" hidden="false" customHeight="false" outlineLevel="0" collapsed="false">
      <c r="B3199" s="36" t="n">
        <v>43727</v>
      </c>
      <c r="C3199" s="37" t="n">
        <v>4.1387</v>
      </c>
    </row>
    <row r="3200" customFormat="false" ht="15" hidden="false" customHeight="false" outlineLevel="0" collapsed="false">
      <c r="B3200" s="36" t="n">
        <v>43728</v>
      </c>
      <c r="C3200" s="37" t="n">
        <v>4.1681</v>
      </c>
    </row>
    <row r="3201" customFormat="false" ht="15" hidden="false" customHeight="false" outlineLevel="0" collapsed="false">
      <c r="B3201" s="36" t="n">
        <v>43731</v>
      </c>
      <c r="C3201" s="37" t="n">
        <v>4.1728</v>
      </c>
    </row>
    <row r="3202" customFormat="false" ht="15" hidden="false" customHeight="false" outlineLevel="0" collapsed="false">
      <c r="B3202" s="36" t="n">
        <v>43732</v>
      </c>
      <c r="C3202" s="37" t="n">
        <v>4.1715</v>
      </c>
    </row>
    <row r="3203" customFormat="false" ht="15" hidden="false" customHeight="false" outlineLevel="0" collapsed="false">
      <c r="B3203" s="36" t="n">
        <v>43733</v>
      </c>
      <c r="C3203" s="37" t="n">
        <v>4.1821</v>
      </c>
    </row>
    <row r="3204" customFormat="false" ht="15" hidden="false" customHeight="false" outlineLevel="0" collapsed="false">
      <c r="B3204" s="36" t="n">
        <v>43734</v>
      </c>
      <c r="C3204" s="37" t="n">
        <v>4.1463</v>
      </c>
    </row>
    <row r="3205" customFormat="false" ht="15" hidden="false" customHeight="false" outlineLevel="0" collapsed="false">
      <c r="B3205" s="36" t="n">
        <v>43735</v>
      </c>
      <c r="C3205" s="37" t="n">
        <v>4.1581</v>
      </c>
    </row>
    <row r="3206" customFormat="false" ht="15" hidden="false" customHeight="false" outlineLevel="0" collapsed="false">
      <c r="B3206" s="36" t="n">
        <v>43738</v>
      </c>
      <c r="C3206" s="37" t="n">
        <v>4.1638</v>
      </c>
    </row>
    <row r="3207" customFormat="false" ht="15" hidden="false" customHeight="false" outlineLevel="0" collapsed="false">
      <c r="B3207" s="36" t="n">
        <v>43739</v>
      </c>
      <c r="C3207" s="37" t="n">
        <v>4.1734</v>
      </c>
    </row>
    <row r="3208" customFormat="false" ht="15" hidden="false" customHeight="false" outlineLevel="0" collapsed="false">
      <c r="B3208" s="36" t="n">
        <v>43740</v>
      </c>
      <c r="C3208" s="37" t="n">
        <v>4.154</v>
      </c>
    </row>
    <row r="3209" customFormat="false" ht="15" hidden="false" customHeight="false" outlineLevel="0" collapsed="false">
      <c r="B3209" s="36" t="n">
        <v>43741</v>
      </c>
      <c r="C3209" s="37" t="n">
        <v>4.1006</v>
      </c>
    </row>
    <row r="3210" customFormat="false" ht="15" hidden="false" customHeight="false" outlineLevel="0" collapsed="false">
      <c r="B3210" s="36" t="n">
        <v>43742</v>
      </c>
      <c r="C3210" s="37" t="n">
        <v>4.0604</v>
      </c>
    </row>
    <row r="3211" customFormat="false" ht="15" hidden="false" customHeight="false" outlineLevel="0" collapsed="false">
      <c r="B3211" s="36" t="n">
        <v>43745</v>
      </c>
      <c r="C3211" s="37" t="n">
        <v>4.0682</v>
      </c>
    </row>
    <row r="3212" customFormat="false" ht="15" hidden="false" customHeight="false" outlineLevel="0" collapsed="false">
      <c r="B3212" s="36" t="n">
        <v>43746</v>
      </c>
      <c r="C3212" s="37" t="n">
        <v>4.0862</v>
      </c>
    </row>
    <row r="3213" customFormat="false" ht="15" hidden="false" customHeight="false" outlineLevel="0" collapsed="false">
      <c r="B3213" s="36" t="n">
        <v>43747</v>
      </c>
      <c r="C3213" s="37" t="n">
        <v>4.0948</v>
      </c>
    </row>
    <row r="3214" customFormat="false" ht="15" hidden="false" customHeight="false" outlineLevel="0" collapsed="false">
      <c r="B3214" s="36" t="n">
        <v>43748</v>
      </c>
      <c r="C3214" s="37" t="n">
        <v>4.1139</v>
      </c>
    </row>
    <row r="3215" customFormat="false" ht="15" hidden="false" customHeight="false" outlineLevel="0" collapsed="false">
      <c r="B3215" s="36" t="n">
        <v>43749</v>
      </c>
      <c r="C3215" s="37" t="n">
        <v>4.1054</v>
      </c>
    </row>
    <row r="3216" customFormat="false" ht="15" hidden="false" customHeight="false" outlineLevel="0" collapsed="false">
      <c r="B3216" s="36" t="n">
        <v>43752</v>
      </c>
      <c r="C3216" s="37" t="n">
        <v>4.1257</v>
      </c>
    </row>
    <row r="3217" customFormat="false" ht="15" hidden="false" customHeight="false" outlineLevel="0" collapsed="false">
      <c r="B3217" s="36" t="n">
        <v>43753</v>
      </c>
      <c r="C3217" s="37" t="n">
        <v>4.1482</v>
      </c>
    </row>
    <row r="3218" customFormat="false" ht="15" hidden="false" customHeight="false" outlineLevel="0" collapsed="false">
      <c r="B3218" s="36" t="n">
        <v>43754</v>
      </c>
      <c r="C3218" s="37" t="n">
        <v>4.1708</v>
      </c>
    </row>
    <row r="3219" customFormat="false" ht="15" hidden="false" customHeight="false" outlineLevel="0" collapsed="false">
      <c r="B3219" s="36" t="n">
        <v>43755</v>
      </c>
      <c r="C3219" s="37" t="n">
        <v>4.1452</v>
      </c>
    </row>
    <row r="3220" customFormat="false" ht="15" hidden="false" customHeight="false" outlineLevel="0" collapsed="false">
      <c r="B3220" s="36" t="n">
        <v>43756</v>
      </c>
      <c r="C3220" s="37" t="n">
        <v>4.137</v>
      </c>
    </row>
    <row r="3221" customFormat="false" ht="15" hidden="false" customHeight="false" outlineLevel="0" collapsed="false">
      <c r="B3221" s="36" t="n">
        <v>43759</v>
      </c>
      <c r="C3221" s="37" t="n">
        <v>4.1313</v>
      </c>
    </row>
    <row r="3222" customFormat="false" ht="15" hidden="false" customHeight="false" outlineLevel="0" collapsed="false">
      <c r="B3222" s="36" t="n">
        <v>43760</v>
      </c>
      <c r="C3222" s="37" t="n">
        <v>4.0852</v>
      </c>
    </row>
    <row r="3223" customFormat="false" ht="15" hidden="false" customHeight="false" outlineLevel="0" collapsed="false">
      <c r="B3223" s="36" t="n">
        <v>43761</v>
      </c>
      <c r="C3223" s="37" t="n">
        <v>4.0715</v>
      </c>
    </row>
    <row r="3224" customFormat="false" ht="15" hidden="false" customHeight="false" outlineLevel="0" collapsed="false">
      <c r="B3224" s="36" t="n">
        <v>43762</v>
      </c>
      <c r="C3224" s="37" t="n">
        <v>4.0083</v>
      </c>
    </row>
    <row r="3225" customFormat="false" ht="15" hidden="false" customHeight="false" outlineLevel="0" collapsed="false">
      <c r="B3225" s="36" t="n">
        <v>43763</v>
      </c>
      <c r="C3225" s="37" t="n">
        <v>4.0127</v>
      </c>
    </row>
    <row r="3226" customFormat="false" ht="15" hidden="false" customHeight="false" outlineLevel="0" collapsed="false">
      <c r="B3226" s="36" t="n">
        <v>43766</v>
      </c>
      <c r="C3226" s="37" t="n">
        <v>3.9786</v>
      </c>
    </row>
    <row r="3227" customFormat="false" ht="15" hidden="false" customHeight="false" outlineLevel="0" collapsed="false">
      <c r="B3227" s="36" t="n">
        <v>43767</v>
      </c>
      <c r="C3227" s="37" t="n">
        <v>3.994</v>
      </c>
    </row>
    <row r="3228" customFormat="false" ht="15" hidden="false" customHeight="false" outlineLevel="0" collapsed="false">
      <c r="B3228" s="36" t="n">
        <v>43768</v>
      </c>
      <c r="C3228" s="37" t="n">
        <v>4.018</v>
      </c>
    </row>
    <row r="3229" customFormat="false" ht="15" hidden="false" customHeight="false" outlineLevel="0" collapsed="false">
      <c r="B3229" s="36" t="n">
        <v>43769</v>
      </c>
      <c r="C3229" s="37" t="n">
        <v>4.0035</v>
      </c>
    </row>
    <row r="3230" customFormat="false" ht="15" hidden="false" customHeight="false" outlineLevel="0" collapsed="false">
      <c r="B3230" s="36" t="n">
        <v>43770</v>
      </c>
      <c r="C3230" s="37" t="n">
        <v>3.978</v>
      </c>
    </row>
    <row r="3231" customFormat="false" ht="15" hidden="false" customHeight="false" outlineLevel="0" collapsed="false">
      <c r="B3231" s="36" t="n">
        <v>43773</v>
      </c>
      <c r="C3231" s="37" t="n">
        <v>3.9916</v>
      </c>
    </row>
    <row r="3232" customFormat="false" ht="15" hidden="false" customHeight="false" outlineLevel="0" collapsed="false">
      <c r="B3232" s="36" t="n">
        <v>43774</v>
      </c>
      <c r="C3232" s="37" t="n">
        <v>4.0037</v>
      </c>
    </row>
    <row r="3233" customFormat="false" ht="15" hidden="false" customHeight="false" outlineLevel="0" collapsed="false">
      <c r="B3233" s="36" t="n">
        <v>43775</v>
      </c>
      <c r="C3233" s="37" t="n">
        <v>4.0345</v>
      </c>
    </row>
    <row r="3234" customFormat="false" ht="15" hidden="false" customHeight="false" outlineLevel="0" collapsed="false">
      <c r="B3234" s="36" t="n">
        <v>43776</v>
      </c>
      <c r="C3234" s="37" t="n">
        <v>4.0921</v>
      </c>
    </row>
    <row r="3235" customFormat="false" ht="15" hidden="false" customHeight="false" outlineLevel="0" collapsed="false">
      <c r="B3235" s="36" t="n">
        <v>43777</v>
      </c>
      <c r="C3235" s="37" t="n">
        <v>4.1359</v>
      </c>
    </row>
    <row r="3236" customFormat="false" ht="15" hidden="false" customHeight="false" outlineLevel="0" collapsed="false">
      <c r="B3236" s="36" t="n">
        <v>43780</v>
      </c>
      <c r="C3236" s="37" t="n">
        <v>4.1553</v>
      </c>
    </row>
    <row r="3237" customFormat="false" ht="15" hidden="false" customHeight="false" outlineLevel="0" collapsed="false">
      <c r="B3237" s="36" t="n">
        <v>43781</v>
      </c>
      <c r="C3237" s="37" t="n">
        <v>4.175</v>
      </c>
    </row>
    <row r="3238" customFormat="false" ht="15" hidden="false" customHeight="false" outlineLevel="0" collapsed="false">
      <c r="B3238" s="36" t="n">
        <v>43782</v>
      </c>
      <c r="C3238" s="37" t="n">
        <v>4.1761</v>
      </c>
    </row>
    <row r="3239" customFormat="false" ht="15" hidden="false" customHeight="false" outlineLevel="0" collapsed="false">
      <c r="B3239" s="36" t="n">
        <v>43783</v>
      </c>
      <c r="C3239" s="37" t="n">
        <v>4.1825</v>
      </c>
    </row>
    <row r="3240" customFormat="false" ht="15" hidden="false" customHeight="false" outlineLevel="0" collapsed="false">
      <c r="B3240" s="36" t="n">
        <v>43787</v>
      </c>
      <c r="C3240" s="37" t="n">
        <v>4.1821</v>
      </c>
    </row>
    <row r="3241" customFormat="false" ht="15" hidden="false" customHeight="false" outlineLevel="0" collapsed="false">
      <c r="B3241" s="36" t="n">
        <v>43788</v>
      </c>
      <c r="C3241" s="37" t="n">
        <v>4.2078</v>
      </c>
    </row>
    <row r="3242" customFormat="false" ht="15" hidden="false" customHeight="false" outlineLevel="0" collapsed="false">
      <c r="B3242" s="36" t="n">
        <v>43789</v>
      </c>
      <c r="C3242" s="37" t="n">
        <v>4.2027</v>
      </c>
    </row>
    <row r="3243" customFormat="false" ht="15" hidden="false" customHeight="false" outlineLevel="0" collapsed="false">
      <c r="B3243" s="36" t="n">
        <v>43790</v>
      </c>
      <c r="C3243" s="37" t="n">
        <v>4.2006</v>
      </c>
    </row>
    <row r="3244" customFormat="false" ht="15" hidden="false" customHeight="false" outlineLevel="0" collapsed="false">
      <c r="B3244" s="36" t="n">
        <v>43791</v>
      </c>
      <c r="C3244" s="37" t="n">
        <v>4.1826</v>
      </c>
    </row>
    <row r="3245" customFormat="false" ht="15" hidden="false" customHeight="false" outlineLevel="0" collapsed="false">
      <c r="B3245" s="36" t="n">
        <v>43794</v>
      </c>
      <c r="C3245" s="37" t="n">
        <v>4.2083</v>
      </c>
    </row>
    <row r="3246" customFormat="false" ht="15" hidden="false" customHeight="false" outlineLevel="0" collapsed="false">
      <c r="B3246" s="36" t="n">
        <v>43795</v>
      </c>
      <c r="C3246" s="37" t="n">
        <v>4.2553</v>
      </c>
    </row>
    <row r="3247" customFormat="false" ht="15" hidden="false" customHeight="false" outlineLevel="0" collapsed="false">
      <c r="B3247" s="36" t="n">
        <v>43796</v>
      </c>
      <c r="C3247" s="37" t="n">
        <v>4.2596</v>
      </c>
    </row>
    <row r="3248" customFormat="false" ht="15" hidden="false" customHeight="false" outlineLevel="0" collapsed="false">
      <c r="B3248" s="36" t="n">
        <v>43797</v>
      </c>
      <c r="C3248" s="37" t="n">
        <v>4.2474</v>
      </c>
    </row>
    <row r="3249" customFormat="false" ht="15" hidden="false" customHeight="false" outlineLevel="0" collapsed="false">
      <c r="B3249" s="36" t="n">
        <v>43798</v>
      </c>
      <c r="C3249" s="37" t="n">
        <v>4.2234</v>
      </c>
    </row>
    <row r="3250" customFormat="false" ht="15" hidden="false" customHeight="false" outlineLevel="0" collapsed="false">
      <c r="B3250" s="36" t="n">
        <v>43801</v>
      </c>
      <c r="C3250" s="37" t="n">
        <v>4.2255</v>
      </c>
    </row>
    <row r="3251" customFormat="false" ht="15" hidden="false" customHeight="false" outlineLevel="0" collapsed="false">
      <c r="B3251" s="36" t="n">
        <v>43802</v>
      </c>
      <c r="C3251" s="37" t="n">
        <v>4.2002</v>
      </c>
    </row>
    <row r="3252" customFormat="false" ht="15" hidden="false" customHeight="false" outlineLevel="0" collapsed="false">
      <c r="B3252" s="36" t="n">
        <v>43803</v>
      </c>
      <c r="C3252" s="37" t="n">
        <v>4.192</v>
      </c>
    </row>
    <row r="3253" customFormat="false" ht="15" hidden="false" customHeight="false" outlineLevel="0" collapsed="false">
      <c r="B3253" s="36" t="n">
        <v>43804</v>
      </c>
      <c r="C3253" s="37" t="n">
        <v>4.213</v>
      </c>
    </row>
    <row r="3254" customFormat="false" ht="15" hidden="false" customHeight="false" outlineLevel="0" collapsed="false">
      <c r="B3254" s="36" t="n">
        <v>43805</v>
      </c>
      <c r="C3254" s="37" t="n">
        <v>4.1777</v>
      </c>
    </row>
    <row r="3255" customFormat="false" ht="15" hidden="false" customHeight="false" outlineLevel="0" collapsed="false">
      <c r="B3255" s="36" t="n">
        <v>43808</v>
      </c>
      <c r="C3255" s="37" t="n">
        <v>4.1497</v>
      </c>
    </row>
    <row r="3256" customFormat="false" ht="15" hidden="false" customHeight="false" outlineLevel="0" collapsed="false">
      <c r="B3256" s="36" t="n">
        <v>43809</v>
      </c>
      <c r="C3256" s="37" t="n">
        <v>4.1421</v>
      </c>
    </row>
    <row r="3257" customFormat="false" ht="15" hidden="false" customHeight="false" outlineLevel="0" collapsed="false">
      <c r="B3257" s="36" t="n">
        <v>43810</v>
      </c>
      <c r="C3257" s="37" t="n">
        <v>4.1147</v>
      </c>
    </row>
    <row r="3258" customFormat="false" ht="15" hidden="false" customHeight="false" outlineLevel="0" collapsed="false">
      <c r="B3258" s="36" t="n">
        <v>43811</v>
      </c>
      <c r="C3258" s="37" t="n">
        <v>4.1086</v>
      </c>
    </row>
    <row r="3259" customFormat="false" ht="15" hidden="false" customHeight="false" outlineLevel="0" collapsed="false">
      <c r="B3259" s="36" t="n">
        <v>43812</v>
      </c>
      <c r="C3259" s="37" t="n">
        <v>4.0943</v>
      </c>
    </row>
    <row r="3260" customFormat="false" ht="15" hidden="false" customHeight="false" outlineLevel="0" collapsed="false">
      <c r="B3260" s="36" t="n">
        <v>43815</v>
      </c>
      <c r="C3260" s="37" t="n">
        <v>4.0795</v>
      </c>
    </row>
    <row r="3261" customFormat="false" ht="15" hidden="false" customHeight="false" outlineLevel="0" collapsed="false">
      <c r="B3261" s="36" t="n">
        <v>43816</v>
      </c>
      <c r="C3261" s="37" t="n">
        <v>4.0681</v>
      </c>
    </row>
    <row r="3262" customFormat="false" ht="15" hidden="false" customHeight="false" outlineLevel="0" collapsed="false">
      <c r="B3262" s="36" t="n">
        <v>43817</v>
      </c>
      <c r="C3262" s="37" t="n">
        <v>4.0542</v>
      </c>
    </row>
    <row r="3263" customFormat="false" ht="15" hidden="false" customHeight="false" outlineLevel="0" collapsed="false">
      <c r="B3263" s="36" t="n">
        <v>43818</v>
      </c>
      <c r="C3263" s="37" t="n">
        <v>4.0627</v>
      </c>
    </row>
    <row r="3264" customFormat="false" ht="15" hidden="false" customHeight="false" outlineLevel="0" collapsed="false">
      <c r="B3264" s="36" t="n">
        <v>43819</v>
      </c>
      <c r="C3264" s="37" t="n">
        <v>4.0771</v>
      </c>
    </row>
    <row r="3265" customFormat="false" ht="15" hidden="false" customHeight="false" outlineLevel="0" collapsed="false">
      <c r="B3265" s="36" t="n">
        <v>43822</v>
      </c>
      <c r="C3265" s="37" t="n">
        <v>4.0751</v>
      </c>
    </row>
    <row r="3266" customFormat="false" ht="15" hidden="false" customHeight="false" outlineLevel="0" collapsed="false">
      <c r="B3266" s="36" t="n">
        <v>43823</v>
      </c>
      <c r="C3266" s="37" t="n">
        <v>4.0793</v>
      </c>
    </row>
    <row r="3267" customFormat="false" ht="15" hidden="false" customHeight="false" outlineLevel="0" collapsed="false">
      <c r="B3267" s="36" t="n">
        <v>43825</v>
      </c>
      <c r="C3267" s="37" t="n">
        <v>4.0595</v>
      </c>
    </row>
    <row r="3268" customFormat="false" ht="15" hidden="false" customHeight="false" outlineLevel="0" collapsed="false">
      <c r="B3268" s="36" t="n">
        <v>43826</v>
      </c>
      <c r="C3268" s="37" t="n">
        <v>4.0539</v>
      </c>
    </row>
    <row r="3269" customFormat="false" ht="15" hidden="false" customHeight="false" outlineLevel="0" collapsed="false">
      <c r="B3269" s="36" t="n">
        <v>43829</v>
      </c>
      <c r="C3269" s="37" t="n">
        <v>4.0301</v>
      </c>
    </row>
    <row r="3270" customFormat="false" ht="15" hidden="false" customHeight="false" outlineLevel="0" collapsed="false">
      <c r="B3270" s="36" t="n">
        <v>43830</v>
      </c>
      <c r="C3270" s="37" t="n">
        <v>4.0301</v>
      </c>
    </row>
    <row r="3271" customFormat="false" ht="15" hidden="false" customHeight="false" outlineLevel="0" collapsed="false">
      <c r="B3271" s="36" t="n">
        <v>43832</v>
      </c>
      <c r="C3271" s="37" t="n">
        <v>4.0207</v>
      </c>
    </row>
    <row r="3272" customFormat="false" ht="15" hidden="false" customHeight="false" outlineLevel="0" collapsed="false">
      <c r="B3272" s="36" t="n">
        <v>43833</v>
      </c>
      <c r="C3272" s="37" t="n">
        <v>4.0516</v>
      </c>
    </row>
    <row r="3273" customFormat="false" ht="15" hidden="false" customHeight="false" outlineLevel="0" collapsed="false">
      <c r="B3273" s="36" t="n">
        <v>43836</v>
      </c>
      <c r="C3273" s="37" t="n">
        <v>4.0548</v>
      </c>
    </row>
    <row r="3274" customFormat="false" ht="15" hidden="false" customHeight="false" outlineLevel="0" collapsed="false">
      <c r="B3274" s="36" t="n">
        <v>43837</v>
      </c>
      <c r="C3274" s="37" t="n">
        <v>4.0835</v>
      </c>
    </row>
    <row r="3275" customFormat="false" ht="15" hidden="false" customHeight="false" outlineLevel="0" collapsed="false">
      <c r="B3275" s="36" t="n">
        <v>43838</v>
      </c>
      <c r="C3275" s="37" t="n">
        <v>4.0666</v>
      </c>
    </row>
    <row r="3276" customFormat="false" ht="15" hidden="false" customHeight="false" outlineLevel="0" collapsed="false">
      <c r="B3276" s="36" t="n">
        <v>43839</v>
      </c>
      <c r="C3276" s="37" t="n">
        <v>4.0738</v>
      </c>
    </row>
    <row r="3277" customFormat="false" ht="15" hidden="false" customHeight="false" outlineLevel="0" collapsed="false">
      <c r="B3277" s="36" t="n">
        <v>43840</v>
      </c>
      <c r="C3277" s="37" t="n">
        <v>4.0739</v>
      </c>
    </row>
    <row r="3278" customFormat="false" ht="15" hidden="false" customHeight="false" outlineLevel="0" collapsed="false">
      <c r="B3278" s="36" t="n">
        <v>43843</v>
      </c>
      <c r="C3278" s="37" t="n">
        <v>4.1303</v>
      </c>
    </row>
    <row r="3279" customFormat="false" ht="15" hidden="false" customHeight="false" outlineLevel="0" collapsed="false">
      <c r="B3279" s="36" t="n">
        <v>43844</v>
      </c>
      <c r="C3279" s="37" t="n">
        <v>4.1437</v>
      </c>
    </row>
    <row r="3280" customFormat="false" ht="15" hidden="false" customHeight="false" outlineLevel="0" collapsed="false">
      <c r="B3280" s="36" t="n">
        <v>43845</v>
      </c>
      <c r="C3280" s="37" t="n">
        <v>4.1616</v>
      </c>
    </row>
    <row r="3281" customFormat="false" ht="15" hidden="false" customHeight="false" outlineLevel="0" collapsed="false">
      <c r="B3281" s="36" t="n">
        <v>43846</v>
      </c>
      <c r="C3281" s="37" t="n">
        <v>4.172</v>
      </c>
    </row>
    <row r="3282" customFormat="false" ht="15" hidden="false" customHeight="false" outlineLevel="0" collapsed="false">
      <c r="B3282" s="36" t="n">
        <v>43847</v>
      </c>
      <c r="C3282" s="37" t="n">
        <v>4.1831</v>
      </c>
    </row>
    <row r="3283" customFormat="false" ht="15" hidden="false" customHeight="false" outlineLevel="0" collapsed="false">
      <c r="B3283" s="36" t="n">
        <v>43850</v>
      </c>
      <c r="C3283" s="37" t="n">
        <v>4.1823</v>
      </c>
    </row>
    <row r="3284" customFormat="false" ht="15" hidden="false" customHeight="false" outlineLevel="0" collapsed="false">
      <c r="B3284" s="36" t="n">
        <v>43851</v>
      </c>
      <c r="C3284" s="37" t="n">
        <v>4.2008</v>
      </c>
    </row>
    <row r="3285" customFormat="false" ht="15" hidden="false" customHeight="false" outlineLevel="0" collapsed="false">
      <c r="B3285" s="36" t="n">
        <v>43852</v>
      </c>
      <c r="C3285" s="37" t="n">
        <v>4.1883</v>
      </c>
    </row>
    <row r="3286" customFormat="false" ht="15" hidden="false" customHeight="false" outlineLevel="0" collapsed="false">
      <c r="B3286" s="36" t="n">
        <v>43853</v>
      </c>
      <c r="C3286" s="37" t="n">
        <v>4.1656</v>
      </c>
    </row>
    <row r="3287" customFormat="false" ht="15" hidden="false" customHeight="false" outlineLevel="0" collapsed="false">
      <c r="B3287" s="36" t="n">
        <v>43854</v>
      </c>
      <c r="C3287" s="37" t="n">
        <v>4.1763</v>
      </c>
    </row>
    <row r="3288" customFormat="false" ht="15" hidden="false" customHeight="false" outlineLevel="0" collapsed="false">
      <c r="B3288" s="36" t="n">
        <v>43857</v>
      </c>
      <c r="C3288" s="37" t="n">
        <v>4.219</v>
      </c>
    </row>
    <row r="3289" customFormat="false" ht="15" hidden="false" customHeight="false" outlineLevel="0" collapsed="false">
      <c r="B3289" s="36" t="n">
        <v>43858</v>
      </c>
      <c r="C3289" s="37" t="n">
        <v>4.2058</v>
      </c>
    </row>
    <row r="3290" customFormat="false" ht="15" hidden="false" customHeight="false" outlineLevel="0" collapsed="false">
      <c r="B3290" s="36" t="n">
        <v>43859</v>
      </c>
      <c r="C3290" s="37" t="n">
        <v>4.2007</v>
      </c>
    </row>
    <row r="3291" customFormat="false" ht="15" hidden="false" customHeight="false" outlineLevel="0" collapsed="false">
      <c r="B3291" s="36" t="n">
        <v>43860</v>
      </c>
      <c r="C3291" s="37" t="n">
        <v>4.2517</v>
      </c>
    </row>
    <row r="3292" customFormat="false" ht="15" hidden="false" customHeight="false" outlineLevel="0" collapsed="false">
      <c r="B3292" s="36" t="n">
        <v>43861</v>
      </c>
      <c r="C3292" s="37" t="n">
        <v>4.2689</v>
      </c>
    </row>
    <row r="3293" customFormat="false" ht="15" hidden="false" customHeight="false" outlineLevel="0" collapsed="false">
      <c r="B3293" s="36" t="n">
        <v>43864</v>
      </c>
      <c r="C3293" s="37" t="n">
        <v>4.2469</v>
      </c>
    </row>
    <row r="3294" customFormat="false" ht="15" hidden="false" customHeight="false" outlineLevel="0" collapsed="false">
      <c r="B3294" s="36" t="n">
        <v>43865</v>
      </c>
      <c r="C3294" s="37" t="n">
        <v>4.2375</v>
      </c>
    </row>
    <row r="3295" customFormat="false" ht="15" hidden="false" customHeight="false" outlineLevel="0" collapsed="false">
      <c r="B3295" s="36" t="n">
        <v>43866</v>
      </c>
      <c r="C3295" s="37" t="n">
        <v>4.2443</v>
      </c>
    </row>
    <row r="3296" customFormat="false" ht="15" hidden="false" customHeight="false" outlineLevel="0" collapsed="false">
      <c r="B3296" s="36" t="n">
        <v>43867</v>
      </c>
      <c r="C3296" s="37" t="n">
        <v>4.2471</v>
      </c>
    </row>
    <row r="3297" customFormat="false" ht="15" hidden="false" customHeight="false" outlineLevel="0" collapsed="false">
      <c r="B3297" s="36" t="n">
        <v>43868</v>
      </c>
      <c r="C3297" s="37" t="n">
        <v>4.307</v>
      </c>
    </row>
    <row r="3298" customFormat="false" ht="15" hidden="false" customHeight="false" outlineLevel="0" collapsed="false">
      <c r="B3298" s="36" t="n">
        <v>43871</v>
      </c>
      <c r="C3298" s="37" t="n">
        <v>4.3189</v>
      </c>
    </row>
    <row r="3299" customFormat="false" ht="15" hidden="false" customHeight="false" outlineLevel="0" collapsed="false">
      <c r="B3299" s="36" t="n">
        <v>43872</v>
      </c>
      <c r="C3299" s="37" t="n">
        <v>4.3142</v>
      </c>
    </row>
    <row r="3300" customFormat="false" ht="15" hidden="false" customHeight="false" outlineLevel="0" collapsed="false">
      <c r="B3300" s="36" t="n">
        <v>43873</v>
      </c>
      <c r="C3300" s="37" t="n">
        <v>4.336</v>
      </c>
    </row>
    <row r="3301" customFormat="false" ht="15" hidden="false" customHeight="false" outlineLevel="0" collapsed="false">
      <c r="B3301" s="36" t="n">
        <v>43874</v>
      </c>
      <c r="C3301" s="37" t="n">
        <v>4.3383</v>
      </c>
    </row>
    <row r="3302" customFormat="false" ht="15" hidden="false" customHeight="false" outlineLevel="0" collapsed="false">
      <c r="B3302" s="36" t="n">
        <v>43875</v>
      </c>
      <c r="C3302" s="37" t="n">
        <v>4.3157</v>
      </c>
    </row>
    <row r="3303" customFormat="false" ht="15" hidden="false" customHeight="false" outlineLevel="0" collapsed="false">
      <c r="B3303" s="36" t="n">
        <v>43878</v>
      </c>
      <c r="C3303" s="37" t="n">
        <v>4.3151</v>
      </c>
    </row>
    <row r="3304" customFormat="false" ht="15" hidden="false" customHeight="false" outlineLevel="0" collapsed="false">
      <c r="B3304" s="36" t="n">
        <v>43879</v>
      </c>
      <c r="C3304" s="37" t="n">
        <v>4.3465</v>
      </c>
    </row>
    <row r="3305" customFormat="false" ht="15" hidden="false" customHeight="false" outlineLevel="0" collapsed="false">
      <c r="B3305" s="36" t="n">
        <v>43880</v>
      </c>
      <c r="C3305" s="37" t="n">
        <v>4.3722</v>
      </c>
    </row>
    <row r="3306" customFormat="false" ht="15" hidden="false" customHeight="false" outlineLevel="0" collapsed="false">
      <c r="B3306" s="36" t="n">
        <v>43881</v>
      </c>
      <c r="C3306" s="37" t="n">
        <v>4.3867</v>
      </c>
    </row>
    <row r="3307" customFormat="false" ht="15" hidden="false" customHeight="false" outlineLevel="0" collapsed="false">
      <c r="B3307" s="36" t="n">
        <v>43882</v>
      </c>
      <c r="C3307" s="37" t="n">
        <v>4.3918</v>
      </c>
    </row>
    <row r="3308" customFormat="false" ht="15" hidden="false" customHeight="false" outlineLevel="0" collapsed="false">
      <c r="B3308" s="36" t="n">
        <v>43887</v>
      </c>
      <c r="C3308" s="37" t="n">
        <v>4.4353</v>
      </c>
    </row>
    <row r="3309" customFormat="false" ht="15" hidden="false" customHeight="false" outlineLevel="0" collapsed="false">
      <c r="B3309" s="36" t="n">
        <v>43888</v>
      </c>
      <c r="C3309" s="37" t="n">
        <v>4.4758</v>
      </c>
    </row>
    <row r="3310" customFormat="false" ht="15" hidden="false" customHeight="false" outlineLevel="0" collapsed="false">
      <c r="B3310" s="36" t="n">
        <v>43889</v>
      </c>
      <c r="C3310" s="37" t="n">
        <v>4.4981</v>
      </c>
    </row>
    <row r="3311" customFormat="false" ht="15" hidden="false" customHeight="false" outlineLevel="0" collapsed="false">
      <c r="B3311" s="36" t="n">
        <v>43892</v>
      </c>
      <c r="C3311" s="37" t="n">
        <v>4.494</v>
      </c>
    </row>
    <row r="3312" customFormat="false" ht="15" hidden="false" customHeight="false" outlineLevel="0" collapsed="false">
      <c r="B3312" s="36" t="n">
        <v>43893</v>
      </c>
      <c r="C3312" s="37" t="n">
        <v>4.4877</v>
      </c>
    </row>
    <row r="3313" customFormat="false" ht="15" hidden="false" customHeight="false" outlineLevel="0" collapsed="false">
      <c r="B3313" s="36" t="n">
        <v>43894</v>
      </c>
      <c r="C3313" s="37" t="n">
        <v>4.5252</v>
      </c>
    </row>
    <row r="3314" customFormat="false" ht="15" hidden="false" customHeight="false" outlineLevel="0" collapsed="false">
      <c r="B3314" s="36" t="n">
        <v>43895</v>
      </c>
      <c r="C3314" s="37" t="n">
        <v>4.6201</v>
      </c>
    </row>
    <row r="3315" customFormat="false" ht="15" hidden="false" customHeight="false" outlineLevel="0" collapsed="false">
      <c r="B3315" s="36" t="n">
        <v>43896</v>
      </c>
      <c r="C3315" s="37" t="n">
        <v>4.6453</v>
      </c>
    </row>
    <row r="3316" customFormat="false" ht="15" hidden="false" customHeight="false" outlineLevel="0" collapsed="false">
      <c r="B3316" s="36" t="n">
        <v>43899</v>
      </c>
      <c r="C3316" s="37" t="n">
        <v>4.7373</v>
      </c>
    </row>
    <row r="3317" customFormat="false" ht="15" hidden="false" customHeight="false" outlineLevel="0" collapsed="false">
      <c r="B3317" s="36" t="n">
        <v>43900</v>
      </c>
      <c r="C3317" s="37" t="n">
        <v>4.6687</v>
      </c>
    </row>
    <row r="3318" customFormat="false" ht="15" hidden="false" customHeight="false" outlineLevel="0" collapsed="false">
      <c r="B3318" s="36" t="n">
        <v>43901</v>
      </c>
      <c r="C3318" s="37" t="n">
        <v>4.6732</v>
      </c>
    </row>
    <row r="3319" customFormat="false" ht="15" hidden="false" customHeight="false" outlineLevel="0" collapsed="false">
      <c r="B3319" s="36" t="n">
        <v>43902</v>
      </c>
      <c r="C3319" s="37" t="n">
        <v>4.8825</v>
      </c>
    </row>
    <row r="3320" customFormat="false" ht="15" hidden="false" customHeight="false" outlineLevel="0" collapsed="false">
      <c r="B3320" s="36" t="n">
        <v>43903</v>
      </c>
      <c r="C3320" s="37" t="n">
        <v>4.7355</v>
      </c>
    </row>
    <row r="3321" customFormat="false" ht="15" hidden="false" customHeight="false" outlineLevel="0" collapsed="false">
      <c r="B3321" s="36" t="n">
        <v>43906</v>
      </c>
      <c r="C3321" s="37" t="n">
        <v>4.9464</v>
      </c>
    </row>
    <row r="3322" customFormat="false" ht="15" hidden="false" customHeight="false" outlineLevel="0" collapsed="false">
      <c r="B3322" s="36" t="n">
        <v>43907</v>
      </c>
      <c r="C3322" s="37" t="n">
        <v>5.0489</v>
      </c>
    </row>
    <row r="3323" customFormat="false" ht="15" hidden="false" customHeight="false" outlineLevel="0" collapsed="false">
      <c r="B3323" s="36" t="n">
        <v>43908</v>
      </c>
      <c r="C3323" s="37" t="n">
        <v>5.1101</v>
      </c>
    </row>
    <row r="3324" customFormat="false" ht="15" hidden="false" customHeight="false" outlineLevel="0" collapsed="false">
      <c r="B3324" s="36" t="n">
        <v>43909</v>
      </c>
      <c r="C3324" s="37" t="n">
        <v>5.1437</v>
      </c>
    </row>
    <row r="3325" customFormat="false" ht="15" hidden="false" customHeight="false" outlineLevel="0" collapsed="false">
      <c r="B3325" s="36" t="n">
        <v>43910</v>
      </c>
      <c r="C3325" s="37" t="n">
        <v>5.0241</v>
      </c>
    </row>
    <row r="3326" customFormat="false" ht="15" hidden="false" customHeight="false" outlineLevel="0" collapsed="false">
      <c r="B3326" s="36" t="n">
        <v>43913</v>
      </c>
      <c r="C3326" s="37" t="n">
        <v>5.0798</v>
      </c>
    </row>
    <row r="3327" customFormat="false" ht="15" hidden="false" customHeight="false" outlineLevel="0" collapsed="false">
      <c r="B3327" s="36" t="n">
        <v>43914</v>
      </c>
      <c r="C3327" s="37" t="n">
        <v>5.0707</v>
      </c>
    </row>
    <row r="3328" customFormat="false" ht="15" hidden="false" customHeight="false" outlineLevel="0" collapsed="false">
      <c r="B3328" s="36" t="n">
        <v>43915</v>
      </c>
      <c r="C3328" s="37" t="n">
        <v>5.07</v>
      </c>
    </row>
    <row r="3329" customFormat="false" ht="15" hidden="false" customHeight="false" outlineLevel="0" collapsed="false">
      <c r="B3329" s="36" t="n">
        <v>43916</v>
      </c>
      <c r="C3329" s="37" t="n">
        <v>5.0004</v>
      </c>
    </row>
    <row r="3330" customFormat="false" ht="15" hidden="false" customHeight="false" outlineLevel="0" collapsed="false">
      <c r="B3330" s="36" t="n">
        <v>43917</v>
      </c>
      <c r="C3330" s="37" t="n">
        <v>5.1103</v>
      </c>
    </row>
    <row r="3331" customFormat="false" ht="15" hidden="false" customHeight="false" outlineLevel="0" collapsed="false">
      <c r="B3331" s="36" t="n">
        <v>43920</v>
      </c>
      <c r="C3331" s="37" t="n">
        <v>5.1588</v>
      </c>
    </row>
    <row r="3332" customFormat="false" ht="15" hidden="false" customHeight="false" outlineLevel="0" collapsed="false">
      <c r="B3332" s="36" t="n">
        <v>43921</v>
      </c>
      <c r="C3332" s="37" t="n">
        <v>5.1981</v>
      </c>
    </row>
    <row r="3333" customFormat="false" ht="15" hidden="false" customHeight="false" outlineLevel="0" collapsed="false">
      <c r="B3333" s="36" t="n">
        <v>43922</v>
      </c>
      <c r="C3333" s="37" t="n">
        <v>5.2399</v>
      </c>
    </row>
    <row r="3334" customFormat="false" ht="15" hidden="false" customHeight="false" outlineLevel="0" collapsed="false">
      <c r="B3334" s="36" t="n">
        <v>43923</v>
      </c>
      <c r="C3334" s="37" t="n">
        <v>5.2645</v>
      </c>
    </row>
    <row r="3335" customFormat="false" ht="15" hidden="false" customHeight="false" outlineLevel="0" collapsed="false">
      <c r="B3335" s="36" t="n">
        <v>43924</v>
      </c>
      <c r="C3335" s="37" t="n">
        <v>5.2991</v>
      </c>
    </row>
    <row r="3336" customFormat="false" ht="15" hidden="false" customHeight="false" outlineLevel="0" collapsed="false">
      <c r="B3336" s="36" t="n">
        <v>43927</v>
      </c>
      <c r="C3336" s="37" t="n">
        <v>5.2465</v>
      </c>
    </row>
    <row r="3337" customFormat="false" ht="15" hidden="false" customHeight="false" outlineLevel="0" collapsed="false">
      <c r="B3337" s="36" t="n">
        <v>43928</v>
      </c>
      <c r="C3337" s="37" t="n">
        <v>5.2211</v>
      </c>
    </row>
    <row r="3338" customFormat="false" ht="15" hidden="false" customHeight="false" outlineLevel="0" collapsed="false">
      <c r="B3338" s="36" t="n">
        <v>43929</v>
      </c>
      <c r="C3338" s="37" t="n">
        <v>5.2117</v>
      </c>
    </row>
    <row r="3339" customFormat="false" ht="15" hidden="false" customHeight="false" outlineLevel="0" collapsed="false">
      <c r="B3339" s="36" t="n">
        <v>43930</v>
      </c>
      <c r="C3339" s="37" t="n">
        <v>5.0773</v>
      </c>
    </row>
    <row r="3340" customFormat="false" ht="15" hidden="false" customHeight="false" outlineLevel="0" collapsed="false">
      <c r="B3340" s="36" t="n">
        <v>43934</v>
      </c>
      <c r="C3340" s="37" t="n">
        <v>5.1818</v>
      </c>
    </row>
    <row r="3341" customFormat="false" ht="15" hidden="false" customHeight="false" outlineLevel="0" collapsed="false">
      <c r="B3341" s="36" t="n">
        <v>43935</v>
      </c>
      <c r="C3341" s="37" t="n">
        <v>5.1852</v>
      </c>
    </row>
    <row r="3342" customFormat="false" ht="15" hidden="false" customHeight="false" outlineLevel="0" collapsed="false">
      <c r="B3342" s="36" t="n">
        <v>43936</v>
      </c>
      <c r="C3342" s="37" t="n">
        <v>5.2573</v>
      </c>
    </row>
    <row r="3343" customFormat="false" ht="15" hidden="false" customHeight="false" outlineLevel="0" collapsed="false">
      <c r="B3343" s="36" t="n">
        <v>43937</v>
      </c>
      <c r="C3343" s="37" t="n">
        <v>5.2371</v>
      </c>
    </row>
    <row r="3344" customFormat="false" ht="15" hidden="false" customHeight="false" outlineLevel="0" collapsed="false">
      <c r="B3344" s="36" t="n">
        <v>43938</v>
      </c>
      <c r="C3344" s="37" t="n">
        <v>5.2567</v>
      </c>
    </row>
    <row r="3345" customFormat="false" ht="15" hidden="false" customHeight="false" outlineLevel="0" collapsed="false">
      <c r="B3345" s="36" t="n">
        <v>43941</v>
      </c>
      <c r="C3345" s="37" t="n">
        <v>5.2831</v>
      </c>
    </row>
    <row r="3346" customFormat="false" ht="15" hidden="false" customHeight="false" outlineLevel="0" collapsed="false">
      <c r="B3346" s="36" t="n">
        <v>43943</v>
      </c>
      <c r="C3346" s="37" t="n">
        <v>5.3841</v>
      </c>
    </row>
    <row r="3347" customFormat="false" ht="15" hidden="false" customHeight="false" outlineLevel="0" collapsed="false">
      <c r="B3347" s="36" t="n">
        <v>43944</v>
      </c>
      <c r="C3347" s="37" t="n">
        <v>5.4461</v>
      </c>
    </row>
    <row r="3348" customFormat="false" ht="15" hidden="false" customHeight="false" outlineLevel="0" collapsed="false">
      <c r="B3348" s="36" t="n">
        <v>43945</v>
      </c>
      <c r="C3348" s="37" t="n">
        <v>5.6504</v>
      </c>
    </row>
    <row r="3349" customFormat="false" ht="15" hidden="false" customHeight="false" outlineLevel="0" collapsed="false">
      <c r="B3349" s="36" t="n">
        <v>43948</v>
      </c>
      <c r="C3349" s="37" t="n">
        <v>5.6352</v>
      </c>
    </row>
    <row r="3350" customFormat="false" ht="15" hidden="false" customHeight="false" outlineLevel="0" collapsed="false">
      <c r="B3350" s="36" t="n">
        <v>43949</v>
      </c>
      <c r="C3350" s="37" t="n">
        <v>5.5677</v>
      </c>
    </row>
    <row r="3351" customFormat="false" ht="15" hidden="false" customHeight="false" outlineLevel="0" collapsed="false">
      <c r="B3351" s="36" t="n">
        <v>43950</v>
      </c>
      <c r="C3351" s="37" t="n">
        <v>5.4285</v>
      </c>
    </row>
    <row r="3352" customFormat="false" ht="15" hidden="false" customHeight="false" outlineLevel="0" collapsed="false">
      <c r="B3352" s="36" t="n">
        <v>43951</v>
      </c>
      <c r="C3352" s="37" t="n">
        <v>5.4264</v>
      </c>
    </row>
    <row r="3353" customFormat="false" ht="15" hidden="false" customHeight="false" outlineLevel="0" collapsed="false">
      <c r="B3353" s="36" t="n">
        <v>43955</v>
      </c>
      <c r="C3353" s="37" t="n">
        <v>5.5811</v>
      </c>
    </row>
    <row r="3354" customFormat="false" ht="15" hidden="false" customHeight="false" outlineLevel="0" collapsed="false">
      <c r="B3354" s="36" t="n">
        <v>43956</v>
      </c>
      <c r="C3354" s="37" t="n">
        <v>5.5348</v>
      </c>
    </row>
    <row r="3355" customFormat="false" ht="15" hidden="false" customHeight="false" outlineLevel="0" collapsed="false">
      <c r="B3355" s="36" t="n">
        <v>43957</v>
      </c>
      <c r="C3355" s="37" t="n">
        <v>5.667</v>
      </c>
    </row>
    <row r="3356" customFormat="false" ht="15" hidden="false" customHeight="false" outlineLevel="0" collapsed="false">
      <c r="B3356" s="36" t="n">
        <v>43958</v>
      </c>
      <c r="C3356" s="37" t="n">
        <v>5.8359</v>
      </c>
    </row>
    <row r="3357" customFormat="false" ht="15" hidden="false" customHeight="false" outlineLevel="0" collapsed="false">
      <c r="B3357" s="36" t="n">
        <v>43959</v>
      </c>
      <c r="C3357" s="37" t="n">
        <v>5.7647</v>
      </c>
    </row>
    <row r="3358" customFormat="false" ht="15" hidden="false" customHeight="false" outlineLevel="0" collapsed="false">
      <c r="B3358" s="36" t="n">
        <v>43962</v>
      </c>
      <c r="C3358" s="37" t="n">
        <v>5.7948</v>
      </c>
    </row>
    <row r="3359" customFormat="false" ht="15" hidden="false" customHeight="false" outlineLevel="0" collapsed="false">
      <c r="B3359" s="36" t="n">
        <v>43963</v>
      </c>
      <c r="C3359" s="37" t="n">
        <v>5.7717</v>
      </c>
    </row>
    <row r="3360" customFormat="false" ht="15" hidden="false" customHeight="false" outlineLevel="0" collapsed="false">
      <c r="B3360" s="36" t="n">
        <v>43964</v>
      </c>
      <c r="C3360" s="37" t="n">
        <v>5.9016</v>
      </c>
    </row>
    <row r="3361" customFormat="false" ht="15" hidden="false" customHeight="false" outlineLevel="0" collapsed="false">
      <c r="B3361" s="36" t="n">
        <v>43965</v>
      </c>
      <c r="C3361" s="37" t="n">
        <v>5.9366</v>
      </c>
    </row>
    <row r="3362" customFormat="false" ht="15" hidden="false" customHeight="false" outlineLevel="0" collapsed="false">
      <c r="B3362" s="36" t="n">
        <v>43966</v>
      </c>
      <c r="C3362" s="37" t="n">
        <v>5.8223</v>
      </c>
    </row>
    <row r="3363" customFormat="false" ht="15" hidden="false" customHeight="false" outlineLevel="0" collapsed="false">
      <c r="B3363" s="36" t="n">
        <v>43969</v>
      </c>
      <c r="C3363" s="37" t="n">
        <v>5.7369</v>
      </c>
    </row>
    <row r="3364" customFormat="false" ht="15" hidden="false" customHeight="false" outlineLevel="0" collapsed="false">
      <c r="B3364" s="36" t="n">
        <v>43970</v>
      </c>
      <c r="C3364" s="37" t="n">
        <v>5.721</v>
      </c>
    </row>
    <row r="3365" customFormat="false" ht="15" hidden="false" customHeight="false" outlineLevel="0" collapsed="false">
      <c r="B3365" s="36" t="n">
        <v>43971</v>
      </c>
      <c r="C3365" s="37" t="n">
        <v>5.6962</v>
      </c>
    </row>
    <row r="3366" customFormat="false" ht="15" hidden="false" customHeight="false" outlineLevel="0" collapsed="false">
      <c r="B3366" s="36" t="n">
        <v>43972</v>
      </c>
      <c r="C3366" s="37" t="n">
        <v>5.6013</v>
      </c>
    </row>
    <row r="3367" customFormat="false" ht="15" hidden="false" customHeight="false" outlineLevel="0" collapsed="false">
      <c r="B3367" s="36" t="n">
        <v>43973</v>
      </c>
      <c r="C3367" s="37" t="n">
        <v>5.5802</v>
      </c>
    </row>
    <row r="3368" customFormat="false" ht="15" hidden="false" customHeight="false" outlineLevel="0" collapsed="false">
      <c r="B3368" s="36" t="n">
        <v>43976</v>
      </c>
      <c r="C3368" s="37" t="n">
        <v>5.4766</v>
      </c>
    </row>
    <row r="3369" customFormat="false" ht="15" hidden="false" customHeight="false" outlineLevel="0" collapsed="false">
      <c r="B3369" s="36" t="n">
        <v>43977</v>
      </c>
      <c r="C3369" s="37" t="n">
        <v>5.3701</v>
      </c>
    </row>
    <row r="3370" customFormat="false" ht="15" hidden="false" customHeight="false" outlineLevel="0" collapsed="false">
      <c r="B3370" s="36" t="n">
        <v>43978</v>
      </c>
      <c r="C3370" s="37" t="n">
        <v>5.2986</v>
      </c>
    </row>
    <row r="3371" customFormat="false" ht="15" hidden="false" customHeight="false" outlineLevel="0" collapsed="false">
      <c r="B3371" s="36" t="n">
        <v>43979</v>
      </c>
      <c r="C3371" s="37" t="n">
        <v>5.3399</v>
      </c>
    </row>
    <row r="3372" customFormat="false" ht="15" hidden="false" customHeight="false" outlineLevel="0" collapsed="false">
      <c r="B3372" s="36" t="n">
        <v>43980</v>
      </c>
      <c r="C3372" s="37" t="n">
        <v>5.4257</v>
      </c>
    </row>
    <row r="3373" customFormat="false" ht="15" hidden="false" customHeight="false" outlineLevel="0" collapsed="false">
      <c r="B3373" s="36" t="n">
        <v>43983</v>
      </c>
      <c r="C3373" s="37" t="n">
        <v>5.3633</v>
      </c>
    </row>
    <row r="3374" customFormat="false" ht="15" hidden="false" customHeight="false" outlineLevel="0" collapsed="false">
      <c r="B3374" s="36" t="n">
        <v>43984</v>
      </c>
      <c r="C3374" s="37" t="n">
        <v>5.2595</v>
      </c>
    </row>
    <row r="3375" customFormat="false" ht="15" hidden="false" customHeight="false" outlineLevel="0" collapsed="false">
      <c r="B3375" s="36" t="n">
        <v>43985</v>
      </c>
      <c r="C3375" s="37" t="n">
        <v>5.051</v>
      </c>
    </row>
    <row r="3376" customFormat="false" ht="15" hidden="false" customHeight="false" outlineLevel="0" collapsed="false">
      <c r="B3376" s="36" t="n">
        <v>43986</v>
      </c>
      <c r="C3376" s="37" t="n">
        <v>5.1035</v>
      </c>
    </row>
    <row r="3377" customFormat="false" ht="15" hidden="false" customHeight="false" outlineLevel="0" collapsed="false">
      <c r="B3377" s="36" t="n">
        <v>43987</v>
      </c>
      <c r="C3377" s="37" t="n">
        <v>4.9769</v>
      </c>
    </row>
    <row r="3378" customFormat="false" ht="15" hidden="false" customHeight="false" outlineLevel="0" collapsed="false">
      <c r="B3378" s="36" t="n">
        <v>43990</v>
      </c>
      <c r="C3378" s="37" t="n">
        <v>4.9325</v>
      </c>
    </row>
    <row r="3379" customFormat="false" ht="15" hidden="false" customHeight="false" outlineLevel="0" collapsed="false">
      <c r="B3379" s="36" t="n">
        <v>43991</v>
      </c>
      <c r="C3379" s="37" t="n">
        <v>4.9051</v>
      </c>
    </row>
    <row r="3380" customFormat="false" ht="15" hidden="false" customHeight="false" outlineLevel="0" collapsed="false">
      <c r="B3380" s="36" t="n">
        <v>43992</v>
      </c>
      <c r="C3380" s="37" t="n">
        <v>4.8888</v>
      </c>
    </row>
    <row r="3381" customFormat="false" ht="15" hidden="false" customHeight="false" outlineLevel="0" collapsed="false">
      <c r="B3381" s="36" t="n">
        <v>43994</v>
      </c>
      <c r="C3381" s="37" t="n">
        <v>5.0367</v>
      </c>
    </row>
    <row r="3382" customFormat="false" ht="15" hidden="false" customHeight="false" outlineLevel="0" collapsed="false">
      <c r="B3382" s="36" t="n">
        <v>43997</v>
      </c>
      <c r="C3382" s="37" t="n">
        <v>5.1877</v>
      </c>
    </row>
    <row r="3383" customFormat="false" ht="15" hidden="false" customHeight="false" outlineLevel="0" collapsed="false">
      <c r="B3383" s="36" t="n">
        <v>43998</v>
      </c>
      <c r="C3383" s="37" t="n">
        <v>5.1279</v>
      </c>
    </row>
    <row r="3384" customFormat="false" ht="15" hidden="false" customHeight="false" outlineLevel="0" collapsed="false">
      <c r="B3384" s="36" t="n">
        <v>43999</v>
      </c>
      <c r="C3384" s="37" t="n">
        <v>5.2492</v>
      </c>
    </row>
    <row r="3385" customFormat="false" ht="15" hidden="false" customHeight="false" outlineLevel="0" collapsed="false">
      <c r="B3385" s="36" t="n">
        <v>44000</v>
      </c>
      <c r="C3385" s="37" t="n">
        <v>5.3462</v>
      </c>
    </row>
    <row r="3386" customFormat="false" ht="15" hidden="false" customHeight="false" outlineLevel="0" collapsed="false">
      <c r="B3386" s="36" t="n">
        <v>44001</v>
      </c>
      <c r="C3386" s="37" t="n">
        <v>5.346</v>
      </c>
    </row>
    <row r="3387" customFormat="false" ht="15" hidden="false" customHeight="false" outlineLevel="0" collapsed="false">
      <c r="B3387" s="36" t="n">
        <v>44004</v>
      </c>
      <c r="C3387" s="37" t="n">
        <v>5.222</v>
      </c>
    </row>
    <row r="3388" customFormat="false" ht="15" hidden="false" customHeight="false" outlineLevel="0" collapsed="false">
      <c r="B3388" s="36" t="n">
        <v>44005</v>
      </c>
      <c r="C3388" s="37" t="n">
        <v>5.1699</v>
      </c>
    </row>
    <row r="3389" customFormat="false" ht="15" hidden="false" customHeight="false" outlineLevel="0" collapsed="false">
      <c r="B3389" s="36" t="n">
        <v>44006</v>
      </c>
      <c r="C3389" s="37" t="n">
        <v>5.2429</v>
      </c>
    </row>
    <row r="3390" customFormat="false" ht="15" hidden="false" customHeight="false" outlineLevel="0" collapsed="false">
      <c r="B3390" s="36" t="n">
        <v>44007</v>
      </c>
      <c r="C3390" s="37" t="n">
        <v>5.3281</v>
      </c>
    </row>
    <row r="3391" customFormat="false" ht="15" hidden="false" customHeight="false" outlineLevel="0" collapsed="false">
      <c r="B3391" s="36" t="n">
        <v>44008</v>
      </c>
      <c r="C3391" s="37" t="n">
        <v>5.4623</v>
      </c>
    </row>
    <row r="3392" customFormat="false" ht="15" hidden="false" customHeight="false" outlineLevel="0" collapsed="false">
      <c r="B3392" s="36" t="n">
        <v>44011</v>
      </c>
      <c r="C3392" s="37" t="n">
        <v>5.441</v>
      </c>
    </row>
    <row r="3393" customFormat="false" ht="15" hidden="false" customHeight="false" outlineLevel="0" collapsed="false">
      <c r="B3393" s="36" t="n">
        <v>44012</v>
      </c>
      <c r="C3393" s="37" t="n">
        <v>5.4754</v>
      </c>
    </row>
    <row r="3394" customFormat="false" ht="15" hidden="false" customHeight="false" outlineLevel="0" collapsed="false">
      <c r="B3394" s="36" t="n">
        <v>44013</v>
      </c>
      <c r="C3394" s="37" t="n">
        <v>5.3646</v>
      </c>
    </row>
    <row r="3395" customFormat="false" ht="15" hidden="false" customHeight="false" outlineLevel="0" collapsed="false">
      <c r="B3395" s="36" t="n">
        <v>44014</v>
      </c>
      <c r="C3395" s="37" t="n">
        <v>5.3022</v>
      </c>
    </row>
    <row r="3396" customFormat="false" ht="15" hidden="false" customHeight="false" outlineLevel="0" collapsed="false">
      <c r="B3396" s="36" t="n">
        <v>44015</v>
      </c>
      <c r="C3396" s="37" t="n">
        <v>5.3368</v>
      </c>
    </row>
    <row r="3397" customFormat="false" ht="15" hidden="false" customHeight="false" outlineLevel="0" collapsed="false">
      <c r="B3397" s="36" t="n">
        <v>44018</v>
      </c>
      <c r="C3397" s="37" t="n">
        <v>5.3079</v>
      </c>
    </row>
    <row r="3398" customFormat="false" ht="15" hidden="false" customHeight="false" outlineLevel="0" collapsed="false">
      <c r="B3398" s="36" t="n">
        <v>44019</v>
      </c>
      <c r="C3398" s="37" t="n">
        <v>5.3312</v>
      </c>
    </row>
    <row r="3399" customFormat="false" ht="15" hidden="false" customHeight="false" outlineLevel="0" collapsed="false">
      <c r="B3399" s="36" t="n">
        <v>44020</v>
      </c>
      <c r="C3399" s="37" t="n">
        <v>5.3476</v>
      </c>
    </row>
    <row r="3400" customFormat="false" ht="15" hidden="false" customHeight="false" outlineLevel="0" collapsed="false">
      <c r="B3400" s="36" t="n">
        <v>44021</v>
      </c>
      <c r="C3400" s="37" t="n">
        <v>5.2972</v>
      </c>
    </row>
    <row r="3401" customFormat="false" ht="15" hidden="false" customHeight="false" outlineLevel="0" collapsed="false">
      <c r="B3401" s="36" t="n">
        <v>44022</v>
      </c>
      <c r="C3401" s="37" t="n">
        <v>5.3434</v>
      </c>
    </row>
    <row r="3402" customFormat="false" ht="15" hidden="false" customHeight="false" outlineLevel="0" collapsed="false">
      <c r="B3402" s="36" t="n">
        <v>44025</v>
      </c>
      <c r="C3402" s="37" t="n">
        <v>5.348</v>
      </c>
    </row>
    <row r="3403" customFormat="false" ht="15" hidden="false" customHeight="false" outlineLevel="0" collapsed="false">
      <c r="B3403" s="36" t="n">
        <v>44026</v>
      </c>
      <c r="C3403" s="37" t="n">
        <v>5.4282</v>
      </c>
    </row>
    <row r="3404" customFormat="false" ht="15" hidden="false" customHeight="false" outlineLevel="0" collapsed="false">
      <c r="B3404" s="36" t="n">
        <v>44027</v>
      </c>
      <c r="C3404" s="37" t="n">
        <v>5.3485</v>
      </c>
    </row>
    <row r="3405" customFormat="false" ht="15" hidden="false" customHeight="false" outlineLevel="0" collapsed="false">
      <c r="B3405" s="36" t="n">
        <v>44028</v>
      </c>
      <c r="C3405" s="37" t="n">
        <v>5.3554</v>
      </c>
    </row>
    <row r="3406" customFormat="false" ht="15" hidden="false" customHeight="false" outlineLevel="0" collapsed="false">
      <c r="B3406" s="36" t="n">
        <v>44029</v>
      </c>
      <c r="C3406" s="37" t="n">
        <v>5.3504</v>
      </c>
    </row>
    <row r="3407" customFormat="false" ht="15" hidden="false" customHeight="false" outlineLevel="0" collapsed="false">
      <c r="B3407" s="36" t="n">
        <v>44032</v>
      </c>
      <c r="C3407" s="37" t="n">
        <v>5.3629</v>
      </c>
    </row>
    <row r="3408" customFormat="false" ht="15" hidden="false" customHeight="false" outlineLevel="0" collapsed="false">
      <c r="B3408" s="36" t="n">
        <v>44033</v>
      </c>
      <c r="C3408" s="37" t="n">
        <v>5.2277</v>
      </c>
    </row>
    <row r="3409" customFormat="false" ht="15" hidden="false" customHeight="false" outlineLevel="0" collapsed="false">
      <c r="B3409" s="36" t="n">
        <v>44034</v>
      </c>
      <c r="C3409" s="37" t="n">
        <v>5.1105</v>
      </c>
    </row>
    <row r="3410" customFormat="false" ht="15" hidden="false" customHeight="false" outlineLevel="0" collapsed="false">
      <c r="B3410" s="36" t="n">
        <v>44035</v>
      </c>
      <c r="C3410" s="37" t="n">
        <v>5.1641</v>
      </c>
    </row>
    <row r="3411" customFormat="false" ht="15" hidden="false" customHeight="false" outlineLevel="0" collapsed="false">
      <c r="B3411" s="36" t="n">
        <v>44036</v>
      </c>
      <c r="C3411" s="37" t="n">
        <v>5.214</v>
      </c>
    </row>
    <row r="3412" customFormat="false" ht="15" hidden="false" customHeight="false" outlineLevel="0" collapsed="false">
      <c r="B3412" s="36" t="n">
        <v>44039</v>
      </c>
      <c r="C3412" s="37" t="n">
        <v>5.1883</v>
      </c>
    </row>
    <row r="3413" customFormat="false" ht="15" hidden="false" customHeight="false" outlineLevel="0" collapsed="false">
      <c r="B3413" s="36" t="n">
        <v>44040</v>
      </c>
      <c r="C3413" s="37" t="n">
        <v>5.1771</v>
      </c>
    </row>
    <row r="3414" customFormat="false" ht="15" hidden="false" customHeight="false" outlineLevel="0" collapsed="false">
      <c r="B3414" s="36" t="n">
        <v>44041</v>
      </c>
      <c r="C3414" s="37" t="n">
        <v>5.1389</v>
      </c>
    </row>
    <row r="3415" customFormat="false" ht="15" hidden="false" customHeight="false" outlineLevel="0" collapsed="false">
      <c r="B3415" s="36" t="n">
        <v>44042</v>
      </c>
      <c r="C3415" s="37" t="n">
        <v>5.1831</v>
      </c>
    </row>
    <row r="3416" customFormat="false" ht="15" hidden="false" customHeight="false" outlineLevel="0" collapsed="false">
      <c r="B3416" s="36" t="n">
        <v>44043</v>
      </c>
      <c r="C3416" s="37" t="n">
        <v>5.2027</v>
      </c>
    </row>
    <row r="3417" customFormat="false" ht="15" hidden="false" customHeight="false" outlineLevel="0" collapsed="false">
      <c r="B3417" s="36" t="n">
        <v>44046</v>
      </c>
      <c r="C3417" s="37" t="n">
        <v>5.3069</v>
      </c>
    </row>
    <row r="3418" customFormat="false" ht="15" hidden="false" customHeight="false" outlineLevel="0" collapsed="false">
      <c r="B3418" s="36" t="n">
        <v>44047</v>
      </c>
      <c r="C3418" s="37" t="n">
        <v>5.3323</v>
      </c>
    </row>
    <row r="3419" customFormat="false" ht="15" hidden="false" customHeight="false" outlineLevel="0" collapsed="false">
      <c r="B3419" s="36" t="n">
        <v>44048</v>
      </c>
      <c r="C3419" s="37" t="n">
        <v>5.2754</v>
      </c>
    </row>
    <row r="3420" customFormat="false" ht="15" hidden="false" customHeight="false" outlineLevel="0" collapsed="false">
      <c r="B3420" s="36" t="n">
        <v>44049</v>
      </c>
      <c r="C3420" s="37" t="n">
        <v>5.3425</v>
      </c>
    </row>
    <row r="3421" customFormat="false" ht="15" hidden="false" customHeight="false" outlineLevel="0" collapsed="false">
      <c r="B3421" s="36" t="n">
        <v>44050</v>
      </c>
      <c r="C3421" s="37" t="n">
        <v>5.4221</v>
      </c>
    </row>
    <row r="3422" customFormat="false" ht="15" hidden="false" customHeight="false" outlineLevel="0" collapsed="false">
      <c r="B3422" s="36" t="n">
        <v>44053</v>
      </c>
      <c r="C3422" s="37" t="n">
        <v>5.3927</v>
      </c>
    </row>
    <row r="3423" customFormat="false" ht="15" hidden="false" customHeight="false" outlineLevel="0" collapsed="false">
      <c r="B3423" s="36" t="n">
        <v>44054</v>
      </c>
      <c r="C3423" s="37" t="n">
        <v>5.4279</v>
      </c>
    </row>
    <row r="3424" customFormat="false" ht="15" hidden="false" customHeight="false" outlineLevel="0" collapsed="false">
      <c r="B3424" s="36" t="n">
        <v>44055</v>
      </c>
      <c r="C3424" s="37" t="n">
        <v>5.4545</v>
      </c>
    </row>
    <row r="3425" customFormat="false" ht="15" hidden="false" customHeight="false" outlineLevel="0" collapsed="false">
      <c r="B3425" s="36" t="n">
        <v>44056</v>
      </c>
      <c r="C3425" s="37" t="n">
        <v>5.3795</v>
      </c>
    </row>
    <row r="3426" customFormat="false" ht="15" hidden="false" customHeight="false" outlineLevel="0" collapsed="false">
      <c r="B3426" s="36" t="n">
        <v>44057</v>
      </c>
      <c r="C3426" s="37" t="n">
        <v>5.3846</v>
      </c>
    </row>
    <row r="3427" customFormat="false" ht="15" hidden="false" customHeight="false" outlineLevel="0" collapsed="false">
      <c r="B3427" s="36" t="n">
        <v>44060</v>
      </c>
      <c r="C3427" s="37" t="n">
        <v>5.4491</v>
      </c>
    </row>
    <row r="3428" customFormat="false" ht="15" hidden="false" customHeight="false" outlineLevel="0" collapsed="false">
      <c r="B3428" s="36" t="n">
        <v>44061</v>
      </c>
      <c r="C3428" s="37" t="n">
        <v>5.4653</v>
      </c>
    </row>
    <row r="3429" customFormat="false" ht="15" hidden="false" customHeight="false" outlineLevel="0" collapsed="false">
      <c r="B3429" s="36" t="n">
        <v>44062</v>
      </c>
      <c r="C3429" s="37" t="n">
        <v>5.49</v>
      </c>
    </row>
    <row r="3430" customFormat="false" ht="15" hidden="false" customHeight="false" outlineLevel="0" collapsed="false">
      <c r="B3430" s="36" t="n">
        <v>44063</v>
      </c>
      <c r="C3430" s="37" t="n">
        <v>5.6504</v>
      </c>
    </row>
    <row r="3431" customFormat="false" ht="15" hidden="false" customHeight="false" outlineLevel="0" collapsed="false">
      <c r="B3431" s="36" t="n">
        <v>44064</v>
      </c>
      <c r="C3431" s="37" t="n">
        <v>5.6058</v>
      </c>
    </row>
    <row r="3432" customFormat="false" ht="15" hidden="false" customHeight="false" outlineLevel="0" collapsed="false">
      <c r="B3432" s="36" t="n">
        <v>44067</v>
      </c>
      <c r="C3432" s="37" t="n">
        <v>5.5948</v>
      </c>
    </row>
    <row r="3433" customFormat="false" ht="15" hidden="false" customHeight="false" outlineLevel="0" collapsed="false">
      <c r="B3433" s="36" t="n">
        <v>44068</v>
      </c>
      <c r="C3433" s="37" t="n">
        <v>5.5991</v>
      </c>
    </row>
    <row r="3434" customFormat="false" ht="15" hidden="false" customHeight="false" outlineLevel="0" collapsed="false">
      <c r="B3434" s="36" t="n">
        <v>44069</v>
      </c>
      <c r="C3434" s="37" t="n">
        <v>5.5674</v>
      </c>
    </row>
    <row r="3435" customFormat="false" ht="15" hidden="false" customHeight="false" outlineLevel="0" collapsed="false">
      <c r="B3435" s="36" t="n">
        <v>44070</v>
      </c>
      <c r="C3435" s="37" t="n">
        <v>5.595</v>
      </c>
    </row>
    <row r="3436" customFormat="false" ht="15" hidden="false" customHeight="false" outlineLevel="0" collapsed="false">
      <c r="B3436" s="36" t="n">
        <v>44071</v>
      </c>
      <c r="C3436" s="37" t="n">
        <v>5.4673</v>
      </c>
    </row>
    <row r="3437" customFormat="false" ht="15" hidden="false" customHeight="false" outlineLevel="0" collapsed="false">
      <c r="B3437" s="36" t="n">
        <v>44074</v>
      </c>
      <c r="C3437" s="37" t="n">
        <v>5.4707</v>
      </c>
    </row>
    <row r="3438" customFormat="false" ht="15" hidden="false" customHeight="false" outlineLevel="0" collapsed="false">
      <c r="B3438" s="36" t="n">
        <v>44075</v>
      </c>
      <c r="C3438" s="37" t="n">
        <v>5.3726</v>
      </c>
    </row>
    <row r="3439" customFormat="false" ht="15" hidden="false" customHeight="false" outlineLevel="0" collapsed="false">
      <c r="B3439" s="36" t="n">
        <v>44076</v>
      </c>
      <c r="C3439" s="37" t="n">
        <v>5.3735</v>
      </c>
    </row>
    <row r="3440" customFormat="false" ht="15" hidden="false" customHeight="false" outlineLevel="0" collapsed="false">
      <c r="B3440" s="36" t="n">
        <v>44077</v>
      </c>
      <c r="C3440" s="37" t="n">
        <v>5.3073</v>
      </c>
    </row>
    <row r="3441" customFormat="false" ht="15" hidden="false" customHeight="false" outlineLevel="0" collapsed="false">
      <c r="B3441" s="36" t="n">
        <v>44078</v>
      </c>
      <c r="C3441" s="37" t="n">
        <v>5.2842</v>
      </c>
    </row>
    <row r="3442" customFormat="false" ht="15" hidden="false" customHeight="false" outlineLevel="0" collapsed="false">
      <c r="B3442" s="36" t="n">
        <v>44082</v>
      </c>
      <c r="C3442" s="37" t="n">
        <v>5.3692</v>
      </c>
    </row>
    <row r="3443" customFormat="false" ht="15" hidden="false" customHeight="false" outlineLevel="0" collapsed="false">
      <c r="B3443" s="36" t="n">
        <v>44083</v>
      </c>
      <c r="C3443" s="37" t="n">
        <v>5.3018</v>
      </c>
    </row>
    <row r="3444" customFormat="false" ht="15" hidden="false" customHeight="false" outlineLevel="0" collapsed="false">
      <c r="B3444" s="36" t="n">
        <v>44084</v>
      </c>
      <c r="C3444" s="37" t="n">
        <v>5.293</v>
      </c>
    </row>
    <row r="3445" customFormat="false" ht="15" hidden="false" customHeight="false" outlineLevel="0" collapsed="false">
      <c r="B3445" s="36" t="n">
        <v>44085</v>
      </c>
      <c r="C3445" s="37" t="n">
        <v>5.2848</v>
      </c>
    </row>
    <row r="3446" customFormat="false" ht="15" hidden="false" customHeight="false" outlineLevel="0" collapsed="false">
      <c r="B3446" s="36" t="n">
        <v>44088</v>
      </c>
      <c r="C3446" s="37" t="n">
        <v>5.2978</v>
      </c>
    </row>
    <row r="3447" customFormat="false" ht="15" hidden="false" customHeight="false" outlineLevel="0" collapsed="false">
      <c r="B3447" s="36" t="n">
        <v>44089</v>
      </c>
      <c r="C3447" s="37" t="n">
        <v>5.2722</v>
      </c>
    </row>
    <row r="3448" customFormat="false" ht="15" hidden="false" customHeight="false" outlineLevel="0" collapsed="false">
      <c r="B3448" s="36" t="n">
        <v>44090</v>
      </c>
      <c r="C3448" s="37" t="n">
        <v>5.2526</v>
      </c>
    </row>
    <row r="3449" customFormat="false" ht="15" hidden="false" customHeight="false" outlineLevel="0" collapsed="false">
      <c r="B3449" s="36" t="n">
        <v>44091</v>
      </c>
      <c r="C3449" s="37" t="n">
        <v>5.2587</v>
      </c>
    </row>
    <row r="3450" customFormat="false" ht="15" hidden="false" customHeight="false" outlineLevel="0" collapsed="false">
      <c r="B3450" s="36" t="n">
        <v>44092</v>
      </c>
      <c r="C3450" s="37" t="n">
        <v>5.2883</v>
      </c>
    </row>
    <row r="3451" customFormat="false" ht="15" hidden="false" customHeight="false" outlineLevel="0" collapsed="false">
      <c r="B3451" s="36" t="n">
        <v>44095</v>
      </c>
      <c r="C3451" s="37" t="n">
        <v>5.4434</v>
      </c>
    </row>
    <row r="3452" customFormat="false" ht="15" hidden="false" customHeight="false" outlineLevel="0" collapsed="false">
      <c r="B3452" s="36" t="n">
        <v>44096</v>
      </c>
      <c r="C3452" s="37" t="n">
        <v>5.4323</v>
      </c>
    </row>
    <row r="3453" customFormat="false" ht="15" hidden="false" customHeight="false" outlineLevel="0" collapsed="false">
      <c r="B3453" s="36" t="n">
        <v>44097</v>
      </c>
      <c r="C3453" s="37" t="n">
        <v>5.5305</v>
      </c>
    </row>
    <row r="3454" customFormat="false" ht="15" hidden="false" customHeight="false" outlineLevel="0" collapsed="false">
      <c r="B3454" s="36" t="n">
        <v>44098</v>
      </c>
      <c r="C3454" s="37" t="n">
        <v>5.5708</v>
      </c>
    </row>
    <row r="3455" customFormat="false" ht="15" hidden="false" customHeight="false" outlineLevel="0" collapsed="false">
      <c r="B3455" s="36" t="n">
        <v>44099</v>
      </c>
      <c r="C3455" s="37" t="n">
        <v>5.5661</v>
      </c>
    </row>
    <row r="3456" customFormat="false" ht="15" hidden="false" customHeight="false" outlineLevel="0" collapsed="false">
      <c r="B3456" s="36" t="n">
        <v>44102</v>
      </c>
      <c r="C3456" s="37" t="n">
        <v>5.5852</v>
      </c>
    </row>
    <row r="3457" customFormat="false" ht="15" hidden="false" customHeight="false" outlineLevel="0" collapsed="false">
      <c r="B3457" s="36" t="n">
        <v>44103</v>
      </c>
      <c r="C3457" s="37" t="n">
        <v>5.6521</v>
      </c>
    </row>
    <row r="3458" customFormat="false" ht="15" hidden="false" customHeight="false" outlineLevel="0" collapsed="false">
      <c r="B3458" s="36" t="n">
        <v>44104</v>
      </c>
      <c r="C3458" s="37" t="n">
        <v>5.6401</v>
      </c>
    </row>
    <row r="3459" customFormat="false" ht="15" hidden="false" customHeight="false" outlineLevel="0" collapsed="false">
      <c r="B3459" s="36" t="n">
        <v>44105</v>
      </c>
      <c r="C3459" s="37" t="n">
        <v>5.6435</v>
      </c>
    </row>
    <row r="3460" customFormat="false" ht="15" hidden="false" customHeight="false" outlineLevel="0" collapsed="false">
      <c r="B3460" s="36" t="n">
        <v>44106</v>
      </c>
      <c r="C3460" s="37" t="n">
        <v>5.6458</v>
      </c>
    </row>
    <row r="3461" customFormat="false" ht="15" hidden="false" customHeight="false" outlineLevel="0" collapsed="false">
      <c r="B3461" s="36" t="n">
        <v>44109</v>
      </c>
      <c r="C3461" s="37" t="n">
        <v>5.6293</v>
      </c>
    </row>
    <row r="3462" customFormat="false" ht="15" hidden="false" customHeight="false" outlineLevel="0" collapsed="false">
      <c r="B3462" s="36" t="n">
        <v>44110</v>
      </c>
      <c r="C3462" s="37" t="n">
        <v>5.5199</v>
      </c>
    </row>
    <row r="3463" customFormat="false" ht="15" hidden="false" customHeight="false" outlineLevel="0" collapsed="false">
      <c r="B3463" s="36" t="n">
        <v>44111</v>
      </c>
      <c r="C3463" s="37" t="n">
        <v>5.6012</v>
      </c>
    </row>
    <row r="3464" customFormat="false" ht="15" hidden="false" customHeight="false" outlineLevel="0" collapsed="false">
      <c r="B3464" s="36" t="n">
        <v>44112</v>
      </c>
      <c r="C3464" s="37" t="n">
        <v>5.6194</v>
      </c>
    </row>
    <row r="3465" customFormat="false" ht="15" hidden="false" customHeight="false" outlineLevel="0" collapsed="false">
      <c r="B3465" s="36" t="n">
        <v>44113</v>
      </c>
      <c r="C3465" s="37" t="n">
        <v>5.5387</v>
      </c>
    </row>
    <row r="3466" customFormat="false" ht="15" hidden="false" customHeight="false" outlineLevel="0" collapsed="false">
      <c r="B3466" s="36" t="n">
        <v>44117</v>
      </c>
      <c r="C3466" s="37" t="n">
        <v>5.5854</v>
      </c>
    </row>
    <row r="3467" customFormat="false" ht="15" hidden="false" customHeight="false" outlineLevel="0" collapsed="false">
      <c r="B3467" s="36" t="n">
        <v>44118</v>
      </c>
      <c r="C3467" s="37" t="n">
        <v>5.5669</v>
      </c>
    </row>
    <row r="3468" customFormat="false" ht="15" hidden="false" customHeight="false" outlineLevel="0" collapsed="false">
      <c r="B3468" s="36" t="n">
        <v>44119</v>
      </c>
      <c r="C3468" s="37" t="n">
        <v>5.6166</v>
      </c>
    </row>
    <row r="3469" customFormat="false" ht="15" hidden="false" customHeight="false" outlineLevel="0" collapsed="false">
      <c r="B3469" s="36" t="n">
        <v>44120</v>
      </c>
      <c r="C3469" s="37" t="n">
        <v>5.622</v>
      </c>
    </row>
    <row r="3470" customFormat="false" ht="15" hidden="false" customHeight="false" outlineLevel="0" collapsed="false">
      <c r="B3470" s="36" t="n">
        <v>44123</v>
      </c>
      <c r="C3470" s="37" t="n">
        <v>5.6017</v>
      </c>
    </row>
    <row r="3471" customFormat="false" ht="15" hidden="false" customHeight="false" outlineLevel="0" collapsed="false">
      <c r="B3471" s="36" t="n">
        <v>44124</v>
      </c>
      <c r="C3471" s="37" t="n">
        <v>5.5824</v>
      </c>
    </row>
    <row r="3472" customFormat="false" ht="15" hidden="false" customHeight="false" outlineLevel="0" collapsed="false">
      <c r="B3472" s="36" t="n">
        <v>44125</v>
      </c>
      <c r="C3472" s="37" t="n">
        <v>5.6</v>
      </c>
    </row>
    <row r="3473" customFormat="false" ht="15" hidden="false" customHeight="false" outlineLevel="0" collapsed="false">
      <c r="B3473" s="36" t="n">
        <v>44126</v>
      </c>
      <c r="C3473" s="37" t="n">
        <v>5.5814</v>
      </c>
    </row>
    <row r="3474" customFormat="false" ht="15" hidden="false" customHeight="false" outlineLevel="0" collapsed="false">
      <c r="B3474" s="36" t="n">
        <v>44127</v>
      </c>
      <c r="C3474" s="37" t="n">
        <v>5.6114</v>
      </c>
    </row>
    <row r="3475" customFormat="false" ht="15" hidden="false" customHeight="false" outlineLevel="0" collapsed="false">
      <c r="B3475" s="36" t="n">
        <v>44130</v>
      </c>
      <c r="C3475" s="37" t="n">
        <v>5.6322</v>
      </c>
    </row>
    <row r="3476" customFormat="false" ht="15" hidden="false" customHeight="false" outlineLevel="0" collapsed="false">
      <c r="B3476" s="36" t="n">
        <v>44131</v>
      </c>
      <c r="C3476" s="37" t="n">
        <v>5.6484</v>
      </c>
    </row>
    <row r="3477" customFormat="false" ht="15" hidden="false" customHeight="false" outlineLevel="0" collapsed="false">
      <c r="B3477" s="36" t="n">
        <v>44132</v>
      </c>
      <c r="C3477" s="37" t="n">
        <v>5.7319</v>
      </c>
    </row>
    <row r="3478" customFormat="false" ht="15" hidden="false" customHeight="false" outlineLevel="0" collapsed="false">
      <c r="B3478" s="36" t="n">
        <v>44133</v>
      </c>
      <c r="C3478" s="37" t="n">
        <v>5.7797</v>
      </c>
    </row>
    <row r="3479" customFormat="false" ht="15" hidden="false" customHeight="false" outlineLevel="0" collapsed="false">
      <c r="B3479" s="36" t="n">
        <v>44134</v>
      </c>
      <c r="C3479" s="37" t="n">
        <v>5.7712</v>
      </c>
    </row>
    <row r="3480" customFormat="false" ht="15" hidden="false" customHeight="false" outlineLevel="0" collapsed="false">
      <c r="B3480" s="36" t="n">
        <v>44138</v>
      </c>
      <c r="C3480" s="37" t="n">
        <v>5.6889</v>
      </c>
    </row>
    <row r="3481" customFormat="false" ht="15" hidden="false" customHeight="false" outlineLevel="0" collapsed="false">
      <c r="B3481" s="36" t="n">
        <v>44139</v>
      </c>
      <c r="C3481" s="37" t="n">
        <v>5.6926</v>
      </c>
    </row>
    <row r="3482" customFormat="false" ht="15" hidden="false" customHeight="false" outlineLevel="0" collapsed="false">
      <c r="B3482" s="36" t="n">
        <v>44140</v>
      </c>
      <c r="C3482" s="37" t="n">
        <v>5.5618</v>
      </c>
    </row>
    <row r="3483" customFormat="false" ht="15" hidden="false" customHeight="false" outlineLevel="0" collapsed="false">
      <c r="B3483" s="36" t="n">
        <v>44141</v>
      </c>
      <c r="C3483" s="37" t="n">
        <v>5.5307</v>
      </c>
    </row>
    <row r="3484" customFormat="false" ht="15" hidden="false" customHeight="false" outlineLevel="0" collapsed="false">
      <c r="B3484" s="36" t="n">
        <v>44144</v>
      </c>
      <c r="C3484" s="37" t="n">
        <v>5.2815</v>
      </c>
    </row>
    <row r="3485" customFormat="false" ht="15" hidden="false" customHeight="false" outlineLevel="0" collapsed="false">
      <c r="B3485" s="36" t="n">
        <v>44145</v>
      </c>
      <c r="C3485" s="37" t="n">
        <v>5.369</v>
      </c>
    </row>
    <row r="3486" customFormat="false" ht="15" hidden="false" customHeight="false" outlineLevel="0" collapsed="false">
      <c r="B3486" s="36" t="n">
        <v>44146</v>
      </c>
      <c r="C3486" s="37" t="n">
        <v>5.4014</v>
      </c>
    </row>
    <row r="3487" customFormat="false" ht="15" hidden="false" customHeight="false" outlineLevel="0" collapsed="false">
      <c r="B3487" s="36" t="n">
        <v>44147</v>
      </c>
      <c r="C3487" s="37" t="n">
        <v>5.4088</v>
      </c>
    </row>
    <row r="3488" customFormat="false" ht="15" hidden="false" customHeight="false" outlineLevel="0" collapsed="false">
      <c r="B3488" s="36" t="n">
        <v>44148</v>
      </c>
      <c r="C3488" s="37" t="n">
        <v>5.4848</v>
      </c>
    </row>
    <row r="3489" customFormat="false" ht="15" hidden="false" customHeight="false" outlineLevel="0" collapsed="false">
      <c r="B3489" s="36" t="n">
        <v>44151</v>
      </c>
      <c r="C3489" s="37" t="n">
        <v>5.4192</v>
      </c>
    </row>
    <row r="3490" customFormat="false" ht="15" hidden="false" customHeight="false" outlineLevel="0" collapsed="false">
      <c r="B3490" s="36" t="n">
        <v>44152</v>
      </c>
      <c r="C3490" s="37" t="n">
        <v>5.3962</v>
      </c>
    </row>
    <row r="3491" customFormat="false" ht="15" hidden="false" customHeight="false" outlineLevel="0" collapsed="false">
      <c r="B3491" s="36" t="n">
        <v>44153</v>
      </c>
      <c r="C3491" s="37" t="n">
        <v>5.2926</v>
      </c>
    </row>
    <row r="3492" customFormat="false" ht="15" hidden="false" customHeight="false" outlineLevel="0" collapsed="false">
      <c r="B3492" s="36" t="n">
        <v>44154</v>
      </c>
      <c r="C3492" s="37" t="n">
        <v>5.3324</v>
      </c>
    </row>
    <row r="3493" customFormat="false" ht="15" hidden="false" customHeight="false" outlineLevel="0" collapsed="false">
      <c r="B3493" s="36" t="n">
        <v>44155</v>
      </c>
      <c r="C3493" s="37" t="n">
        <v>5.3499</v>
      </c>
    </row>
    <row r="3494" customFormat="false" ht="15" hidden="false" customHeight="false" outlineLevel="0" collapsed="false">
      <c r="B3494" s="36" t="n">
        <v>44158</v>
      </c>
      <c r="C3494" s="37" t="n">
        <v>5.3822</v>
      </c>
    </row>
    <row r="3495" customFormat="false" ht="15" hidden="false" customHeight="false" outlineLevel="0" collapsed="false">
      <c r="B3495" s="36" t="n">
        <v>44159</v>
      </c>
      <c r="C3495" s="37" t="n">
        <v>5.4031</v>
      </c>
    </row>
    <row r="3496" customFormat="false" ht="15" hidden="false" customHeight="false" outlineLevel="0" collapsed="false">
      <c r="B3496" s="36" t="n">
        <v>44160</v>
      </c>
      <c r="C3496" s="37" t="n">
        <v>5.3502</v>
      </c>
    </row>
    <row r="3497" customFormat="false" ht="15" hidden="false" customHeight="false" outlineLevel="0" collapsed="false">
      <c r="B3497" s="36" t="n">
        <v>44161</v>
      </c>
      <c r="C3497" s="37" t="n">
        <v>5.3195</v>
      </c>
    </row>
    <row r="3498" customFormat="false" ht="15" hidden="false" customHeight="false" outlineLevel="0" collapsed="false">
      <c r="B3498" s="36" t="n">
        <v>44162</v>
      </c>
      <c r="C3498" s="37" t="n">
        <v>5.3488</v>
      </c>
    </row>
    <row r="3499" customFormat="false" ht="15" hidden="false" customHeight="false" outlineLevel="0" collapsed="false">
      <c r="B3499" s="36" t="n">
        <v>44165</v>
      </c>
      <c r="C3499" s="37" t="n">
        <v>5.3311</v>
      </c>
    </row>
    <row r="3500" customFormat="false" ht="15" hidden="false" customHeight="false" outlineLevel="0" collapsed="false">
      <c r="B3500" s="36" t="n">
        <v>44166</v>
      </c>
      <c r="C3500" s="37" t="n">
        <v>5.2783</v>
      </c>
    </row>
    <row r="3501" customFormat="false" ht="15" hidden="false" customHeight="false" outlineLevel="0" collapsed="false">
      <c r="B3501" s="36" t="n">
        <v>44167</v>
      </c>
      <c r="C3501" s="37" t="n">
        <v>5.2261</v>
      </c>
    </row>
    <row r="3502" customFormat="false" ht="15" hidden="false" customHeight="false" outlineLevel="0" collapsed="false">
      <c r="B3502" s="36" t="n">
        <v>44168</v>
      </c>
      <c r="C3502" s="37" t="n">
        <v>5.1619</v>
      </c>
    </row>
    <row r="3503" customFormat="false" ht="15" hidden="false" customHeight="false" outlineLevel="0" collapsed="false">
      <c r="B3503" s="36" t="n">
        <v>44169</v>
      </c>
      <c r="C3503" s="37" t="n">
        <v>5.17</v>
      </c>
    </row>
    <row r="3504" customFormat="false" ht="15" hidden="false" customHeight="false" outlineLevel="0" collapsed="false">
      <c r="B3504" s="36" t="n">
        <v>44172</v>
      </c>
      <c r="C3504" s="37" t="n">
        <v>5.1012</v>
      </c>
    </row>
    <row r="3505" customFormat="false" ht="15" hidden="false" customHeight="false" outlineLevel="0" collapsed="false">
      <c r="B3505" s="36" t="n">
        <v>44173</v>
      </c>
      <c r="C3505" s="37" t="n">
        <v>5.0914</v>
      </c>
    </row>
    <row r="3506" customFormat="false" ht="15" hidden="false" customHeight="false" outlineLevel="0" collapsed="false">
      <c r="B3506" s="36" t="n">
        <v>44174</v>
      </c>
      <c r="C3506" s="37" t="n">
        <v>5.1103</v>
      </c>
    </row>
    <row r="3507" customFormat="false" ht="15" hidden="false" customHeight="false" outlineLevel="0" collapsed="false">
      <c r="B3507" s="36" t="n">
        <v>44175</v>
      </c>
      <c r="C3507" s="37" t="n">
        <v>5.0846</v>
      </c>
    </row>
    <row r="3508" customFormat="false" ht="15" hidden="false" customHeight="false" outlineLevel="0" collapsed="false">
      <c r="B3508" s="36" t="n">
        <v>44176</v>
      </c>
      <c r="C3508" s="37" t="n">
        <v>5.0685</v>
      </c>
    </row>
    <row r="3509" customFormat="false" ht="15" hidden="false" customHeight="false" outlineLevel="0" collapsed="false">
      <c r="B3509" s="36" t="n">
        <v>44179</v>
      </c>
      <c r="C3509" s="37" t="n">
        <v>5.0572</v>
      </c>
    </row>
    <row r="3510" customFormat="false" ht="15" hidden="false" customHeight="false" outlineLevel="0" collapsed="false">
      <c r="B3510" s="36" t="n">
        <v>44180</v>
      </c>
      <c r="C3510" s="37" t="n">
        <v>5.0962</v>
      </c>
    </row>
    <row r="3511" customFormat="false" ht="15" hidden="false" customHeight="false" outlineLevel="0" collapsed="false">
      <c r="B3511" s="36" t="n">
        <v>44181</v>
      </c>
      <c r="C3511" s="37" t="n">
        <v>5.1051</v>
      </c>
    </row>
    <row r="3512" customFormat="false" ht="15" hidden="false" customHeight="false" outlineLevel="0" collapsed="false">
      <c r="B3512" s="36" t="n">
        <v>44182</v>
      </c>
      <c r="C3512" s="37" t="n">
        <v>5.0606</v>
      </c>
    </row>
    <row r="3513" customFormat="false" ht="15" hidden="false" customHeight="false" outlineLevel="0" collapsed="false">
      <c r="B3513" s="36" t="n">
        <v>44183</v>
      </c>
      <c r="C3513" s="37" t="n">
        <v>5.098</v>
      </c>
    </row>
    <row r="3514" customFormat="false" ht="15" hidden="false" customHeight="false" outlineLevel="0" collapsed="false">
      <c r="B3514" s="36" t="n">
        <v>44186</v>
      </c>
      <c r="C3514" s="37" t="n">
        <v>5.1566</v>
      </c>
    </row>
    <row r="3515" customFormat="false" ht="15" hidden="false" customHeight="false" outlineLevel="0" collapsed="false">
      <c r="B3515" s="36" t="n">
        <v>44187</v>
      </c>
      <c r="C3515" s="37" t="n">
        <v>5.1467</v>
      </c>
    </row>
    <row r="3516" customFormat="false" ht="15" hidden="false" customHeight="false" outlineLevel="0" collapsed="false">
      <c r="B3516" s="36" t="n">
        <v>44188</v>
      </c>
      <c r="C3516" s="37" t="n">
        <v>5.1734</v>
      </c>
    </row>
    <row r="3517" customFormat="false" ht="15" hidden="false" customHeight="false" outlineLevel="0" collapsed="false">
      <c r="B3517" s="36" t="n">
        <v>44189</v>
      </c>
      <c r="C3517" s="37" t="n">
        <v>5.1785</v>
      </c>
    </row>
    <row r="3518" customFormat="false" ht="15" hidden="false" customHeight="false" outlineLevel="0" collapsed="false">
      <c r="B3518" s="36" t="n">
        <v>44193</v>
      </c>
      <c r="C3518" s="37" t="n">
        <v>5.2384</v>
      </c>
    </row>
    <row r="3519" customFormat="false" ht="15" hidden="false" customHeight="false" outlineLevel="0" collapsed="false">
      <c r="B3519" s="36" t="n">
        <v>44194</v>
      </c>
      <c r="C3519" s="37" t="n">
        <v>5.1936</v>
      </c>
    </row>
    <row r="3520" customFormat="false" ht="15" hidden="false" customHeight="false" outlineLevel="0" collapsed="false">
      <c r="B3520" s="36" t="n">
        <v>44195</v>
      </c>
      <c r="C3520" s="37" t="n">
        <v>5.1961</v>
      </c>
    </row>
    <row r="3521" customFormat="false" ht="15" hidden="false" customHeight="false" outlineLevel="0" collapsed="false">
      <c r="B3521" s="36" t="n">
        <v>44196</v>
      </c>
      <c r="C3521" s="37" t="n">
        <v>5.1961</v>
      </c>
    </row>
    <row r="3522" customFormat="false" ht="15" hidden="false" customHeight="false" outlineLevel="0" collapsed="false">
      <c r="B3522" s="36" t="n">
        <v>44200</v>
      </c>
      <c r="C3522" s="37" t="n">
        <v>5.162</v>
      </c>
    </row>
    <row r="3523" customFormat="false" ht="15" hidden="false" customHeight="false" outlineLevel="0" collapsed="false">
      <c r="B3523" s="36" t="n">
        <v>44201</v>
      </c>
      <c r="C3523" s="37" t="n">
        <v>5.3263</v>
      </c>
    </row>
    <row r="3524" customFormat="false" ht="15" hidden="false" customHeight="false" outlineLevel="0" collapsed="false">
      <c r="B3524" s="36" t="n">
        <v>44202</v>
      </c>
      <c r="C3524" s="37" t="n">
        <v>5.3176</v>
      </c>
    </row>
    <row r="3525" customFormat="false" ht="15" hidden="false" customHeight="false" outlineLevel="0" collapsed="false">
      <c r="B3525" s="36" t="n">
        <v>44203</v>
      </c>
      <c r="C3525" s="37" t="n">
        <v>5.3427</v>
      </c>
    </row>
    <row r="3526" customFormat="false" ht="15" hidden="false" customHeight="false" outlineLevel="0" collapsed="false">
      <c r="B3526" s="36" t="n">
        <v>44204</v>
      </c>
      <c r="C3526" s="37" t="n">
        <v>5.3677</v>
      </c>
    </row>
    <row r="3527" customFormat="false" ht="15" hidden="false" customHeight="false" outlineLevel="0" collapsed="false">
      <c r="B3527" s="36" t="n">
        <v>44207</v>
      </c>
      <c r="C3527" s="37" t="n">
        <v>5.496</v>
      </c>
    </row>
    <row r="3528" customFormat="false" ht="15" hidden="false" customHeight="false" outlineLevel="0" collapsed="false">
      <c r="B3528" s="36" t="n">
        <v>44208</v>
      </c>
      <c r="C3528" s="37" t="n">
        <v>5.4631</v>
      </c>
    </row>
    <row r="3529" customFormat="false" ht="15" hidden="false" customHeight="false" outlineLevel="0" collapsed="false">
      <c r="B3529" s="36" t="n">
        <v>44209</v>
      </c>
      <c r="C3529" s="37" t="n">
        <v>5.3064</v>
      </c>
    </row>
    <row r="3530" customFormat="false" ht="15" hidden="false" customHeight="false" outlineLevel="0" collapsed="false">
      <c r="B3530" s="36" t="n">
        <v>44210</v>
      </c>
      <c r="C3530" s="37" t="n">
        <v>5.2611</v>
      </c>
    </row>
    <row r="3531" customFormat="false" ht="15" hidden="false" customHeight="false" outlineLevel="0" collapsed="false">
      <c r="B3531" s="36" t="n">
        <v>44211</v>
      </c>
      <c r="C3531" s="37" t="n">
        <v>5.2708</v>
      </c>
    </row>
    <row r="3532" customFormat="false" ht="15" hidden="false" customHeight="false" outlineLevel="0" collapsed="false">
      <c r="B3532" s="36" t="n">
        <v>44214</v>
      </c>
      <c r="C3532" s="37" t="n">
        <v>5.2782</v>
      </c>
    </row>
    <row r="3533" customFormat="false" ht="15" hidden="false" customHeight="false" outlineLevel="0" collapsed="false">
      <c r="B3533" s="36" t="n">
        <v>44215</v>
      </c>
      <c r="C3533" s="37" t="n">
        <v>5.2939</v>
      </c>
    </row>
    <row r="3534" customFormat="false" ht="15" hidden="false" customHeight="false" outlineLevel="0" collapsed="false">
      <c r="B3534" s="36" t="n">
        <v>44216</v>
      </c>
      <c r="C3534" s="37" t="n">
        <v>5.3027</v>
      </c>
    </row>
    <row r="3535" customFormat="false" ht="15" hidden="false" customHeight="false" outlineLevel="0" collapsed="false">
      <c r="B3535" s="36" t="n">
        <v>44217</v>
      </c>
      <c r="C3535" s="37" t="n">
        <v>5.316</v>
      </c>
    </row>
    <row r="3536" customFormat="false" ht="15" hidden="false" customHeight="false" outlineLevel="0" collapsed="false">
      <c r="B3536" s="36" t="n">
        <v>44218</v>
      </c>
      <c r="C3536" s="37" t="n">
        <v>5.4295</v>
      </c>
    </row>
    <row r="3537" customFormat="false" ht="15" hidden="false" customHeight="false" outlineLevel="0" collapsed="false">
      <c r="B3537" s="36" t="n">
        <v>44221</v>
      </c>
      <c r="C3537" s="37" t="n">
        <v>5.5074</v>
      </c>
    </row>
    <row r="3538" customFormat="false" ht="15" hidden="false" customHeight="false" outlineLevel="0" collapsed="false">
      <c r="B3538" s="36" t="n">
        <v>44222</v>
      </c>
      <c r="C3538" s="37" t="n">
        <v>5.3859</v>
      </c>
    </row>
    <row r="3539" customFormat="false" ht="15" hidden="false" customHeight="false" outlineLevel="0" collapsed="false">
      <c r="B3539" s="36" t="n">
        <v>44223</v>
      </c>
      <c r="C3539" s="37" t="n">
        <v>5.3818</v>
      </c>
    </row>
    <row r="3540" customFormat="false" ht="15" hidden="false" customHeight="false" outlineLevel="0" collapsed="false">
      <c r="B3540" s="36" t="n">
        <v>44224</v>
      </c>
      <c r="C3540" s="37" t="n">
        <v>5.4276</v>
      </c>
    </row>
    <row r="3541" customFormat="false" ht="15" hidden="false" customHeight="false" outlineLevel="0" collapsed="false">
      <c r="B3541" s="36" t="n">
        <v>44225</v>
      </c>
      <c r="C3541" s="37" t="n">
        <v>5.4753</v>
      </c>
    </row>
    <row r="3542" customFormat="false" ht="15" hidden="false" customHeight="false" outlineLevel="0" collapsed="false">
      <c r="B3542" s="36" t="n">
        <v>44228</v>
      </c>
      <c r="C3542" s="37" t="n">
        <v>5.4602</v>
      </c>
    </row>
    <row r="3543" customFormat="false" ht="15" hidden="false" customHeight="false" outlineLevel="0" collapsed="false">
      <c r="B3543" s="36" t="n">
        <v>44229</v>
      </c>
      <c r="C3543" s="37" t="n">
        <v>5.3869</v>
      </c>
    </row>
    <row r="3544" customFormat="false" ht="15" hidden="false" customHeight="false" outlineLevel="0" collapsed="false">
      <c r="B3544" s="36" t="n">
        <v>44230</v>
      </c>
      <c r="C3544" s="37" t="n">
        <v>5.3417</v>
      </c>
    </row>
    <row r="3545" customFormat="false" ht="15" hidden="false" customHeight="false" outlineLevel="0" collapsed="false">
      <c r="B3545" s="36" t="n">
        <v>44231</v>
      </c>
      <c r="C3545" s="37" t="n">
        <v>5.3904</v>
      </c>
    </row>
    <row r="3546" customFormat="false" ht="15" hidden="false" customHeight="false" outlineLevel="0" collapsed="false">
      <c r="B3546" s="36" t="n">
        <v>44232</v>
      </c>
      <c r="C3546" s="37" t="n">
        <v>5.3878</v>
      </c>
    </row>
    <row r="3547" customFormat="false" ht="15" hidden="false" customHeight="false" outlineLevel="0" collapsed="false">
      <c r="B3547" s="36" t="n">
        <v>44235</v>
      </c>
      <c r="C3547" s="37" t="n">
        <v>5.3664</v>
      </c>
    </row>
    <row r="3548" customFormat="false" ht="15" hidden="false" customHeight="false" outlineLevel="0" collapsed="false">
      <c r="B3548" s="36" t="n">
        <v>44236</v>
      </c>
      <c r="C3548" s="37" t="n">
        <v>5.421</v>
      </c>
    </row>
    <row r="3549" customFormat="false" ht="15" hidden="false" customHeight="false" outlineLevel="0" collapsed="false">
      <c r="B3549" s="36" t="n">
        <v>44237</v>
      </c>
      <c r="C3549" s="37" t="n">
        <v>5.4018</v>
      </c>
    </row>
    <row r="3550" customFormat="false" ht="15" hidden="false" customHeight="false" outlineLevel="0" collapsed="false">
      <c r="B3550" s="36" t="n">
        <v>44238</v>
      </c>
      <c r="C3550" s="37" t="n">
        <v>5.362</v>
      </c>
    </row>
    <row r="3551" customFormat="false" ht="15" hidden="false" customHeight="false" outlineLevel="0" collapsed="false">
      <c r="B3551" s="36" t="n">
        <v>44239</v>
      </c>
      <c r="C3551" s="37" t="n">
        <v>5.3809</v>
      </c>
    </row>
    <row r="3552" customFormat="false" ht="15" hidden="false" customHeight="false" outlineLevel="0" collapsed="false">
      <c r="B3552" s="36" t="n">
        <v>44244</v>
      </c>
      <c r="C3552" s="37" t="n">
        <v>5.4132</v>
      </c>
    </row>
    <row r="3553" customFormat="false" ht="15" hidden="false" customHeight="false" outlineLevel="0" collapsed="false">
      <c r="B3553" s="36" t="n">
        <v>44245</v>
      </c>
      <c r="C3553" s="37" t="n">
        <v>5.4232</v>
      </c>
    </row>
    <row r="3554" customFormat="false" ht="15" hidden="false" customHeight="false" outlineLevel="0" collapsed="false">
      <c r="B3554" s="36" t="n">
        <v>44246</v>
      </c>
      <c r="C3554" s="37" t="n">
        <v>5.3918</v>
      </c>
    </row>
    <row r="3555" customFormat="false" ht="15" hidden="false" customHeight="false" outlineLevel="0" collapsed="false">
      <c r="B3555" s="36" t="n">
        <v>44249</v>
      </c>
      <c r="C3555" s="37" t="n">
        <v>5.5038</v>
      </c>
    </row>
    <row r="3556" customFormat="false" ht="15" hidden="false" customHeight="false" outlineLevel="0" collapsed="false">
      <c r="B3556" s="36" t="n">
        <v>44250</v>
      </c>
      <c r="C3556" s="37" t="n">
        <v>5.4484</v>
      </c>
    </row>
    <row r="3557" customFormat="false" ht="15" hidden="false" customHeight="false" outlineLevel="0" collapsed="false">
      <c r="B3557" s="36" t="n">
        <v>44251</v>
      </c>
      <c r="C3557" s="37" t="n">
        <v>5.4176</v>
      </c>
    </row>
    <row r="3558" customFormat="false" ht="15" hidden="false" customHeight="false" outlineLevel="0" collapsed="false">
      <c r="B3558" s="36" t="n">
        <v>44252</v>
      </c>
      <c r="C3558" s="37" t="n">
        <v>5.4594</v>
      </c>
    </row>
    <row r="3559" customFormat="false" ht="15" hidden="false" customHeight="false" outlineLevel="0" collapsed="false">
      <c r="B3559" s="36" t="n">
        <v>44253</v>
      </c>
      <c r="C3559" s="37" t="n">
        <v>5.5296</v>
      </c>
    </row>
    <row r="3560" customFormat="false" ht="15" hidden="false" customHeight="false" outlineLevel="0" collapsed="false">
      <c r="B3560" s="36" t="n">
        <v>44256</v>
      </c>
      <c r="C3560" s="37" t="n">
        <v>5.5826</v>
      </c>
    </row>
    <row r="3561" customFormat="false" ht="15" hidden="false" customHeight="false" outlineLevel="0" collapsed="false">
      <c r="B3561" s="36" t="n">
        <v>44257</v>
      </c>
      <c r="C3561" s="37" t="n">
        <v>5.6838</v>
      </c>
    </row>
    <row r="3562" customFormat="false" ht="15" hidden="false" customHeight="false" outlineLevel="0" collapsed="false">
      <c r="B3562" s="36" t="n">
        <v>44258</v>
      </c>
      <c r="C3562" s="37" t="n">
        <v>5.7336</v>
      </c>
    </row>
    <row r="3563" customFormat="false" ht="15" hidden="false" customHeight="false" outlineLevel="0" collapsed="false">
      <c r="B3563" s="36" t="n">
        <v>44259</v>
      </c>
      <c r="C3563" s="37" t="n">
        <v>5.6002</v>
      </c>
    </row>
    <row r="3564" customFormat="false" ht="15" hidden="false" customHeight="false" outlineLevel="0" collapsed="false">
      <c r="B3564" s="36" t="n">
        <v>44260</v>
      </c>
      <c r="C3564" s="37" t="n">
        <v>5.6864</v>
      </c>
    </row>
    <row r="3565" customFormat="false" ht="15" hidden="false" customHeight="false" outlineLevel="0" collapsed="false">
      <c r="B3565" s="36" t="n">
        <v>44263</v>
      </c>
      <c r="C3565" s="37" t="n">
        <v>5.7337</v>
      </c>
    </row>
    <row r="3566" customFormat="false" ht="15" hidden="false" customHeight="false" outlineLevel="0" collapsed="false">
      <c r="B3566" s="36" t="n">
        <v>44264</v>
      </c>
      <c r="C3566" s="37" t="n">
        <v>5.8391</v>
      </c>
    </row>
    <row r="3567" customFormat="false" ht="15" hidden="false" customHeight="false" outlineLevel="0" collapsed="false">
      <c r="B3567" s="36" t="n">
        <v>44265</v>
      </c>
      <c r="C3567" s="37" t="n">
        <v>5.7443</v>
      </c>
    </row>
    <row r="3568" customFormat="false" ht="15" hidden="false" customHeight="false" outlineLevel="0" collapsed="false">
      <c r="B3568" s="36" t="n">
        <v>44266</v>
      </c>
      <c r="C3568" s="37" t="n">
        <v>5.5884</v>
      </c>
    </row>
    <row r="3569" customFormat="false" ht="15" hidden="false" customHeight="false" outlineLevel="0" collapsed="false">
      <c r="B3569" s="36" t="n">
        <v>44267</v>
      </c>
      <c r="C3569" s="37" t="n">
        <v>5.5634</v>
      </c>
    </row>
    <row r="3570" customFormat="false" ht="15" hidden="false" customHeight="false" outlineLevel="0" collapsed="false">
      <c r="B3570" s="36" t="n">
        <v>44270</v>
      </c>
      <c r="C3570" s="37" t="n">
        <v>5.629</v>
      </c>
    </row>
    <row r="3571" customFormat="false" ht="15" hidden="false" customHeight="false" outlineLevel="0" collapsed="false">
      <c r="B3571" s="36" t="n">
        <v>44271</v>
      </c>
      <c r="C3571" s="37" t="n">
        <v>5.5845</v>
      </c>
    </row>
    <row r="3572" customFormat="false" ht="15" hidden="false" customHeight="false" outlineLevel="0" collapsed="false">
      <c r="B3572" s="36" t="n">
        <v>44272</v>
      </c>
      <c r="C3572" s="37" t="n">
        <v>5.6573</v>
      </c>
    </row>
    <row r="3573" customFormat="false" ht="15" hidden="false" customHeight="false" outlineLevel="0" collapsed="false">
      <c r="B3573" s="36" t="n">
        <v>44273</v>
      </c>
      <c r="C3573" s="37" t="n">
        <v>5.5468</v>
      </c>
    </row>
    <row r="3574" customFormat="false" ht="15" hidden="false" customHeight="false" outlineLevel="0" collapsed="false">
      <c r="B3574" s="36" t="n">
        <v>44274</v>
      </c>
      <c r="C3574" s="37" t="n">
        <v>5.5076</v>
      </c>
    </row>
    <row r="3575" customFormat="false" ht="15" hidden="false" customHeight="false" outlineLevel="0" collapsed="false">
      <c r="B3575" s="36" t="n">
        <v>44277</v>
      </c>
      <c r="C3575" s="37" t="n">
        <v>5.5263</v>
      </c>
    </row>
    <row r="3576" customFormat="false" ht="15" hidden="false" customHeight="false" outlineLevel="0" collapsed="false">
      <c r="B3576" s="36" t="n">
        <v>44278</v>
      </c>
      <c r="C3576" s="37" t="n">
        <v>5.4945</v>
      </c>
    </row>
    <row r="3577" customFormat="false" ht="15" hidden="false" customHeight="false" outlineLevel="0" collapsed="false">
      <c r="B3577" s="36" t="n">
        <v>44279</v>
      </c>
      <c r="C3577" s="37" t="n">
        <v>5.5324</v>
      </c>
    </row>
    <row r="3578" customFormat="false" ht="15" hidden="false" customHeight="false" outlineLevel="0" collapsed="false">
      <c r="B3578" s="36" t="n">
        <v>44280</v>
      </c>
      <c r="C3578" s="37" t="n">
        <v>5.6579</v>
      </c>
    </row>
    <row r="3579" customFormat="false" ht="15" hidden="false" customHeight="false" outlineLevel="0" collapsed="false">
      <c r="B3579" s="36" t="n">
        <v>44281</v>
      </c>
      <c r="C3579" s="37" t="n">
        <v>5.7036</v>
      </c>
    </row>
    <row r="3580" customFormat="false" ht="15" hidden="false" customHeight="false" outlineLevel="0" collapsed="false">
      <c r="B3580" s="36" t="n">
        <v>44284</v>
      </c>
      <c r="C3580" s="37" t="n">
        <v>5.7919</v>
      </c>
    </row>
    <row r="3581" customFormat="false" ht="15" hidden="false" customHeight="false" outlineLevel="0" collapsed="false">
      <c r="B3581" s="36" t="n">
        <v>44285</v>
      </c>
      <c r="C3581" s="37" t="n">
        <v>5.7636</v>
      </c>
    </row>
    <row r="3582" customFormat="false" ht="15" hidden="false" customHeight="false" outlineLevel="0" collapsed="false">
      <c r="B3582" s="36" t="n">
        <v>44286</v>
      </c>
      <c r="C3582" s="37" t="n">
        <v>5.6967</v>
      </c>
    </row>
    <row r="3583" customFormat="false" ht="15" hidden="false" customHeight="false" outlineLevel="0" collapsed="false">
      <c r="B3583" s="36" t="n">
        <v>44287</v>
      </c>
      <c r="C3583" s="37" t="n">
        <v>5.6843</v>
      </c>
    </row>
    <row r="3584" customFormat="false" ht="15" hidden="false" customHeight="false" outlineLevel="0" collapsed="false">
      <c r="B3584" s="36" t="n">
        <v>44291</v>
      </c>
      <c r="C3584" s="37" t="n">
        <v>5.6573</v>
      </c>
    </row>
    <row r="3585" customFormat="false" ht="15" hidden="false" customHeight="false" outlineLevel="0" collapsed="false">
      <c r="B3585" s="36" t="n">
        <v>44292</v>
      </c>
      <c r="C3585" s="37" t="n">
        <v>5.6257</v>
      </c>
    </row>
    <row r="3586" customFormat="false" ht="15" hidden="false" customHeight="false" outlineLevel="0" collapsed="false">
      <c r="B3586" s="36" t="n">
        <v>44293</v>
      </c>
      <c r="C3586" s="37" t="n">
        <v>5.5858</v>
      </c>
    </row>
    <row r="3587" customFormat="false" ht="15" hidden="false" customHeight="false" outlineLevel="0" collapsed="false">
      <c r="B3587" s="36" t="n">
        <v>44294</v>
      </c>
      <c r="C3587" s="37" t="n">
        <v>5.5811</v>
      </c>
    </row>
    <row r="3588" customFormat="false" ht="15" hidden="false" customHeight="false" outlineLevel="0" collapsed="false">
      <c r="B3588" s="36" t="n">
        <v>44295</v>
      </c>
      <c r="C3588" s="37" t="n">
        <v>5.6439</v>
      </c>
    </row>
    <row r="3589" customFormat="false" ht="15" hidden="false" customHeight="false" outlineLevel="0" collapsed="false">
      <c r="B3589" s="36" t="n">
        <v>44298</v>
      </c>
      <c r="C3589" s="37" t="n">
        <v>5.6576</v>
      </c>
    </row>
    <row r="3590" customFormat="false" ht="15" hidden="false" customHeight="false" outlineLevel="0" collapsed="false">
      <c r="B3590" s="36" t="n">
        <v>44299</v>
      </c>
      <c r="C3590" s="37" t="n">
        <v>5.7058</v>
      </c>
    </row>
    <row r="3591" customFormat="false" ht="15" hidden="false" customHeight="false" outlineLevel="0" collapsed="false">
      <c r="B3591" s="36" t="n">
        <v>44300</v>
      </c>
      <c r="C3591" s="37" t="n">
        <v>5.693</v>
      </c>
    </row>
    <row r="3592" customFormat="false" ht="15" hidden="false" customHeight="false" outlineLevel="0" collapsed="false">
      <c r="B3592" s="36" t="n">
        <v>44301</v>
      </c>
      <c r="C3592" s="37" t="n">
        <v>5.6228</v>
      </c>
    </row>
    <row r="3593" customFormat="false" ht="15" hidden="false" customHeight="false" outlineLevel="0" collapsed="false">
      <c r="B3593" s="36" t="n">
        <v>44302</v>
      </c>
      <c r="C3593" s="37" t="n">
        <v>5.6322</v>
      </c>
    </row>
    <row r="3594" customFormat="false" ht="15" hidden="false" customHeight="false" outlineLevel="0" collapsed="false">
      <c r="B3594" s="36" t="n">
        <v>44305</v>
      </c>
      <c r="C3594" s="37" t="n">
        <v>5.5744</v>
      </c>
    </row>
    <row r="3595" customFormat="false" ht="15" hidden="false" customHeight="false" outlineLevel="0" collapsed="false">
      <c r="B3595" s="36" t="n">
        <v>44306</v>
      </c>
      <c r="C3595" s="37" t="n">
        <v>5.526</v>
      </c>
    </row>
    <row r="3596" customFormat="false" ht="15" hidden="false" customHeight="false" outlineLevel="0" collapsed="false">
      <c r="B3596" s="36" t="n">
        <v>44308</v>
      </c>
      <c r="C3596" s="37" t="n">
        <v>5.4964</v>
      </c>
    </row>
    <row r="3597" customFormat="false" ht="15" hidden="false" customHeight="false" outlineLevel="0" collapsed="false">
      <c r="B3597" s="36" t="n">
        <v>44309</v>
      </c>
      <c r="C3597" s="37" t="n">
        <v>5.4781</v>
      </c>
    </row>
    <row r="3598" customFormat="false" ht="15" hidden="false" customHeight="false" outlineLevel="0" collapsed="false">
      <c r="B3598" s="36" t="n">
        <v>44312</v>
      </c>
      <c r="C3598" s="37" t="n">
        <v>5.456</v>
      </c>
    </row>
    <row r="3599" customFormat="false" ht="15" hidden="false" customHeight="false" outlineLevel="0" collapsed="false">
      <c r="B3599" s="36" t="n">
        <v>44313</v>
      </c>
      <c r="C3599" s="37" t="n">
        <v>5.4418</v>
      </c>
    </row>
    <row r="3600" customFormat="false" ht="15" hidden="false" customHeight="false" outlineLevel="0" collapsed="false">
      <c r="B3600" s="36" t="n">
        <v>44314</v>
      </c>
      <c r="C3600" s="37" t="n">
        <v>5.3999</v>
      </c>
    </row>
    <row r="3601" customFormat="false" ht="15" hidden="false" customHeight="false" outlineLevel="0" collapsed="false">
      <c r="B3601" s="36" t="n">
        <v>44315</v>
      </c>
      <c r="C3601" s="37" t="n">
        <v>5.3656</v>
      </c>
    </row>
    <row r="3602" customFormat="false" ht="15" hidden="false" customHeight="false" outlineLevel="0" collapsed="false">
      <c r="B3602" s="36" t="n">
        <v>44316</v>
      </c>
      <c r="C3602" s="37" t="n">
        <v>5.403</v>
      </c>
    </row>
    <row r="3603" customFormat="false" ht="15" hidden="false" customHeight="false" outlineLevel="0" collapsed="false">
      <c r="B3603" s="36" t="n">
        <v>44319</v>
      </c>
      <c r="C3603" s="37" t="n">
        <v>5.4081</v>
      </c>
    </row>
    <row r="3604" customFormat="false" ht="15" hidden="false" customHeight="false" outlineLevel="0" collapsed="false">
      <c r="B3604" s="36" t="n">
        <v>44320</v>
      </c>
      <c r="C3604" s="37" t="n">
        <v>5.4499</v>
      </c>
    </row>
    <row r="3605" customFormat="false" ht="15" hidden="false" customHeight="false" outlineLevel="0" collapsed="false">
      <c r="B3605" s="36" t="n">
        <v>44321</v>
      </c>
      <c r="C3605" s="37" t="n">
        <v>5.3866</v>
      </c>
    </row>
    <row r="3606" customFormat="false" ht="15" hidden="false" customHeight="false" outlineLevel="0" collapsed="false">
      <c r="B3606" s="36" t="n">
        <v>44322</v>
      </c>
      <c r="C3606" s="37" t="n">
        <v>5.2891</v>
      </c>
    </row>
    <row r="3607" customFormat="false" ht="15" hidden="false" customHeight="false" outlineLevel="0" collapsed="false">
      <c r="B3607" s="36" t="n">
        <v>44323</v>
      </c>
      <c r="C3607" s="37" t="n">
        <v>5.2211</v>
      </c>
    </row>
    <row r="3608" customFormat="false" ht="15" hidden="false" customHeight="false" outlineLevel="0" collapsed="false">
      <c r="B3608" s="36" t="n">
        <v>44326</v>
      </c>
      <c r="C3608" s="37" t="n">
        <v>5.2221</v>
      </c>
    </row>
    <row r="3609" customFormat="false" ht="15" hidden="false" customHeight="false" outlineLevel="0" collapsed="false">
      <c r="B3609" s="36" t="n">
        <v>44327</v>
      </c>
      <c r="C3609" s="37" t="n">
        <v>5.2397</v>
      </c>
    </row>
    <row r="3610" customFormat="false" ht="15" hidden="false" customHeight="false" outlineLevel="0" collapsed="false">
      <c r="B3610" s="36" t="n">
        <v>44328</v>
      </c>
      <c r="C3610" s="37" t="n">
        <v>5.2347</v>
      </c>
    </row>
    <row r="3611" customFormat="false" ht="15" hidden="false" customHeight="false" outlineLevel="0" collapsed="false">
      <c r="B3611" s="36" t="n">
        <v>44329</v>
      </c>
      <c r="C3611" s="37" t="n">
        <v>5.2809</v>
      </c>
    </row>
    <row r="3612" customFormat="false" ht="15" hidden="false" customHeight="false" outlineLevel="0" collapsed="false">
      <c r="B3612" s="36" t="n">
        <v>44330</v>
      </c>
      <c r="C3612" s="37" t="n">
        <v>5.2695</v>
      </c>
    </row>
    <row r="3613" customFormat="false" ht="15" hidden="false" customHeight="false" outlineLevel="0" collapsed="false">
      <c r="B3613" s="36" t="n">
        <v>44333</v>
      </c>
      <c r="C3613" s="37" t="n">
        <v>5.2749</v>
      </c>
    </row>
    <row r="3614" customFormat="false" ht="15" hidden="false" customHeight="false" outlineLevel="0" collapsed="false">
      <c r="B3614" s="36" t="n">
        <v>44334</v>
      </c>
      <c r="C3614" s="37" t="n">
        <v>5.2582</v>
      </c>
    </row>
    <row r="3615" customFormat="false" ht="15" hidden="false" customHeight="false" outlineLevel="0" collapsed="false">
      <c r="B3615" s="36" t="n">
        <v>44335</v>
      </c>
      <c r="C3615" s="37" t="n">
        <v>5.2816</v>
      </c>
    </row>
    <row r="3616" customFormat="false" ht="15" hidden="false" customHeight="false" outlineLevel="0" collapsed="false">
      <c r="B3616" s="36" t="n">
        <v>44336</v>
      </c>
      <c r="C3616" s="37" t="n">
        <v>5.2899</v>
      </c>
    </row>
    <row r="3617" customFormat="false" ht="15" hidden="false" customHeight="false" outlineLevel="0" collapsed="false">
      <c r="B3617" s="36" t="n">
        <v>44337</v>
      </c>
      <c r="C3617" s="37" t="n">
        <v>5.3021</v>
      </c>
    </row>
    <row r="3618" customFormat="false" ht="15" hidden="false" customHeight="false" outlineLevel="0" collapsed="false">
      <c r="B3618" s="36" t="n">
        <v>44340</v>
      </c>
      <c r="C3618" s="37" t="n">
        <v>5.3192</v>
      </c>
    </row>
    <row r="3619" customFormat="false" ht="15" hidden="false" customHeight="false" outlineLevel="0" collapsed="false">
      <c r="B3619" s="36" t="n">
        <v>44341</v>
      </c>
      <c r="C3619" s="37" t="n">
        <v>5.3137</v>
      </c>
    </row>
    <row r="3620" customFormat="false" ht="15" hidden="false" customHeight="false" outlineLevel="0" collapsed="false">
      <c r="B3620" s="36" t="n">
        <v>44342</v>
      </c>
      <c r="C3620" s="37" t="n">
        <v>5.3158</v>
      </c>
    </row>
    <row r="3621" customFormat="false" ht="15" hidden="false" customHeight="false" outlineLevel="0" collapsed="false">
      <c r="B3621" s="36" t="n">
        <v>44343</v>
      </c>
      <c r="C3621" s="37" t="n">
        <v>5.2833</v>
      </c>
    </row>
    <row r="3622" customFormat="false" ht="15" hidden="false" customHeight="false" outlineLevel="0" collapsed="false">
      <c r="B3622" s="36" t="n">
        <v>44344</v>
      </c>
      <c r="C3622" s="37" t="n">
        <v>5.2274</v>
      </c>
    </row>
    <row r="3623" customFormat="false" ht="15" hidden="false" customHeight="false" outlineLevel="0" collapsed="false">
      <c r="B3623" s="36" t="n">
        <v>44347</v>
      </c>
      <c r="C3623" s="37" t="n">
        <v>5.2316</v>
      </c>
    </row>
    <row r="3624" customFormat="false" ht="15" hidden="false" customHeight="false" outlineLevel="0" collapsed="false">
      <c r="B3624" s="36" t="n">
        <v>44348</v>
      </c>
      <c r="C3624" s="37" t="n">
        <v>5.163</v>
      </c>
    </row>
    <row r="3625" customFormat="false" ht="15" hidden="false" customHeight="false" outlineLevel="0" collapsed="false">
      <c r="B3625" s="36" t="n">
        <v>44349</v>
      </c>
      <c r="C3625" s="37" t="n">
        <v>5.114</v>
      </c>
    </row>
    <row r="3626" customFormat="false" ht="15" hidden="false" customHeight="false" outlineLevel="0" collapsed="false">
      <c r="B3626" s="36" t="n">
        <v>44351</v>
      </c>
      <c r="C3626" s="37" t="n">
        <v>5.0661</v>
      </c>
    </row>
    <row r="3627" customFormat="false" ht="15" hidden="false" customHeight="false" outlineLevel="0" collapsed="false">
      <c r="B3627" s="36" t="n">
        <v>44354</v>
      </c>
      <c r="C3627" s="37" t="n">
        <v>5.0492</v>
      </c>
    </row>
    <row r="3628" customFormat="false" ht="15" hidden="false" customHeight="false" outlineLevel="0" collapsed="false">
      <c r="B3628" s="36" t="n">
        <v>44355</v>
      </c>
      <c r="C3628" s="37" t="n">
        <v>5.0483</v>
      </c>
    </row>
    <row r="3629" customFormat="false" ht="15" hidden="false" customHeight="false" outlineLevel="0" collapsed="false">
      <c r="B3629" s="36" t="n">
        <v>44356</v>
      </c>
      <c r="C3629" s="37" t="n">
        <v>5.0527</v>
      </c>
    </row>
    <row r="3630" customFormat="false" ht="15" hidden="false" customHeight="false" outlineLevel="0" collapsed="false">
      <c r="B3630" s="36" t="n">
        <v>44357</v>
      </c>
      <c r="C3630" s="37" t="n">
        <v>5.0629</v>
      </c>
    </row>
    <row r="3631" customFormat="false" ht="15" hidden="false" customHeight="false" outlineLevel="0" collapsed="false">
      <c r="B3631" s="36" t="n">
        <v>44358</v>
      </c>
      <c r="C3631" s="37" t="n">
        <v>5.1184</v>
      </c>
    </row>
    <row r="3632" customFormat="false" ht="15" hidden="false" customHeight="false" outlineLevel="0" collapsed="false">
      <c r="B3632" s="36" t="n">
        <v>44361</v>
      </c>
      <c r="C3632" s="37" t="n">
        <v>5.0701</v>
      </c>
    </row>
    <row r="3633" customFormat="false" ht="15" hidden="false" customHeight="false" outlineLevel="0" collapsed="false">
      <c r="B3633" s="36" t="n">
        <v>44362</v>
      </c>
      <c r="C3633" s="37" t="n">
        <v>5.0868</v>
      </c>
    </row>
    <row r="3634" customFormat="false" ht="15" hidden="false" customHeight="false" outlineLevel="0" collapsed="false">
      <c r="B3634" s="36" t="n">
        <v>44363</v>
      </c>
      <c r="C3634" s="37" t="n">
        <v>5.0201</v>
      </c>
    </row>
    <row r="3635" customFormat="false" ht="15" hidden="false" customHeight="false" outlineLevel="0" collapsed="false">
      <c r="B3635" s="36" t="n">
        <v>44364</v>
      </c>
      <c r="C3635" s="37" t="n">
        <v>5.0353</v>
      </c>
    </row>
    <row r="3636" customFormat="false" ht="15" hidden="false" customHeight="false" outlineLevel="0" collapsed="false">
      <c r="B3636" s="36" t="n">
        <v>44365</v>
      </c>
      <c r="C3636" s="37" t="n">
        <v>5.0308</v>
      </c>
    </row>
    <row r="3637" customFormat="false" ht="15" hidden="false" customHeight="false" outlineLevel="0" collapsed="false">
      <c r="B3637" s="36" t="n">
        <v>44368</v>
      </c>
      <c r="C3637" s="37" t="n">
        <v>5.0367</v>
      </c>
    </row>
    <row r="3638" customFormat="false" ht="15" hidden="false" customHeight="false" outlineLevel="0" collapsed="false">
      <c r="B3638" s="36" t="n">
        <v>44369</v>
      </c>
      <c r="C3638" s="37" t="n">
        <v>5.0172</v>
      </c>
    </row>
    <row r="3639" customFormat="false" ht="15" hidden="false" customHeight="false" outlineLevel="0" collapsed="false">
      <c r="B3639" s="36" t="n">
        <v>44370</v>
      </c>
      <c r="C3639" s="37" t="n">
        <v>4.9513</v>
      </c>
    </row>
    <row r="3640" customFormat="false" ht="15" hidden="false" customHeight="false" outlineLevel="0" collapsed="false">
      <c r="B3640" s="36" t="n">
        <v>44371</v>
      </c>
      <c r="C3640" s="37" t="n">
        <v>4.9271</v>
      </c>
    </row>
    <row r="3641" customFormat="false" ht="15" hidden="false" customHeight="false" outlineLevel="0" collapsed="false">
      <c r="B3641" s="36" t="n">
        <v>44372</v>
      </c>
      <c r="C3641" s="37" t="n">
        <v>4.92</v>
      </c>
    </row>
    <row r="3642" customFormat="false" ht="15" hidden="false" customHeight="false" outlineLevel="0" collapsed="false">
      <c r="B3642" s="36" t="n">
        <v>44375</v>
      </c>
      <c r="C3642" s="37" t="n">
        <v>4.9414</v>
      </c>
    </row>
    <row r="3643" customFormat="false" ht="15" hidden="false" customHeight="false" outlineLevel="0" collapsed="false">
      <c r="B3643" s="36" t="n">
        <v>44376</v>
      </c>
      <c r="C3643" s="37" t="n">
        <v>4.9444</v>
      </c>
    </row>
    <row r="3644" customFormat="false" ht="15" hidden="false" customHeight="false" outlineLevel="0" collapsed="false">
      <c r="B3644" s="36" t="n">
        <v>44377</v>
      </c>
      <c r="C3644" s="37" t="n">
        <v>5.0016</v>
      </c>
    </row>
    <row r="3645" customFormat="false" ht="15" hidden="false" customHeight="false" outlineLevel="0" collapsed="false">
      <c r="B3645" s="36" t="n">
        <v>44378</v>
      </c>
      <c r="C3645" s="37" t="n">
        <v>5.0049</v>
      </c>
    </row>
    <row r="3646" customFormat="false" ht="15" hidden="false" customHeight="false" outlineLevel="0" collapsed="false">
      <c r="B3646" s="36" t="n">
        <v>44379</v>
      </c>
      <c r="C3646" s="37" t="n">
        <v>5.0287</v>
      </c>
    </row>
    <row r="3647" customFormat="false" ht="15" hidden="false" customHeight="false" outlineLevel="0" collapsed="false">
      <c r="B3647" s="36" t="n">
        <v>44382</v>
      </c>
      <c r="C3647" s="37" t="n">
        <v>5.0743</v>
      </c>
    </row>
    <row r="3648" customFormat="false" ht="15" hidden="false" customHeight="false" outlineLevel="0" collapsed="false">
      <c r="B3648" s="36" t="n">
        <v>44383</v>
      </c>
      <c r="C3648" s="37" t="n">
        <v>5.1639</v>
      </c>
    </row>
    <row r="3649" customFormat="false" ht="15" hidden="false" customHeight="false" outlineLevel="0" collapsed="false">
      <c r="B3649" s="36" t="n">
        <v>44384</v>
      </c>
      <c r="C3649" s="37" t="n">
        <v>5.2322</v>
      </c>
    </row>
    <row r="3650" customFormat="false" ht="15" hidden="false" customHeight="false" outlineLevel="0" collapsed="false">
      <c r="B3650" s="36" t="n">
        <v>44385</v>
      </c>
      <c r="C3650" s="37" t="n">
        <v>5.2581</v>
      </c>
    </row>
    <row r="3651" customFormat="false" ht="15" hidden="false" customHeight="false" outlineLevel="0" collapsed="false">
      <c r="B3651" s="36" t="n">
        <v>44386</v>
      </c>
      <c r="C3651" s="37" t="n">
        <v>5.237</v>
      </c>
    </row>
    <row r="3652" customFormat="false" ht="15" hidden="false" customHeight="false" outlineLevel="0" collapsed="false">
      <c r="B3652" s="36" t="n">
        <v>44389</v>
      </c>
      <c r="C3652" s="37" t="n">
        <v>5.2233</v>
      </c>
    </row>
    <row r="3653" customFormat="false" ht="15" hidden="false" customHeight="false" outlineLevel="0" collapsed="false">
      <c r="B3653" s="36" t="n">
        <v>44390</v>
      </c>
      <c r="C3653" s="37" t="n">
        <v>5.1764</v>
      </c>
    </row>
    <row r="3654" customFormat="false" ht="15" hidden="false" customHeight="false" outlineLevel="0" collapsed="false">
      <c r="B3654" s="36" t="n">
        <v>44391</v>
      </c>
      <c r="C3654" s="37" t="n">
        <v>5.0874</v>
      </c>
    </row>
    <row r="3655" customFormat="false" ht="15" hidden="false" customHeight="false" outlineLevel="0" collapsed="false">
      <c r="B3655" s="36" t="n">
        <v>44392</v>
      </c>
      <c r="C3655" s="37" t="n">
        <v>5.0994</v>
      </c>
    </row>
    <row r="3656" customFormat="false" ht="15" hidden="false" customHeight="false" outlineLevel="0" collapsed="false">
      <c r="B3656" s="36" t="n">
        <v>44393</v>
      </c>
      <c r="C3656" s="37" t="n">
        <v>5.0935</v>
      </c>
    </row>
    <row r="3657" customFormat="false" ht="15" hidden="false" customHeight="false" outlineLevel="0" collapsed="false">
      <c r="B3657" s="36" t="n">
        <v>44396</v>
      </c>
      <c r="C3657" s="37" t="n">
        <v>5.1972</v>
      </c>
    </row>
    <row r="3658" customFormat="false" ht="15" hidden="false" customHeight="false" outlineLevel="0" collapsed="false">
      <c r="B3658" s="36" t="n">
        <v>44397</v>
      </c>
      <c r="C3658" s="37" t="n">
        <v>5.2459</v>
      </c>
    </row>
    <row r="3659" customFormat="false" ht="15" hidden="false" customHeight="false" outlineLevel="0" collapsed="false">
      <c r="B3659" s="36" t="n">
        <v>44398</v>
      </c>
      <c r="C3659" s="37" t="n">
        <v>5.251</v>
      </c>
    </row>
    <row r="3660" customFormat="false" ht="15" hidden="false" customHeight="false" outlineLevel="0" collapsed="false">
      <c r="B3660" s="36" t="n">
        <v>44399</v>
      </c>
      <c r="C3660" s="37" t="n">
        <v>5.1972</v>
      </c>
    </row>
    <row r="3661" customFormat="false" ht="15" hidden="false" customHeight="false" outlineLevel="0" collapsed="false">
      <c r="B3661" s="36" t="n">
        <v>44400</v>
      </c>
      <c r="C3661" s="37" t="n">
        <v>5.1695</v>
      </c>
    </row>
    <row r="3662" customFormat="false" ht="15" hidden="false" customHeight="false" outlineLevel="0" collapsed="false">
      <c r="B3662" s="36" t="n">
        <v>44403</v>
      </c>
      <c r="C3662" s="37" t="n">
        <v>5.1857</v>
      </c>
    </row>
    <row r="3663" customFormat="false" ht="15" hidden="false" customHeight="false" outlineLevel="0" collapsed="false">
      <c r="B3663" s="36" t="n">
        <v>44404</v>
      </c>
      <c r="C3663" s="37" t="n">
        <v>5.1663</v>
      </c>
    </row>
    <row r="3664" customFormat="false" ht="15" hidden="false" customHeight="false" outlineLevel="0" collapsed="false">
      <c r="B3664" s="36" t="n">
        <v>44405</v>
      </c>
      <c r="C3664" s="37" t="n">
        <v>5.1521</v>
      </c>
    </row>
    <row r="3665" customFormat="false" ht="15" hidden="false" customHeight="false" outlineLevel="0" collapsed="false">
      <c r="B3665" s="36" t="n">
        <v>44406</v>
      </c>
      <c r="C3665" s="37" t="n">
        <v>5.0676</v>
      </c>
    </row>
    <row r="3666" customFormat="false" ht="15" hidden="false" customHeight="false" outlineLevel="0" collapsed="false">
      <c r="B3666" s="36" t="n">
        <v>44407</v>
      </c>
      <c r="C3666" s="37" t="n">
        <v>5.121</v>
      </c>
    </row>
    <row r="3667" customFormat="false" ht="15" hidden="false" customHeight="false" outlineLevel="0" collapsed="false">
      <c r="B3667" s="36" t="n">
        <v>44410</v>
      </c>
      <c r="C3667" s="37" t="n">
        <v>5.1373</v>
      </c>
    </row>
    <row r="3668" customFormat="false" ht="15" hidden="false" customHeight="false" outlineLevel="0" collapsed="false">
      <c r="B3668" s="36" t="n">
        <v>44411</v>
      </c>
      <c r="C3668" s="37" t="n">
        <v>5.2458</v>
      </c>
    </row>
    <row r="3669" customFormat="false" ht="15" hidden="false" customHeight="false" outlineLevel="0" collapsed="false">
      <c r="B3669" s="36" t="n">
        <v>44412</v>
      </c>
      <c r="C3669" s="37" t="n">
        <v>5.2085</v>
      </c>
    </row>
    <row r="3670" customFormat="false" ht="15" hidden="false" customHeight="false" outlineLevel="0" collapsed="false">
      <c r="B3670" s="36" t="n">
        <v>44413</v>
      </c>
      <c r="C3670" s="37" t="n">
        <v>5.1459</v>
      </c>
    </row>
    <row r="3671" customFormat="false" ht="15" hidden="false" customHeight="false" outlineLevel="0" collapsed="false">
      <c r="B3671" s="36" t="n">
        <v>44414</v>
      </c>
      <c r="C3671" s="37" t="n">
        <v>5.2404</v>
      </c>
    </row>
    <row r="3672" customFormat="false" ht="15" hidden="false" customHeight="false" outlineLevel="0" collapsed="false">
      <c r="B3672" s="36" t="n">
        <v>44417</v>
      </c>
      <c r="C3672" s="37" t="n">
        <v>5.2768</v>
      </c>
    </row>
    <row r="3673" customFormat="false" ht="15" hidden="false" customHeight="false" outlineLevel="0" collapsed="false">
      <c r="B3673" s="36" t="n">
        <v>44418</v>
      </c>
      <c r="C3673" s="37" t="n">
        <v>5.2211</v>
      </c>
    </row>
    <row r="3674" customFormat="false" ht="15" hidden="false" customHeight="false" outlineLevel="0" collapsed="false">
      <c r="B3674" s="36" t="n">
        <v>44419</v>
      </c>
      <c r="C3674" s="37" t="n">
        <v>5.2007</v>
      </c>
    </row>
    <row r="3675" customFormat="false" ht="15" hidden="false" customHeight="false" outlineLevel="0" collapsed="false">
      <c r="B3675" s="36" t="n">
        <v>44420</v>
      </c>
      <c r="C3675" s="37" t="n">
        <v>5.2345</v>
      </c>
    </row>
    <row r="3676" customFormat="false" ht="15" hidden="false" customHeight="false" outlineLevel="0" collapsed="false">
      <c r="B3676" s="36" t="n">
        <v>44421</v>
      </c>
      <c r="C3676" s="37" t="n">
        <v>5.2468</v>
      </c>
    </row>
    <row r="3677" customFormat="false" ht="15" hidden="false" customHeight="false" outlineLevel="0" collapsed="false">
      <c r="B3677" s="36" t="n">
        <v>44424</v>
      </c>
      <c r="C3677" s="37" t="n">
        <v>5.2489</v>
      </c>
    </row>
    <row r="3678" customFormat="false" ht="15" hidden="false" customHeight="false" outlineLevel="0" collapsed="false">
      <c r="B3678" s="36" t="n">
        <v>44425</v>
      </c>
      <c r="C3678" s="37" t="n">
        <v>5.2579</v>
      </c>
    </row>
    <row r="3679" customFormat="false" ht="15" hidden="false" customHeight="false" outlineLevel="0" collapsed="false">
      <c r="B3679" s="36" t="n">
        <v>44426</v>
      </c>
      <c r="C3679" s="37" t="n">
        <v>5.3019</v>
      </c>
    </row>
    <row r="3680" customFormat="false" ht="15" hidden="false" customHeight="false" outlineLevel="0" collapsed="false">
      <c r="B3680" s="36" t="n">
        <v>44427</v>
      </c>
      <c r="C3680" s="37" t="n">
        <v>5.4174</v>
      </c>
    </row>
    <row r="3681" customFormat="false" ht="15" hidden="false" customHeight="false" outlineLevel="0" collapsed="false">
      <c r="B3681" s="36" t="n">
        <v>44428</v>
      </c>
      <c r="C3681" s="37" t="n">
        <v>5.4268</v>
      </c>
    </row>
    <row r="3682" customFormat="false" ht="15" hidden="false" customHeight="false" outlineLevel="0" collapsed="false">
      <c r="B3682" s="36" t="n">
        <v>44431</v>
      </c>
      <c r="C3682" s="37" t="n">
        <v>5.368</v>
      </c>
    </row>
    <row r="3683" customFormat="false" ht="15" hidden="false" customHeight="false" outlineLevel="0" collapsed="false">
      <c r="B3683" s="36" t="n">
        <v>44432</v>
      </c>
      <c r="C3683" s="37" t="n">
        <v>5.3011</v>
      </c>
    </row>
    <row r="3684" customFormat="false" ht="15" hidden="false" customHeight="false" outlineLevel="0" collapsed="false">
      <c r="B3684" s="36" t="n">
        <v>44433</v>
      </c>
      <c r="C3684" s="37" t="n">
        <v>5.2459</v>
      </c>
    </row>
    <row r="3685" customFormat="false" ht="15" hidden="false" customHeight="false" outlineLevel="0" collapsed="false">
      <c r="B3685" s="36" t="n">
        <v>44434</v>
      </c>
      <c r="C3685" s="37" t="n">
        <v>5.2423</v>
      </c>
    </row>
    <row r="3686" customFormat="false" ht="15" hidden="false" customHeight="false" outlineLevel="0" collapsed="false">
      <c r="B3686" s="36" t="n">
        <v>44435</v>
      </c>
      <c r="C3686" s="37" t="n">
        <v>5.2194</v>
      </c>
    </row>
    <row r="3687" customFormat="false" ht="15" hidden="false" customHeight="false" outlineLevel="0" collapsed="false">
      <c r="B3687" s="36" t="n">
        <v>44438</v>
      </c>
      <c r="C3687" s="37" t="n">
        <v>5.1946</v>
      </c>
    </row>
    <row r="3688" customFormat="false" ht="15" hidden="false" customHeight="false" outlineLevel="0" collapsed="false">
      <c r="B3688" s="36" t="n">
        <v>44439</v>
      </c>
      <c r="C3688" s="37" t="n">
        <v>5.1427</v>
      </c>
    </row>
    <row r="3689" customFormat="false" ht="15" hidden="false" customHeight="false" outlineLevel="0" collapsed="false">
      <c r="B3689" s="36" t="n">
        <v>44440</v>
      </c>
      <c r="C3689" s="37" t="n">
        <v>5.157</v>
      </c>
    </row>
    <row r="3690" customFormat="false" ht="15" hidden="false" customHeight="false" outlineLevel="0" collapsed="false">
      <c r="B3690" s="36" t="n">
        <v>44441</v>
      </c>
      <c r="C3690" s="37" t="n">
        <v>5.1729</v>
      </c>
    </row>
    <row r="3691" customFormat="false" ht="15" hidden="false" customHeight="false" outlineLevel="0" collapsed="false">
      <c r="B3691" s="36" t="n">
        <v>44442</v>
      </c>
      <c r="C3691" s="37" t="n">
        <v>5.1679</v>
      </c>
    </row>
    <row r="3692" customFormat="false" ht="15" hidden="false" customHeight="false" outlineLevel="0" collapsed="false">
      <c r="B3692" s="36" t="n">
        <v>44445</v>
      </c>
      <c r="C3692" s="37" t="n">
        <v>5.1767</v>
      </c>
    </row>
    <row r="3693" customFormat="false" ht="15" hidden="false" customHeight="false" outlineLevel="0" collapsed="false">
      <c r="B3693" s="36" t="n">
        <v>44447</v>
      </c>
      <c r="C3693" s="37" t="n">
        <v>5.2518</v>
      </c>
    </row>
    <row r="3694" customFormat="false" ht="15" hidden="false" customHeight="false" outlineLevel="0" collapsed="false">
      <c r="B3694" s="36" t="n">
        <v>44448</v>
      </c>
      <c r="C3694" s="37" t="n">
        <v>5.2819</v>
      </c>
    </row>
    <row r="3695" customFormat="false" ht="15" hidden="false" customHeight="false" outlineLevel="0" collapsed="false">
      <c r="B3695" s="36" t="n">
        <v>44449</v>
      </c>
      <c r="C3695" s="37" t="n">
        <v>5.2152</v>
      </c>
    </row>
    <row r="3696" customFormat="false" ht="15" hidden="false" customHeight="false" outlineLevel="0" collapsed="false">
      <c r="B3696" s="36" t="n">
        <v>44452</v>
      </c>
      <c r="C3696" s="37" t="n">
        <v>5.2184</v>
      </c>
    </row>
    <row r="3697" customFormat="false" ht="15" hidden="false" customHeight="false" outlineLevel="0" collapsed="false">
      <c r="B3697" s="36" t="n">
        <v>44453</v>
      </c>
      <c r="C3697" s="37" t="n">
        <v>5.2254</v>
      </c>
    </row>
    <row r="3698" customFormat="false" ht="15" hidden="false" customHeight="false" outlineLevel="0" collapsed="false">
      <c r="B3698" s="36" t="n">
        <v>44454</v>
      </c>
      <c r="C3698" s="37" t="n">
        <v>5.257</v>
      </c>
    </row>
    <row r="3699" customFormat="false" ht="15" hidden="false" customHeight="false" outlineLevel="0" collapsed="false">
      <c r="B3699" s="36" t="n">
        <v>44455</v>
      </c>
      <c r="C3699" s="37" t="n">
        <v>5.2588</v>
      </c>
    </row>
    <row r="3700" customFormat="false" ht="15" hidden="false" customHeight="false" outlineLevel="0" collapsed="false">
      <c r="B3700" s="36" t="n">
        <v>44456</v>
      </c>
      <c r="C3700" s="37" t="n">
        <v>5.3097</v>
      </c>
    </row>
    <row r="3701" customFormat="false" ht="15" hidden="false" customHeight="false" outlineLevel="0" collapsed="false">
      <c r="B3701" s="36" t="n">
        <v>44459</v>
      </c>
      <c r="C3701" s="37" t="n">
        <v>5.3326</v>
      </c>
    </row>
    <row r="3702" customFormat="false" ht="15" hidden="false" customHeight="false" outlineLevel="0" collapsed="false">
      <c r="B3702" s="36" t="n">
        <v>44460</v>
      </c>
      <c r="C3702" s="37" t="n">
        <v>5.3038</v>
      </c>
    </row>
    <row r="3703" customFormat="false" ht="15" hidden="false" customHeight="false" outlineLevel="0" collapsed="false">
      <c r="B3703" s="36" t="n">
        <v>44461</v>
      </c>
      <c r="C3703" s="37" t="n">
        <v>5.2777</v>
      </c>
    </row>
    <row r="3704" customFormat="false" ht="15" hidden="false" customHeight="false" outlineLevel="0" collapsed="false">
      <c r="B3704" s="36" t="n">
        <v>44462</v>
      </c>
      <c r="C3704" s="37" t="n">
        <v>5.2885</v>
      </c>
    </row>
    <row r="3705" customFormat="false" ht="15" hidden="false" customHeight="false" outlineLevel="0" collapsed="false">
      <c r="B3705" s="36" t="n">
        <v>44463</v>
      </c>
      <c r="C3705" s="37" t="n">
        <v>5.3429</v>
      </c>
    </row>
    <row r="3706" customFormat="false" ht="15" hidden="false" customHeight="false" outlineLevel="0" collapsed="false">
      <c r="B3706" s="36" t="n">
        <v>44466</v>
      </c>
      <c r="C3706" s="37" t="n">
        <v>5.3472</v>
      </c>
    </row>
    <row r="3707" customFormat="false" ht="15" hidden="false" customHeight="false" outlineLevel="0" collapsed="false">
      <c r="B3707" s="36" t="n">
        <v>44467</v>
      </c>
      <c r="C3707" s="37" t="n">
        <v>5.42</v>
      </c>
    </row>
    <row r="3708" customFormat="false" ht="15" hidden="false" customHeight="false" outlineLevel="0" collapsed="false">
      <c r="B3708" s="36" t="n">
        <v>44468</v>
      </c>
      <c r="C3708" s="37" t="n">
        <v>5.4167</v>
      </c>
    </row>
    <row r="3709" customFormat="false" ht="15" hidden="false" customHeight="false" outlineLevel="0" collapsed="false">
      <c r="B3709" s="36" t="n">
        <v>44469</v>
      </c>
      <c r="C3709" s="37" t="n">
        <v>5.4388</v>
      </c>
    </row>
    <row r="3710" customFormat="false" ht="15" hidden="false" customHeight="false" outlineLevel="0" collapsed="false">
      <c r="B3710" s="36" t="n">
        <v>44470</v>
      </c>
      <c r="C3710" s="37" t="n">
        <v>5.3905</v>
      </c>
    </row>
    <row r="3711" customFormat="false" ht="15" hidden="false" customHeight="false" outlineLevel="0" collapsed="false">
      <c r="B3711" s="36" t="n">
        <v>44473</v>
      </c>
      <c r="C3711" s="37" t="n">
        <v>5.4198</v>
      </c>
    </row>
    <row r="3712" customFormat="false" ht="15" hidden="false" customHeight="false" outlineLevel="0" collapsed="false">
      <c r="B3712" s="36" t="n">
        <v>44474</v>
      </c>
      <c r="C3712" s="37" t="n">
        <v>5.4605</v>
      </c>
    </row>
    <row r="3713" customFormat="false" ht="15" hidden="false" customHeight="false" outlineLevel="0" collapsed="false">
      <c r="B3713" s="36" t="n">
        <v>44475</v>
      </c>
      <c r="C3713" s="37" t="n">
        <v>5.5091</v>
      </c>
    </row>
    <row r="3714" customFormat="false" ht="15" hidden="false" customHeight="false" outlineLevel="0" collapsed="false">
      <c r="B3714" s="36" t="n">
        <v>44476</v>
      </c>
      <c r="C3714" s="37" t="n">
        <v>5.5134</v>
      </c>
    </row>
    <row r="3715" customFormat="false" ht="15" hidden="false" customHeight="false" outlineLevel="0" collapsed="false">
      <c r="B3715" s="36" t="n">
        <v>44477</v>
      </c>
      <c r="C3715" s="37" t="n">
        <v>5.5078</v>
      </c>
    </row>
    <row r="3716" customFormat="false" ht="15" hidden="false" customHeight="false" outlineLevel="0" collapsed="false">
      <c r="B3716" s="36" t="n">
        <v>44480</v>
      </c>
      <c r="C3716" s="37" t="n">
        <v>5.5155</v>
      </c>
    </row>
    <row r="3717" customFormat="false" ht="15" hidden="false" customHeight="false" outlineLevel="0" collapsed="false">
      <c r="B3717" s="36" t="n">
        <v>44482</v>
      </c>
      <c r="C3717" s="37" t="n">
        <v>5.5464</v>
      </c>
    </row>
    <row r="3718" customFormat="false" ht="15" hidden="false" customHeight="false" outlineLevel="0" collapsed="false">
      <c r="B3718" s="36" t="n">
        <v>44483</v>
      </c>
      <c r="C3718" s="37" t="n">
        <v>5.4982</v>
      </c>
    </row>
    <row r="3719" customFormat="false" ht="15" hidden="false" customHeight="false" outlineLevel="0" collapsed="false">
      <c r="B3719" s="36" t="n">
        <v>44484</v>
      </c>
      <c r="C3719" s="37" t="n">
        <v>5.4504</v>
      </c>
    </row>
    <row r="3720" customFormat="false" ht="15" hidden="false" customHeight="false" outlineLevel="0" collapsed="false">
      <c r="B3720" s="36" t="n">
        <v>44487</v>
      </c>
      <c r="C3720" s="37" t="n">
        <v>5.5187</v>
      </c>
    </row>
    <row r="3721" customFormat="false" ht="15" hidden="false" customHeight="false" outlineLevel="0" collapsed="false">
      <c r="B3721" s="36" t="n">
        <v>44488</v>
      </c>
      <c r="C3721" s="37" t="n">
        <v>5.5515</v>
      </c>
    </row>
    <row r="3722" customFormat="false" ht="15" hidden="false" customHeight="false" outlineLevel="0" collapsed="false">
      <c r="B3722" s="36" t="n">
        <v>44489</v>
      </c>
      <c r="C3722" s="37" t="n">
        <v>5.5565</v>
      </c>
    </row>
    <row r="3723" customFormat="false" ht="15" hidden="false" customHeight="false" outlineLevel="0" collapsed="false">
      <c r="B3723" s="36" t="n">
        <v>44490</v>
      </c>
      <c r="C3723" s="37" t="n">
        <v>5.6417</v>
      </c>
    </row>
    <row r="3724" customFormat="false" ht="15" hidden="false" customHeight="false" outlineLevel="0" collapsed="false">
      <c r="B3724" s="36" t="n">
        <v>44491</v>
      </c>
      <c r="C3724" s="37" t="n">
        <v>5.7111</v>
      </c>
    </row>
    <row r="3725" customFormat="false" ht="15" hidden="false" customHeight="false" outlineLevel="0" collapsed="false">
      <c r="B3725" s="36" t="n">
        <v>44494</v>
      </c>
      <c r="C3725" s="37" t="n">
        <v>5.5967</v>
      </c>
    </row>
    <row r="3726" customFormat="false" ht="15" hidden="false" customHeight="false" outlineLevel="0" collapsed="false">
      <c r="B3726" s="36" t="n">
        <v>44495</v>
      </c>
      <c r="C3726" s="37" t="n">
        <v>5.5794</v>
      </c>
    </row>
    <row r="3727" customFormat="false" ht="15" hidden="false" customHeight="false" outlineLevel="0" collapsed="false">
      <c r="B3727" s="36" t="n">
        <v>44496</v>
      </c>
      <c r="C3727" s="37" t="n">
        <v>5.5661</v>
      </c>
    </row>
    <row r="3728" customFormat="false" ht="15" hidden="false" customHeight="false" outlineLevel="0" collapsed="false">
      <c r="B3728" s="36" t="n">
        <v>44497</v>
      </c>
      <c r="C3728" s="37" t="n">
        <v>5.6118</v>
      </c>
    </row>
    <row r="3729" customFormat="false" ht="15" hidden="false" customHeight="false" outlineLevel="0" collapsed="false">
      <c r="B3729" s="36" t="n">
        <v>44498</v>
      </c>
      <c r="C3729" s="37" t="n">
        <v>5.6424</v>
      </c>
    </row>
    <row r="3730" customFormat="false" ht="15" hidden="false" customHeight="false" outlineLevel="0" collapsed="false">
      <c r="B3730" s="36" t="n">
        <v>44501</v>
      </c>
      <c r="C3730" s="37" t="n">
        <v>5.6688</v>
      </c>
    </row>
    <row r="3731" customFormat="false" ht="15" hidden="false" customHeight="false" outlineLevel="0" collapsed="false">
      <c r="B3731" s="36" t="n">
        <v>44503</v>
      </c>
      <c r="C3731" s="37" t="n">
        <v>5.6666</v>
      </c>
    </row>
    <row r="3732" customFormat="false" ht="15" hidden="false" customHeight="false" outlineLevel="0" collapsed="false">
      <c r="B3732" s="36" t="n">
        <v>44504</v>
      </c>
      <c r="C3732" s="37" t="n">
        <v>5.5936</v>
      </c>
    </row>
    <row r="3733" customFormat="false" ht="15" hidden="false" customHeight="false" outlineLevel="0" collapsed="false">
      <c r="B3733" s="36" t="n">
        <v>44505</v>
      </c>
      <c r="C3733" s="37" t="n">
        <v>5.5449</v>
      </c>
    </row>
    <row r="3734" customFormat="false" ht="15" hidden="false" customHeight="false" outlineLevel="0" collapsed="false">
      <c r="B3734" s="36" t="n">
        <v>44508</v>
      </c>
      <c r="C3734" s="37" t="n">
        <v>5.5621</v>
      </c>
    </row>
    <row r="3735" customFormat="false" ht="15" hidden="false" customHeight="false" outlineLevel="0" collapsed="false">
      <c r="B3735" s="36" t="n">
        <v>44509</v>
      </c>
      <c r="C3735" s="37" t="n">
        <v>5.4951</v>
      </c>
    </row>
    <row r="3736" customFormat="false" ht="15" hidden="false" customHeight="false" outlineLevel="0" collapsed="false">
      <c r="B3736" s="36" t="n">
        <v>44510</v>
      </c>
      <c r="C3736" s="37" t="n">
        <v>5.4584</v>
      </c>
    </row>
    <row r="3737" customFormat="false" ht="15" hidden="false" customHeight="false" outlineLevel="0" collapsed="false">
      <c r="B3737" s="36" t="n">
        <v>44511</v>
      </c>
      <c r="C3737" s="37" t="n">
        <v>5.4165</v>
      </c>
    </row>
    <row r="3738" customFormat="false" ht="15" hidden="false" customHeight="false" outlineLevel="0" collapsed="false">
      <c r="B3738" s="36" t="n">
        <v>44512</v>
      </c>
      <c r="C3738" s="37" t="n">
        <v>5.4193</v>
      </c>
    </row>
    <row r="3739" customFormat="false" ht="15" hidden="false" customHeight="false" outlineLevel="0" collapsed="false">
      <c r="B3739" s="36" t="n">
        <v>44516</v>
      </c>
      <c r="C3739" s="37" t="n">
        <v>5.4766</v>
      </c>
    </row>
    <row r="3740" customFormat="false" ht="15" hidden="false" customHeight="false" outlineLevel="0" collapsed="false">
      <c r="B3740" s="36" t="n">
        <v>44517</v>
      </c>
      <c r="C3740" s="37" t="n">
        <v>5.4987</v>
      </c>
    </row>
    <row r="3741" customFormat="false" ht="15" hidden="false" customHeight="false" outlineLevel="0" collapsed="false">
      <c r="B3741" s="36" t="n">
        <v>44518</v>
      </c>
      <c r="C3741" s="37" t="n">
        <v>5.5464</v>
      </c>
    </row>
    <row r="3742" customFormat="false" ht="15" hidden="false" customHeight="false" outlineLevel="0" collapsed="false">
      <c r="B3742" s="36" t="n">
        <v>44519</v>
      </c>
      <c r="C3742" s="37" t="n">
        <v>5.5578</v>
      </c>
    </row>
    <row r="3743" customFormat="false" ht="15" hidden="false" customHeight="false" outlineLevel="0" collapsed="false">
      <c r="B3743" s="36" t="n">
        <v>44522</v>
      </c>
      <c r="C3743" s="37" t="n">
        <v>5.5835</v>
      </c>
    </row>
    <row r="3744" customFormat="false" ht="15" hidden="false" customHeight="false" outlineLevel="0" collapsed="false">
      <c r="B3744" s="36" t="n">
        <v>44523</v>
      </c>
      <c r="C3744" s="37" t="n">
        <v>5.645</v>
      </c>
    </row>
    <row r="3745" customFormat="false" ht="15" hidden="false" customHeight="false" outlineLevel="0" collapsed="false">
      <c r="B3745" s="36" t="n">
        <v>44524</v>
      </c>
      <c r="C3745" s="37" t="n">
        <v>5.6021</v>
      </c>
    </row>
    <row r="3746" customFormat="false" ht="15" hidden="false" customHeight="false" outlineLevel="0" collapsed="false">
      <c r="B3746" s="36" t="n">
        <v>44525</v>
      </c>
      <c r="C3746" s="37" t="n">
        <v>5.5734</v>
      </c>
    </row>
    <row r="3747" customFormat="false" ht="15" hidden="false" customHeight="false" outlineLevel="0" collapsed="false">
      <c r="B3747" s="36" t="n">
        <v>44526</v>
      </c>
      <c r="C3747" s="37" t="n">
        <v>5.5859</v>
      </c>
    </row>
    <row r="3748" customFormat="false" ht="15" hidden="false" customHeight="false" outlineLevel="0" collapsed="false">
      <c r="B3748" s="36" t="n">
        <v>44529</v>
      </c>
      <c r="C3748" s="37" t="n">
        <v>5.6112</v>
      </c>
    </row>
    <row r="3749" customFormat="false" ht="15" hidden="false" customHeight="false" outlineLevel="0" collapsed="false">
      <c r="B3749" s="36" t="n">
        <v>44530</v>
      </c>
      <c r="C3749" s="37" t="n">
        <v>5.6193</v>
      </c>
    </row>
    <row r="3750" customFormat="false" ht="15" hidden="false" customHeight="false" outlineLevel="0" collapsed="false">
      <c r="B3750" s="36" t="n">
        <v>44531</v>
      </c>
      <c r="C3750" s="37" t="n">
        <v>5.6162</v>
      </c>
    </row>
    <row r="3751" customFormat="false" ht="15" hidden="false" customHeight="false" outlineLevel="0" collapsed="false">
      <c r="B3751" s="36" t="n">
        <v>44532</v>
      </c>
      <c r="C3751" s="37" t="n">
        <v>5.6339</v>
      </c>
    </row>
    <row r="3752" customFormat="false" ht="15" hidden="false" customHeight="false" outlineLevel="0" collapsed="false">
      <c r="B3752" s="36" t="n">
        <v>44533</v>
      </c>
      <c r="C3752" s="37" t="n">
        <v>5.6426</v>
      </c>
    </row>
    <row r="3753" customFormat="false" ht="15" hidden="false" customHeight="false" outlineLevel="0" collapsed="false">
      <c r="B3753" s="36" t="n">
        <v>44536</v>
      </c>
      <c r="C3753" s="37" t="n">
        <v>5.6871</v>
      </c>
    </row>
    <row r="3754" customFormat="false" ht="15" hidden="false" customHeight="false" outlineLevel="0" collapsed="false">
      <c r="B3754" s="36" t="n">
        <v>44537</v>
      </c>
      <c r="C3754" s="37" t="n">
        <v>5.6405</v>
      </c>
    </row>
    <row r="3755" customFormat="false" ht="15" hidden="false" customHeight="false" outlineLevel="0" collapsed="false">
      <c r="B3755" s="36" t="n">
        <v>44538</v>
      </c>
      <c r="C3755" s="37" t="n">
        <v>5.5773</v>
      </c>
    </row>
    <row r="3756" customFormat="false" ht="15" hidden="false" customHeight="false" outlineLevel="0" collapsed="false">
      <c r="B3756" s="36" t="n">
        <v>44539</v>
      </c>
      <c r="C3756" s="37" t="n">
        <v>5.5558</v>
      </c>
    </row>
    <row r="3757" customFormat="false" ht="15" hidden="false" customHeight="false" outlineLevel="0" collapsed="false">
      <c r="B3757" s="36" t="n">
        <v>44540</v>
      </c>
      <c r="C3757" s="37" t="n">
        <v>5.5925</v>
      </c>
    </row>
    <row r="3758" customFormat="false" ht="15" hidden="false" customHeight="false" outlineLevel="0" collapsed="false">
      <c r="B3758" s="36" t="n">
        <v>44543</v>
      </c>
      <c r="C3758" s="37" t="n">
        <v>5.6351</v>
      </c>
    </row>
    <row r="3759" customFormat="false" ht="15" hidden="false" customHeight="false" outlineLevel="0" collapsed="false">
      <c r="B3759" s="36" t="n">
        <v>44544</v>
      </c>
      <c r="C3759" s="37" t="n">
        <v>5.6455</v>
      </c>
    </row>
    <row r="3760" customFormat="false" ht="15" hidden="false" customHeight="false" outlineLevel="0" collapsed="false">
      <c r="B3760" s="36" t="n">
        <v>44545</v>
      </c>
      <c r="C3760" s="37" t="n">
        <v>5.7121</v>
      </c>
    </row>
    <row r="3761" customFormat="false" ht="15" hidden="false" customHeight="false" outlineLevel="0" collapsed="false">
      <c r="B3761" s="36" t="n">
        <v>44546</v>
      </c>
      <c r="C3761" s="37" t="n">
        <v>5.6957</v>
      </c>
    </row>
    <row r="3762" customFormat="false" ht="15" hidden="false" customHeight="false" outlineLevel="0" collapsed="false">
      <c r="B3762" s="36" t="n">
        <v>44547</v>
      </c>
      <c r="C3762" s="37" t="n">
        <v>5.6953</v>
      </c>
    </row>
    <row r="3763" customFormat="false" ht="15" hidden="false" customHeight="false" outlineLevel="0" collapsed="false">
      <c r="B3763" s="36" t="n">
        <v>44550</v>
      </c>
      <c r="C3763" s="37" t="n">
        <v>5.7049</v>
      </c>
    </row>
    <row r="3764" customFormat="false" ht="15" hidden="false" customHeight="false" outlineLevel="0" collapsed="false">
      <c r="B3764" s="36" t="n">
        <v>44551</v>
      </c>
      <c r="C3764" s="37" t="n">
        <v>5.7367</v>
      </c>
    </row>
    <row r="3765" customFormat="false" ht="15" hidden="false" customHeight="false" outlineLevel="0" collapsed="false">
      <c r="B3765" s="36" t="n">
        <v>44552</v>
      </c>
      <c r="C3765" s="37" t="n">
        <v>5.7195</v>
      </c>
    </row>
    <row r="3766" customFormat="false" ht="15" hidden="false" customHeight="false" outlineLevel="0" collapsed="false">
      <c r="B3766" s="36" t="n">
        <v>44553</v>
      </c>
      <c r="C3766" s="37" t="n">
        <v>5.6904</v>
      </c>
    </row>
    <row r="3767" customFormat="false" ht="15" hidden="false" customHeight="false" outlineLevel="0" collapsed="false">
      <c r="B3767" s="36" t="n">
        <v>44554</v>
      </c>
      <c r="C3767" s="37" t="n">
        <v>5.6541</v>
      </c>
    </row>
    <row r="3768" customFormat="false" ht="15" hidden="false" customHeight="false" outlineLevel="0" collapsed="false">
      <c r="B3768" s="36" t="n">
        <v>44557</v>
      </c>
      <c r="C3768" s="37" t="n">
        <v>5.6644</v>
      </c>
    </row>
    <row r="3769" customFormat="false" ht="15" hidden="false" customHeight="false" outlineLevel="0" collapsed="false">
      <c r="B3769" s="36" t="n">
        <v>44558</v>
      </c>
      <c r="C3769" s="37" t="n">
        <v>5.6432</v>
      </c>
    </row>
    <row r="3770" customFormat="false" ht="15" hidden="false" customHeight="false" outlineLevel="0" collapsed="false">
      <c r="B3770" s="36" t="n">
        <v>44559</v>
      </c>
      <c r="C3770" s="37" t="n">
        <v>5.6613</v>
      </c>
    </row>
    <row r="3771" customFormat="false" ht="15" hidden="false" customHeight="false" outlineLevel="0" collapsed="false">
      <c r="B3771" s="36" t="n">
        <v>44560</v>
      </c>
      <c r="C3771" s="37" t="n">
        <v>5.5799</v>
      </c>
    </row>
    <row r="3772" customFormat="false" ht="15" hidden="false" customHeight="false" outlineLevel="0" collapsed="false">
      <c r="B3772" s="36" t="n">
        <v>44561</v>
      </c>
      <c r="C3772" s="37" t="n">
        <v>5.5799</v>
      </c>
    </row>
    <row r="3773" customFormat="false" ht="15" hidden="false" customHeight="false" outlineLevel="0" collapsed="false">
      <c r="B3773" s="36" t="n">
        <v>44564</v>
      </c>
      <c r="C3773" s="37" t="n">
        <v>5.6303</v>
      </c>
    </row>
    <row r="3774" customFormat="false" ht="15" hidden="false" customHeight="false" outlineLevel="0" collapsed="false">
      <c r="B3774" s="36" t="n">
        <v>44565</v>
      </c>
      <c r="C3774" s="37" t="n">
        <v>5.677</v>
      </c>
    </row>
    <row r="3775" customFormat="false" ht="15" hidden="false" customHeight="false" outlineLevel="0" collapsed="false">
      <c r="B3775" s="36" t="n">
        <v>44566</v>
      </c>
      <c r="C3775" s="37" t="n">
        <v>5.6622</v>
      </c>
    </row>
    <row r="3776" customFormat="false" ht="15" hidden="false" customHeight="false" outlineLevel="0" collapsed="false">
      <c r="B3776" s="36" t="n">
        <v>44567</v>
      </c>
      <c r="C3776" s="37" t="n">
        <v>5.7036</v>
      </c>
    </row>
    <row r="3777" customFormat="false" ht="15" hidden="false" customHeight="false" outlineLevel="0" collapsed="false">
      <c r="B3777" s="36" t="n">
        <v>44568</v>
      </c>
      <c r="C3777" s="37" t="n">
        <v>5.6747</v>
      </c>
    </row>
    <row r="3778" customFormat="false" ht="15" hidden="false" customHeight="false" outlineLevel="0" collapsed="false">
      <c r="B3778" s="36" t="n">
        <v>44571</v>
      </c>
      <c r="C3778" s="37" t="n">
        <v>5.673</v>
      </c>
    </row>
    <row r="3779" customFormat="false" ht="15" hidden="false" customHeight="false" outlineLevel="0" collapsed="false">
      <c r="B3779" s="36" t="n">
        <v>44572</v>
      </c>
      <c r="C3779" s="37" t="n">
        <v>5.6345</v>
      </c>
    </row>
    <row r="3780" customFormat="false" ht="15" hidden="false" customHeight="false" outlineLevel="0" collapsed="false">
      <c r="B3780" s="36" t="n">
        <v>44573</v>
      </c>
      <c r="C3780" s="37" t="n">
        <v>5.5605</v>
      </c>
    </row>
    <row r="3781" customFormat="false" ht="15" hidden="false" customHeight="false" outlineLevel="0" collapsed="false">
      <c r="B3781" s="36" t="n">
        <v>44574</v>
      </c>
      <c r="C3781" s="37" t="n">
        <v>5.524</v>
      </c>
    </row>
    <row r="3782" customFormat="false" ht="15" hidden="false" customHeight="false" outlineLevel="0" collapsed="false">
      <c r="B3782" s="36" t="n">
        <v>44575</v>
      </c>
      <c r="C3782" s="37" t="n">
        <v>5.5343</v>
      </c>
    </row>
    <row r="3783" customFormat="false" ht="15" hidden="false" customHeight="false" outlineLevel="0" collapsed="false">
      <c r="B3783" s="36" t="n">
        <v>44578</v>
      </c>
      <c r="C3783" s="37" t="n">
        <v>5.5052</v>
      </c>
    </row>
    <row r="3784" customFormat="false" ht="15" hidden="false" customHeight="false" outlineLevel="0" collapsed="false">
      <c r="B3784" s="36" t="n">
        <v>44579</v>
      </c>
      <c r="C3784" s="37" t="n">
        <v>5.5207</v>
      </c>
    </row>
    <row r="3785" customFormat="false" ht="15" hidden="false" customHeight="false" outlineLevel="0" collapsed="false">
      <c r="B3785" s="36" t="n">
        <v>44580</v>
      </c>
      <c r="C3785" s="37" t="n">
        <v>5.4972</v>
      </c>
    </row>
    <row r="3786" customFormat="false" ht="15" hidden="false" customHeight="false" outlineLevel="0" collapsed="false">
      <c r="B3786" s="36" t="n">
        <v>44581</v>
      </c>
      <c r="C3786" s="37" t="n">
        <v>5.416</v>
      </c>
    </row>
    <row r="3787" customFormat="false" ht="15" hidden="false" customHeight="false" outlineLevel="0" collapsed="false">
      <c r="B3787" s="36" t="n">
        <v>44582</v>
      </c>
      <c r="C3787" s="37" t="n">
        <v>5.4395</v>
      </c>
    </row>
    <row r="3788" customFormat="false" ht="15" hidden="false" customHeight="false" outlineLevel="0" collapsed="false">
      <c r="B3788" s="36" t="n">
        <v>44585</v>
      </c>
      <c r="C3788" s="37" t="n">
        <v>5.4904</v>
      </c>
    </row>
    <row r="3789" customFormat="false" ht="15" hidden="false" customHeight="false" outlineLevel="0" collapsed="false">
      <c r="B3789" s="36" t="n">
        <v>44586</v>
      </c>
      <c r="C3789" s="37" t="n">
        <v>5.4965</v>
      </c>
    </row>
    <row r="3790" customFormat="false" ht="15" hidden="false" customHeight="false" outlineLevel="0" collapsed="false">
      <c r="B3790" s="36" t="n">
        <v>44587</v>
      </c>
      <c r="C3790" s="37" t="n">
        <v>5.4318</v>
      </c>
    </row>
    <row r="3791" customFormat="false" ht="15" hidden="false" customHeight="false" outlineLevel="0" collapsed="false">
      <c r="B3791" s="36" t="n">
        <v>44588</v>
      </c>
      <c r="C3791" s="37" t="n">
        <v>5.3806</v>
      </c>
    </row>
    <row r="3792" customFormat="false" ht="15" hidden="false" customHeight="false" outlineLevel="0" collapsed="false">
      <c r="B3792" s="36" t="n">
        <v>44589</v>
      </c>
      <c r="C3792" s="37" t="n">
        <v>5.3948</v>
      </c>
    </row>
    <row r="3793" customFormat="false" ht="15" hidden="false" customHeight="false" outlineLevel="0" collapsed="false">
      <c r="B3793" s="36" t="n">
        <v>44592</v>
      </c>
      <c r="C3793" s="37" t="n">
        <v>5.3568</v>
      </c>
    </row>
    <row r="3794" customFormat="false" ht="15" hidden="false" customHeight="false" outlineLevel="0" collapsed="false">
      <c r="B3794" s="36" t="n">
        <v>44593</v>
      </c>
      <c r="C3794" s="37" t="n">
        <v>5.2804</v>
      </c>
    </row>
    <row r="3795" customFormat="false" ht="15" hidden="false" customHeight="false" outlineLevel="0" collapsed="false">
      <c r="B3795" s="36" t="n">
        <v>44594</v>
      </c>
      <c r="C3795" s="37" t="n">
        <v>5.295</v>
      </c>
    </row>
    <row r="3796" customFormat="false" ht="15" hidden="false" customHeight="false" outlineLevel="0" collapsed="false">
      <c r="B3796" s="36" t="n">
        <v>44595</v>
      </c>
      <c r="C3796" s="37" t="n">
        <v>5.3019</v>
      </c>
    </row>
    <row r="3797" customFormat="false" ht="15" hidden="false" customHeight="false" outlineLevel="0" collapsed="false">
      <c r="B3797" s="36" t="n">
        <v>44596</v>
      </c>
      <c r="C3797" s="37" t="n">
        <v>5.3278</v>
      </c>
    </row>
    <row r="3798" customFormat="false" ht="15" hidden="false" customHeight="false" outlineLevel="0" collapsed="false">
      <c r="B3798" s="36" t="n">
        <v>44599</v>
      </c>
      <c r="C3798" s="37" t="n">
        <v>5.2907</v>
      </c>
    </row>
    <row r="3799" customFormat="false" ht="15" hidden="false" customHeight="false" outlineLevel="0" collapsed="false">
      <c r="B3799" s="36" t="n">
        <v>44600</v>
      </c>
      <c r="C3799" s="37" t="n">
        <v>5.2693</v>
      </c>
    </row>
    <row r="3800" customFormat="false" ht="15" hidden="false" customHeight="false" outlineLevel="0" collapsed="false">
      <c r="B3800" s="36" t="n">
        <v>44601</v>
      </c>
      <c r="C3800" s="37" t="n">
        <v>5.2729</v>
      </c>
    </row>
    <row r="3801" customFormat="false" ht="15" hidden="false" customHeight="false" outlineLevel="0" collapsed="false">
      <c r="B3801" s="36" t="n">
        <v>44602</v>
      </c>
      <c r="C3801" s="37" t="n">
        <v>5.2095</v>
      </c>
    </row>
    <row r="3802" customFormat="false" ht="15" hidden="false" customHeight="false" outlineLevel="0" collapsed="false">
      <c r="B3802" s="36" t="n">
        <v>44603</v>
      </c>
      <c r="C3802" s="37" t="n">
        <v>5.1981</v>
      </c>
    </row>
    <row r="3803" customFormat="false" ht="15" hidden="false" customHeight="false" outlineLevel="0" collapsed="false">
      <c r="B3803" s="36" t="n">
        <v>44606</v>
      </c>
      <c r="C3803" s="37" t="n">
        <v>5.21</v>
      </c>
    </row>
    <row r="3804" customFormat="false" ht="15" hidden="false" customHeight="false" outlineLevel="0" collapsed="false">
      <c r="B3804" s="36" t="n">
        <v>44607</v>
      </c>
      <c r="C3804" s="37" t="n">
        <v>5.1875</v>
      </c>
    </row>
    <row r="3805" customFormat="false" ht="15" hidden="false" customHeight="false" outlineLevel="0" collapsed="false">
      <c r="B3805" s="36" t="n">
        <v>44608</v>
      </c>
      <c r="C3805" s="37" t="n">
        <v>5.1624</v>
      </c>
    </row>
    <row r="3806" customFormat="false" ht="15" hidden="false" customHeight="false" outlineLevel="0" collapsed="false">
      <c r="B3806" s="36" t="n">
        <v>44609</v>
      </c>
      <c r="C3806" s="37" t="n">
        <v>5.1559</v>
      </c>
    </row>
    <row r="3807" customFormat="false" ht="15" hidden="false" customHeight="false" outlineLevel="0" collapsed="false">
      <c r="B3807" s="36" t="n">
        <v>44610</v>
      </c>
      <c r="C3807" s="37" t="n">
        <v>5.1333</v>
      </c>
    </row>
    <row r="3808" customFormat="false" ht="15" hidden="false" customHeight="false" outlineLevel="0" collapsed="false">
      <c r="B3808" s="36" t="n">
        <v>44613</v>
      </c>
      <c r="C3808" s="37" t="n">
        <v>5.0991</v>
      </c>
    </row>
    <row r="3809" customFormat="false" ht="15" hidden="false" customHeight="false" outlineLevel="0" collapsed="false">
      <c r="B3809" s="36" t="n">
        <v>44614</v>
      </c>
      <c r="C3809" s="37" t="n">
        <v>5.0605</v>
      </c>
    </row>
    <row r="3810" customFormat="false" ht="15" hidden="false" customHeight="false" outlineLevel="0" collapsed="false">
      <c r="B3810" s="36" t="n">
        <v>44615</v>
      </c>
      <c r="C3810" s="37" t="n">
        <v>5.0137</v>
      </c>
    </row>
    <row r="3811" customFormat="false" ht="15" hidden="false" customHeight="false" outlineLevel="0" collapsed="false">
      <c r="B3811" s="36" t="n">
        <v>44616</v>
      </c>
      <c r="C3811" s="37" t="n">
        <v>5.1168</v>
      </c>
    </row>
    <row r="3812" customFormat="false" ht="15" hidden="false" customHeight="false" outlineLevel="0" collapsed="false">
      <c r="B3812" s="36" t="n">
        <v>44617</v>
      </c>
      <c r="C3812" s="37" t="n">
        <v>5.1388</v>
      </c>
    </row>
    <row r="3813" customFormat="false" ht="15" hidden="false" customHeight="false" outlineLevel="0" collapsed="false">
      <c r="B3813" s="36" t="n">
        <v>44622</v>
      </c>
      <c r="C3813" s="37" t="n">
        <v>5.1341</v>
      </c>
    </row>
    <row r="3814" customFormat="false" ht="15" hidden="false" customHeight="false" outlineLevel="0" collapsed="false">
      <c r="B3814" s="36" t="n">
        <v>44623</v>
      </c>
      <c r="C3814" s="37" t="n">
        <v>5.0473</v>
      </c>
    </row>
    <row r="3815" customFormat="false" ht="15" hidden="false" customHeight="false" outlineLevel="0" collapsed="false">
      <c r="B3815" s="36" t="n">
        <v>44624</v>
      </c>
      <c r="C3815" s="37" t="n">
        <v>5.0752</v>
      </c>
    </row>
    <row r="3816" customFormat="false" ht="15" hidden="false" customHeight="false" outlineLevel="0" collapsed="false">
      <c r="B3816" s="36" t="n">
        <v>44627</v>
      </c>
      <c r="C3816" s="37" t="n">
        <v>5.0573</v>
      </c>
    </row>
    <row r="3817" customFormat="false" ht="15" hidden="false" customHeight="false" outlineLevel="0" collapsed="false">
      <c r="B3817" s="36" t="n">
        <v>44628</v>
      </c>
      <c r="C3817" s="37" t="n">
        <v>5.0897</v>
      </c>
    </row>
    <row r="3818" customFormat="false" ht="15" hidden="false" customHeight="false" outlineLevel="0" collapsed="false">
      <c r="B3818" s="36" t="n">
        <v>44629</v>
      </c>
      <c r="C3818" s="37" t="n">
        <v>5.0088</v>
      </c>
    </row>
    <row r="3819" customFormat="false" ht="15" hidden="false" customHeight="false" outlineLevel="0" collapsed="false">
      <c r="B3819" s="36" t="n">
        <v>44630</v>
      </c>
      <c r="C3819" s="37" t="n">
        <v>5.0507</v>
      </c>
    </row>
    <row r="3820" customFormat="false" ht="15" hidden="false" customHeight="false" outlineLevel="0" collapsed="false">
      <c r="B3820" s="36" t="n">
        <v>44631</v>
      </c>
      <c r="C3820" s="37" t="n">
        <v>5.0249</v>
      </c>
    </row>
    <row r="3821" customFormat="false" ht="15" hidden="false" customHeight="false" outlineLevel="0" collapsed="false">
      <c r="B3821" s="36" t="n">
        <v>44634</v>
      </c>
      <c r="C3821" s="37" t="n">
        <v>5.0641</v>
      </c>
    </row>
    <row r="3822" customFormat="false" ht="15" hidden="false" customHeight="false" outlineLevel="0" collapsed="false">
      <c r="B3822" s="36" t="n">
        <v>44635</v>
      </c>
      <c r="C3822" s="37" t="n">
        <v>5.1308</v>
      </c>
    </row>
    <row r="3823" customFormat="false" ht="15" hidden="false" customHeight="false" outlineLevel="0" collapsed="false">
      <c r="B3823" s="36" t="n">
        <v>44636</v>
      </c>
      <c r="C3823" s="37" t="n">
        <v>5.1281</v>
      </c>
    </row>
    <row r="3824" customFormat="false" ht="15" hidden="false" customHeight="false" outlineLevel="0" collapsed="false">
      <c r="B3824" s="36" t="n">
        <v>44637</v>
      </c>
      <c r="C3824" s="37" t="n">
        <v>5.0758</v>
      </c>
    </row>
    <row r="3825" customFormat="false" ht="15" hidden="false" customHeight="false" outlineLevel="0" collapsed="false">
      <c r="B3825" s="36" t="n">
        <v>44638</v>
      </c>
      <c r="C3825" s="37" t="n">
        <v>5.0405</v>
      </c>
    </row>
    <row r="3826" customFormat="false" ht="15" hidden="false" customHeight="false" outlineLevel="0" collapsed="false">
      <c r="B3826" s="36" t="n">
        <v>44641</v>
      </c>
      <c r="C3826" s="37" t="n">
        <v>4.966</v>
      </c>
    </row>
    <row r="3827" customFormat="false" ht="15" hidden="false" customHeight="false" outlineLevel="0" collapsed="false">
      <c r="B3827" s="36" t="n">
        <v>44642</v>
      </c>
      <c r="C3827" s="37" t="n">
        <v>4.9202</v>
      </c>
    </row>
    <row r="3828" customFormat="false" ht="15" hidden="false" customHeight="false" outlineLevel="0" collapsed="false">
      <c r="B3828" s="36" t="n">
        <v>44643</v>
      </c>
      <c r="C3828" s="37" t="n">
        <v>4.8698</v>
      </c>
    </row>
    <row r="3829" customFormat="false" ht="15" hidden="false" customHeight="false" outlineLevel="0" collapsed="false">
      <c r="B3829" s="36" t="n">
        <v>44644</v>
      </c>
      <c r="C3829" s="37" t="n">
        <v>4.8061</v>
      </c>
    </row>
    <row r="3830" customFormat="false" ht="15" hidden="false" customHeight="false" outlineLevel="0" collapsed="false">
      <c r="B3830" s="36" t="n">
        <v>44645</v>
      </c>
      <c r="C3830" s="37" t="n">
        <v>4.7776</v>
      </c>
    </row>
    <row r="3831" customFormat="false" ht="15" hidden="false" customHeight="false" outlineLevel="0" collapsed="false">
      <c r="B3831" s="36" t="n">
        <v>44648</v>
      </c>
      <c r="C3831" s="37" t="n">
        <v>4.7899</v>
      </c>
    </row>
    <row r="3832" customFormat="false" ht="15" hidden="false" customHeight="false" outlineLevel="0" collapsed="false">
      <c r="B3832" s="36" t="n">
        <v>44649</v>
      </c>
      <c r="C3832" s="37" t="n">
        <v>4.748</v>
      </c>
    </row>
    <row r="3833" customFormat="false" ht="15" hidden="false" customHeight="false" outlineLevel="0" collapsed="false">
      <c r="B3833" s="36" t="n">
        <v>44650</v>
      </c>
      <c r="C3833" s="37" t="n">
        <v>4.7491</v>
      </c>
    </row>
    <row r="3834" customFormat="false" ht="15" hidden="false" customHeight="false" outlineLevel="0" collapsed="false">
      <c r="B3834" s="36" t="n">
        <v>44651</v>
      </c>
      <c r="C3834" s="37" t="n">
        <v>4.7372</v>
      </c>
    </row>
    <row r="3835" customFormat="false" ht="15" hidden="false" customHeight="false" outlineLevel="0" collapsed="false">
      <c r="B3835" s="36" t="n">
        <v>44652</v>
      </c>
      <c r="C3835" s="37" t="n">
        <v>4.6978</v>
      </c>
    </row>
    <row r="3836" customFormat="false" ht="15" hidden="false" customHeight="false" outlineLevel="0" collapsed="false">
      <c r="B3836" s="36" t="n">
        <v>44655</v>
      </c>
      <c r="C3836" s="37" t="n">
        <v>4.6169</v>
      </c>
    </row>
    <row r="3837" customFormat="false" ht="15" hidden="false" customHeight="false" outlineLevel="0" collapsed="false">
      <c r="B3837" s="36" t="n">
        <v>44656</v>
      </c>
      <c r="C3837" s="37" t="n">
        <v>4.6394</v>
      </c>
    </row>
    <row r="3838" customFormat="false" ht="15" hidden="false" customHeight="false" outlineLevel="0" collapsed="false">
      <c r="B3838" s="36" t="n">
        <v>44657</v>
      </c>
      <c r="C3838" s="37" t="n">
        <v>4.6961</v>
      </c>
    </row>
    <row r="3839" customFormat="false" ht="15" hidden="false" customHeight="false" outlineLevel="0" collapsed="false">
      <c r="B3839" s="36" t="n">
        <v>44658</v>
      </c>
      <c r="C3839" s="37" t="n">
        <v>4.7416</v>
      </c>
    </row>
    <row r="3840" customFormat="false" ht="15" hidden="false" customHeight="false" outlineLevel="0" collapsed="false">
      <c r="B3840" s="36" t="n">
        <v>44659</v>
      </c>
      <c r="C3840" s="37" t="n">
        <v>4.7507</v>
      </c>
    </row>
    <row r="3841" customFormat="false" ht="15" hidden="false" customHeight="false" outlineLevel="0" collapsed="false">
      <c r="B3841" s="36" t="n">
        <v>44662</v>
      </c>
      <c r="C3841" s="37" t="n">
        <v>4.7019</v>
      </c>
    </row>
    <row r="3842" customFormat="false" ht="15" hidden="false" customHeight="false" outlineLevel="0" collapsed="false">
      <c r="B3842" s="36" t="n">
        <v>44663</v>
      </c>
      <c r="C3842" s="37" t="n">
        <v>4.6477</v>
      </c>
    </row>
    <row r="3843" customFormat="false" ht="15" hidden="false" customHeight="false" outlineLevel="0" collapsed="false">
      <c r="B3843" s="36" t="n">
        <v>44664</v>
      </c>
      <c r="C3843" s="37" t="n">
        <v>4.6805</v>
      </c>
    </row>
    <row r="3844" customFormat="false" ht="15" hidden="false" customHeight="false" outlineLevel="0" collapsed="false">
      <c r="B3844" s="36" t="n">
        <v>44665</v>
      </c>
      <c r="C3844" s="37" t="n">
        <v>4.7152</v>
      </c>
    </row>
    <row r="3845" customFormat="false" ht="15" hidden="false" customHeight="false" outlineLevel="0" collapsed="false">
      <c r="B3845" s="36" t="n">
        <v>44669</v>
      </c>
      <c r="C3845" s="37" t="n">
        <v>4.674</v>
      </c>
    </row>
    <row r="3846" customFormat="false" ht="15" hidden="false" customHeight="false" outlineLevel="0" collapsed="false">
      <c r="B3846" s="36" t="n">
        <v>44670</v>
      </c>
      <c r="C3846" s="37" t="n">
        <v>4.6658</v>
      </c>
    </row>
    <row r="3847" customFormat="false" ht="15" hidden="false" customHeight="false" outlineLevel="0" collapsed="false">
      <c r="B3847" s="36" t="n">
        <v>44671</v>
      </c>
      <c r="C3847" s="37" t="n">
        <v>4.6391</v>
      </c>
    </row>
    <row r="3848" customFormat="false" ht="15" hidden="false" customHeight="false" outlineLevel="0" collapsed="false">
      <c r="B3848" s="36" t="n">
        <v>44673</v>
      </c>
      <c r="C3848" s="37" t="n">
        <v>4.732</v>
      </c>
    </row>
    <row r="3849" customFormat="false" ht="15" hidden="false" customHeight="false" outlineLevel="0" collapsed="false">
      <c r="B3849" s="36" t="n">
        <v>44676</v>
      </c>
      <c r="C3849" s="37" t="n">
        <v>4.8812</v>
      </c>
    </row>
    <row r="3850" customFormat="false" ht="15" hidden="false" customHeight="false" outlineLevel="0" collapsed="false">
      <c r="B3850" s="36" t="n">
        <v>44677</v>
      </c>
      <c r="C3850" s="37" t="n">
        <v>4.966</v>
      </c>
    </row>
    <row r="3851" customFormat="false" ht="15" hidden="false" customHeight="false" outlineLevel="0" collapsed="false">
      <c r="B3851" s="36" t="n">
        <v>44678</v>
      </c>
      <c r="C3851" s="37" t="n">
        <v>5.0161</v>
      </c>
    </row>
    <row r="3852" customFormat="false" ht="15" hidden="false" customHeight="false" outlineLevel="0" collapsed="false">
      <c r="B3852" s="36" t="n">
        <v>44679</v>
      </c>
      <c r="C3852" s="37" t="n">
        <v>5.0104</v>
      </c>
    </row>
    <row r="3853" customFormat="false" ht="15" hidden="false" customHeight="false" outlineLevel="0" collapsed="false">
      <c r="B3853" s="36" t="n">
        <v>44680</v>
      </c>
      <c r="C3853" s="37" t="n">
        <v>4.9185</v>
      </c>
    </row>
    <row r="3854" customFormat="false" ht="15" hidden="false" customHeight="false" outlineLevel="0" collapsed="false">
      <c r="B3854" s="36" t="n">
        <v>44683</v>
      </c>
      <c r="C3854" s="37" t="n">
        <v>5.026</v>
      </c>
    </row>
    <row r="3855" customFormat="false" ht="15" hidden="false" customHeight="false" outlineLevel="0" collapsed="false">
      <c r="B3855" s="36" t="n">
        <v>44684</v>
      </c>
      <c r="C3855" s="37" t="n">
        <v>5.0161</v>
      </c>
    </row>
    <row r="3856" customFormat="false" ht="15" hidden="false" customHeight="false" outlineLevel="0" collapsed="false">
      <c r="B3856" s="36" t="n">
        <v>44685</v>
      </c>
      <c r="C3856" s="37" t="n">
        <v>5.0087</v>
      </c>
    </row>
    <row r="3857" customFormat="false" ht="15" hidden="false" customHeight="false" outlineLevel="0" collapsed="false">
      <c r="B3857" s="36" t="n">
        <v>44686</v>
      </c>
      <c r="C3857" s="37" t="n">
        <v>5.0045</v>
      </c>
    </row>
    <row r="3858" customFormat="false" ht="15" hidden="false" customHeight="false" outlineLevel="0" collapsed="false">
      <c r="B3858" s="36" t="n">
        <v>44687</v>
      </c>
      <c r="C3858" s="37" t="n">
        <v>5.0744</v>
      </c>
    </row>
    <row r="3859" customFormat="false" ht="15" hidden="false" customHeight="false" outlineLevel="0" collapsed="false">
      <c r="B3859" s="36" t="n">
        <v>44690</v>
      </c>
      <c r="C3859" s="37" t="n">
        <v>5.1334</v>
      </c>
    </row>
    <row r="3860" customFormat="false" ht="15" hidden="false" customHeight="false" outlineLevel="0" collapsed="false">
      <c r="B3860" s="36" t="n">
        <v>44691</v>
      </c>
      <c r="C3860" s="37" t="n">
        <v>5.1384</v>
      </c>
    </row>
    <row r="3861" customFormat="false" ht="15" hidden="false" customHeight="false" outlineLevel="0" collapsed="false">
      <c r="B3861" s="36" t="n">
        <v>44692</v>
      </c>
      <c r="C3861" s="37" t="n">
        <v>5.1238</v>
      </c>
    </row>
    <row r="3862" customFormat="false" ht="15" hidden="false" customHeight="false" outlineLevel="0" collapsed="false">
      <c r="B3862" s="36" t="n">
        <v>44693</v>
      </c>
      <c r="C3862" s="37" t="n">
        <v>5.1476</v>
      </c>
    </row>
    <row r="3863" customFormat="false" ht="15" hidden="false" customHeight="false" outlineLevel="0" collapsed="false">
      <c r="B3863" s="36" t="n">
        <v>44694</v>
      </c>
      <c r="C3863" s="37" t="n">
        <v>5.1069</v>
      </c>
    </row>
    <row r="3864" customFormat="false" ht="15" hidden="false" customHeight="false" outlineLevel="0" collapsed="false">
      <c r="B3864" s="36" t="n">
        <v>44697</v>
      </c>
      <c r="C3864" s="37" t="n">
        <v>5.066</v>
      </c>
    </row>
    <row r="3865" customFormat="false" ht="15" hidden="false" customHeight="false" outlineLevel="0" collapsed="false">
      <c r="B3865" s="36" t="n">
        <v>44698</v>
      </c>
      <c r="C3865" s="37" t="n">
        <v>4.967</v>
      </c>
    </row>
    <row r="3866" customFormat="false" ht="15" hidden="false" customHeight="false" outlineLevel="0" collapsed="false">
      <c r="B3866" s="36" t="n">
        <v>44699</v>
      </c>
      <c r="C3866" s="37" t="n">
        <v>4.9586</v>
      </c>
    </row>
    <row r="3867" customFormat="false" ht="15" hidden="false" customHeight="false" outlineLevel="0" collapsed="false">
      <c r="B3867" s="36" t="n">
        <v>44700</v>
      </c>
      <c r="C3867" s="37" t="n">
        <v>4.9192</v>
      </c>
    </row>
    <row r="3868" customFormat="false" ht="15" hidden="false" customHeight="false" outlineLevel="0" collapsed="false">
      <c r="B3868" s="36" t="n">
        <v>44701</v>
      </c>
      <c r="C3868" s="37" t="n">
        <v>4.8771</v>
      </c>
    </row>
    <row r="3869" customFormat="false" ht="15" hidden="false" customHeight="false" outlineLevel="0" collapsed="false">
      <c r="B3869" s="36" t="n">
        <v>44704</v>
      </c>
      <c r="C3869" s="37" t="n">
        <v>4.7967</v>
      </c>
    </row>
    <row r="3870" customFormat="false" ht="15" hidden="false" customHeight="false" outlineLevel="0" collapsed="false">
      <c r="B3870" s="36" t="n">
        <v>44705</v>
      </c>
      <c r="C3870" s="37" t="n">
        <v>4.81</v>
      </c>
    </row>
    <row r="3871" customFormat="false" ht="15" hidden="false" customHeight="false" outlineLevel="0" collapsed="false">
      <c r="B3871" s="36" t="n">
        <v>44706</v>
      </c>
      <c r="C3871" s="37" t="n">
        <v>4.8353</v>
      </c>
    </row>
    <row r="3872" customFormat="false" ht="15" hidden="false" customHeight="false" outlineLevel="0" collapsed="false">
      <c r="B3872" s="36" t="n">
        <v>44707</v>
      </c>
      <c r="C3872" s="37" t="n">
        <v>4.7961</v>
      </c>
    </row>
    <row r="3873" customFormat="false" ht="15" hidden="false" customHeight="false" outlineLevel="0" collapsed="false">
      <c r="B3873" s="36" t="n">
        <v>44708</v>
      </c>
      <c r="C3873" s="37" t="n">
        <v>4.7428</v>
      </c>
    </row>
    <row r="3874" customFormat="false" ht="15" hidden="false" customHeight="false" outlineLevel="0" collapsed="false">
      <c r="B3874" s="36" t="n">
        <v>44711</v>
      </c>
      <c r="C3874" s="37" t="n">
        <v>4.721</v>
      </c>
    </row>
    <row r="3875" customFormat="false" ht="15" hidden="false" customHeight="false" outlineLevel="0" collapsed="false">
      <c r="B3875" s="36" t="n">
        <v>44712</v>
      </c>
      <c r="C3875" s="37" t="n">
        <v>4.7283</v>
      </c>
    </row>
    <row r="3876" customFormat="false" ht="15" hidden="false" customHeight="false" outlineLevel="0" collapsed="false">
      <c r="B3876" s="36" t="n">
        <v>44713</v>
      </c>
      <c r="C3876" s="37" t="n">
        <v>4.7759</v>
      </c>
    </row>
    <row r="3877" customFormat="false" ht="15" hidden="false" customHeight="false" outlineLevel="0" collapsed="false">
      <c r="B3877" s="36" t="n">
        <v>44714</v>
      </c>
      <c r="C3877" s="37" t="n">
        <v>4.7873</v>
      </c>
    </row>
    <row r="3878" customFormat="false" ht="15" hidden="false" customHeight="false" outlineLevel="0" collapsed="false">
      <c r="B3878" s="36" t="n">
        <v>44715</v>
      </c>
      <c r="C3878" s="37" t="n">
        <v>4.795</v>
      </c>
    </row>
    <row r="3879" customFormat="false" ht="15" hidden="false" customHeight="false" outlineLevel="0" collapsed="false">
      <c r="B3879" s="36" t="n">
        <v>44718</v>
      </c>
      <c r="C3879" s="37" t="n">
        <v>4.7833</v>
      </c>
    </row>
    <row r="3880" customFormat="false" ht="15" hidden="false" customHeight="false" outlineLevel="0" collapsed="false">
      <c r="B3880" s="36" t="n">
        <v>44719</v>
      </c>
      <c r="C3880" s="37" t="n">
        <v>4.8903</v>
      </c>
    </row>
    <row r="3881" customFormat="false" ht="15" hidden="false" customHeight="false" outlineLevel="0" collapsed="false">
      <c r="B3881" s="36" t="n">
        <v>44720</v>
      </c>
      <c r="C3881" s="37" t="n">
        <v>4.8705</v>
      </c>
    </row>
    <row r="3882" customFormat="false" ht="15" hidden="false" customHeight="false" outlineLevel="0" collapsed="false">
      <c r="B3882" s="36" t="n">
        <v>44721</v>
      </c>
      <c r="C3882" s="37" t="n">
        <v>4.8945</v>
      </c>
    </row>
    <row r="3883" customFormat="false" ht="15" hidden="false" customHeight="false" outlineLevel="0" collapsed="false">
      <c r="B3883" s="36" t="n">
        <v>44722</v>
      </c>
      <c r="C3883" s="37" t="n">
        <v>4.983</v>
      </c>
    </row>
    <row r="3884" customFormat="false" ht="15" hidden="false" customHeight="false" outlineLevel="0" collapsed="false">
      <c r="B3884" s="36" t="n">
        <v>44725</v>
      </c>
      <c r="C3884" s="37" t="n">
        <v>5.1027</v>
      </c>
    </row>
    <row r="3885" customFormat="false" ht="15" hidden="false" customHeight="false" outlineLevel="0" collapsed="false">
      <c r="B3885" s="36" t="n">
        <v>44726</v>
      </c>
      <c r="C3885" s="37" t="n">
        <v>5.1197</v>
      </c>
    </row>
    <row r="3886" customFormat="false" ht="15" hidden="false" customHeight="false" outlineLevel="0" collapsed="false">
      <c r="B3886" s="36" t="n">
        <v>44727</v>
      </c>
      <c r="C3886" s="37" t="n">
        <v>5.1113</v>
      </c>
    </row>
    <row r="3887" customFormat="false" ht="15" hidden="false" customHeight="false" outlineLevel="0" collapsed="false">
      <c r="B3887" s="36" t="n">
        <v>44729</v>
      </c>
      <c r="C3887" s="37" t="n">
        <v>5.1307</v>
      </c>
    </row>
    <row r="3888" customFormat="false" ht="15" hidden="false" customHeight="false" outlineLevel="0" collapsed="false">
      <c r="B3888" s="36" t="n">
        <v>44732</v>
      </c>
      <c r="C3888" s="37" t="n">
        <v>5.1635</v>
      </c>
    </row>
    <row r="3889" customFormat="false" ht="15" hidden="false" customHeight="false" outlineLevel="0" collapsed="false">
      <c r="B3889" s="36" t="n">
        <v>44733</v>
      </c>
      <c r="C3889" s="37" t="n">
        <v>5.1456</v>
      </c>
    </row>
    <row r="3890" customFormat="false" ht="15" hidden="false" customHeight="false" outlineLevel="0" collapsed="false">
      <c r="B3890" s="36" t="n">
        <v>44734</v>
      </c>
      <c r="C3890" s="37" t="n">
        <v>5.1503</v>
      </c>
    </row>
    <row r="3891" customFormat="false" ht="15" hidden="false" customHeight="false" outlineLevel="0" collapsed="false">
      <c r="B3891" s="36" t="n">
        <v>44735</v>
      </c>
      <c r="C3891" s="37" t="n">
        <v>5.1827</v>
      </c>
    </row>
    <row r="3892" customFormat="false" ht="15" hidden="false" customHeight="false" outlineLevel="0" collapsed="false">
      <c r="B3892" s="36" t="n">
        <v>44736</v>
      </c>
      <c r="C3892" s="37" t="n">
        <v>5.2328</v>
      </c>
    </row>
    <row r="3893" customFormat="false" ht="15" hidden="false" customHeight="false" outlineLevel="0" collapsed="false">
      <c r="B3893" s="36" t="n">
        <v>44739</v>
      </c>
      <c r="C3893" s="37" t="n">
        <v>5.2208</v>
      </c>
    </row>
    <row r="3894" customFormat="false" ht="15" hidden="false" customHeight="false" outlineLevel="0" collapsed="false">
      <c r="B3894" s="36" t="n">
        <v>44740</v>
      </c>
      <c r="C3894" s="37" t="n">
        <v>5.2173</v>
      </c>
    </row>
    <row r="3895" customFormat="false" ht="15" hidden="false" customHeight="false" outlineLevel="0" collapsed="false">
      <c r="B3895" s="36" t="n">
        <v>44741</v>
      </c>
      <c r="C3895" s="37" t="n">
        <v>5.2262</v>
      </c>
    </row>
    <row r="3896" customFormat="false" ht="15" hidden="false" customHeight="false" outlineLevel="0" collapsed="false">
      <c r="B3896" s="36" t="n">
        <v>44742</v>
      </c>
      <c r="C3896" s="37" t="n">
        <v>5.2374</v>
      </c>
    </row>
    <row r="3897" customFormat="false" ht="15" hidden="false" customHeight="false" outlineLevel="0" collapsed="false">
      <c r="B3897" s="36" t="n">
        <v>44743</v>
      </c>
      <c r="C3897" s="37" t="n">
        <v>5.3136</v>
      </c>
    </row>
    <row r="3898" customFormat="false" ht="15" hidden="false" customHeight="false" outlineLevel="0" collapsed="false">
      <c r="B3898" s="36" t="n">
        <v>44746</v>
      </c>
      <c r="C3898" s="37" t="n">
        <v>5.3032</v>
      </c>
    </row>
    <row r="3899" customFormat="false" ht="15" hidden="false" customHeight="false" outlineLevel="0" collapsed="false">
      <c r="B3899" s="36" t="n">
        <v>44747</v>
      </c>
      <c r="C3899" s="37" t="n">
        <v>5.3893</v>
      </c>
    </row>
    <row r="3900" customFormat="false" ht="15" hidden="false" customHeight="false" outlineLevel="0" collapsed="false">
      <c r="B3900" s="36" t="n">
        <v>44748</v>
      </c>
      <c r="C3900" s="37" t="n">
        <v>5.4315</v>
      </c>
    </row>
    <row r="3901" customFormat="false" ht="15" hidden="false" customHeight="false" outlineLevel="0" collapsed="false">
      <c r="B3901" s="36" t="n">
        <v>44749</v>
      </c>
      <c r="C3901" s="37" t="n">
        <v>5.3634</v>
      </c>
    </row>
    <row r="3902" customFormat="false" ht="15" hidden="false" customHeight="false" outlineLevel="0" collapsed="false">
      <c r="B3902" s="36" t="n">
        <v>44750</v>
      </c>
      <c r="C3902" s="37" t="n">
        <v>5.308</v>
      </c>
    </row>
    <row r="3903" customFormat="false" ht="15" hidden="false" customHeight="false" outlineLevel="0" collapsed="false">
      <c r="B3903" s="36" t="n">
        <v>44753</v>
      </c>
      <c r="C3903" s="37" t="n">
        <v>5.3471</v>
      </c>
    </row>
    <row r="3904" customFormat="false" ht="15" hidden="false" customHeight="false" outlineLevel="0" collapsed="false">
      <c r="B3904" s="36" t="n">
        <v>44754</v>
      </c>
      <c r="C3904" s="37" t="n">
        <v>5.4114</v>
      </c>
    </row>
    <row r="3905" customFormat="false" ht="15" hidden="false" customHeight="false" outlineLevel="0" collapsed="false">
      <c r="B3905" s="36" t="n">
        <v>44755</v>
      </c>
      <c r="C3905" s="37" t="n">
        <v>5.3987</v>
      </c>
    </row>
    <row r="3906" customFormat="false" ht="15" hidden="false" customHeight="false" outlineLevel="0" collapsed="false">
      <c r="B3906" s="36" t="n">
        <v>44756</v>
      </c>
      <c r="C3906" s="37" t="n">
        <v>5.4562</v>
      </c>
    </row>
    <row r="3907" customFormat="false" ht="15" hidden="false" customHeight="false" outlineLevel="0" collapsed="false">
      <c r="B3907" s="36" t="n">
        <v>44757</v>
      </c>
      <c r="C3907" s="37" t="n">
        <v>5.4008</v>
      </c>
    </row>
    <row r="3908" customFormat="false" ht="15" hidden="false" customHeight="false" outlineLevel="0" collapsed="false">
      <c r="B3908" s="36" t="n">
        <v>44760</v>
      </c>
      <c r="C3908" s="37" t="n">
        <v>5.3669</v>
      </c>
    </row>
    <row r="3909" customFormat="false" ht="15" hidden="false" customHeight="false" outlineLevel="0" collapsed="false">
      <c r="B3909" s="36" t="n">
        <v>44761</v>
      </c>
      <c r="C3909" s="37" t="n">
        <v>5.3898</v>
      </c>
    </row>
    <row r="3910" customFormat="false" ht="15" hidden="false" customHeight="false" outlineLevel="0" collapsed="false">
      <c r="B3910" s="36" t="n">
        <v>44762</v>
      </c>
      <c r="C3910" s="37" t="n">
        <v>5.4282</v>
      </c>
    </row>
    <row r="3911" customFormat="false" ht="15" hidden="false" customHeight="false" outlineLevel="0" collapsed="false">
      <c r="B3911" s="36" t="n">
        <v>44763</v>
      </c>
      <c r="C3911" s="37" t="n">
        <v>5.4744</v>
      </c>
    </row>
    <row r="3912" customFormat="false" ht="15" hidden="false" customHeight="false" outlineLevel="0" collapsed="false">
      <c r="B3912" s="36" t="n">
        <v>44764</v>
      </c>
      <c r="C3912" s="37" t="n">
        <v>5.4516</v>
      </c>
    </row>
    <row r="3913" customFormat="false" ht="15" hidden="false" customHeight="false" outlineLevel="0" collapsed="false">
      <c r="B3913" s="36" t="n">
        <v>44767</v>
      </c>
      <c r="C3913" s="37" t="n">
        <v>5.4138</v>
      </c>
    </row>
    <row r="3914" customFormat="false" ht="15" hidden="false" customHeight="false" outlineLevel="0" collapsed="false">
      <c r="B3914" s="36" t="n">
        <v>44768</v>
      </c>
      <c r="C3914" s="37" t="n">
        <v>5.3602</v>
      </c>
    </row>
    <row r="3915" customFormat="false" ht="15" hidden="false" customHeight="false" outlineLevel="0" collapsed="false">
      <c r="B3915" s="36" t="n">
        <v>44769</v>
      </c>
      <c r="C3915" s="37" t="n">
        <v>5.3068</v>
      </c>
    </row>
    <row r="3916" customFormat="false" ht="15" hidden="false" customHeight="false" outlineLevel="0" collapsed="false">
      <c r="B3916" s="36" t="n">
        <v>44770</v>
      </c>
      <c r="C3916" s="37" t="n">
        <v>5.2143</v>
      </c>
    </row>
    <row r="3917" customFormat="false" ht="15" hidden="false" customHeight="false" outlineLevel="0" collapsed="false">
      <c r="B3917" s="36" t="n">
        <v>44771</v>
      </c>
      <c r="C3917" s="37" t="n">
        <v>5.1878</v>
      </c>
    </row>
    <row r="3918" customFormat="false" ht="15" hidden="false" customHeight="false" outlineLevel="0" collapsed="false">
      <c r="B3918" s="36" t="n">
        <v>44774</v>
      </c>
      <c r="C3918" s="37" t="n">
        <v>5.16</v>
      </c>
    </row>
    <row r="3919" customFormat="false" ht="15" hidden="false" customHeight="false" outlineLevel="0" collapsed="false">
      <c r="B3919" s="36" t="n">
        <v>44775</v>
      </c>
      <c r="C3919" s="37" t="n">
        <v>5.2323</v>
      </c>
    </row>
    <row r="3920" customFormat="false" ht="15" hidden="false" customHeight="false" outlineLevel="0" collapsed="false">
      <c r="B3920" s="36" t="n">
        <v>44776</v>
      </c>
      <c r="C3920" s="37" t="n">
        <v>5.284</v>
      </c>
    </row>
    <row r="3921" customFormat="false" ht="15" hidden="false" customHeight="false" outlineLevel="0" collapsed="false">
      <c r="B3921" s="36" t="n">
        <v>44777</v>
      </c>
      <c r="C3921" s="37" t="n">
        <v>5.2403</v>
      </c>
    </row>
    <row r="3922" customFormat="false" ht="15" hidden="false" customHeight="false" outlineLevel="0" collapsed="false">
      <c r="B3922" s="36" t="n">
        <v>44778</v>
      </c>
      <c r="C3922" s="37" t="n">
        <v>5.2159</v>
      </c>
    </row>
    <row r="3923" customFormat="false" ht="15" hidden="false" customHeight="false" outlineLevel="0" collapsed="false">
      <c r="B3923" s="36" t="n">
        <v>44781</v>
      </c>
      <c r="C3923" s="37" t="n">
        <v>5.1241</v>
      </c>
    </row>
    <row r="3924" customFormat="false" ht="15" hidden="false" customHeight="false" outlineLevel="0" collapsed="false">
      <c r="B3924" s="36" t="n">
        <v>44782</v>
      </c>
      <c r="C3924" s="37" t="n">
        <v>5.1218</v>
      </c>
    </row>
    <row r="3925" customFormat="false" ht="15" hidden="false" customHeight="false" outlineLevel="0" collapsed="false">
      <c r="B3925" s="36" t="n">
        <v>44783</v>
      </c>
      <c r="C3925" s="37" t="n">
        <v>5.0491</v>
      </c>
    </row>
    <row r="3926" customFormat="false" ht="15" hidden="false" customHeight="false" outlineLevel="0" collapsed="false">
      <c r="B3926" s="36" t="n">
        <v>44784</v>
      </c>
      <c r="C3926" s="37" t="n">
        <v>5.1121</v>
      </c>
    </row>
    <row r="3927" customFormat="false" ht="15" hidden="false" customHeight="false" outlineLevel="0" collapsed="false">
      <c r="B3927" s="36" t="n">
        <v>44785</v>
      </c>
      <c r="C3927" s="37" t="n">
        <v>5.1017</v>
      </c>
    </row>
    <row r="3928" customFormat="false" ht="15" hidden="false" customHeight="false" outlineLevel="0" collapsed="false">
      <c r="B3928" s="36" t="n">
        <v>44788</v>
      </c>
      <c r="C3928" s="37" t="n">
        <v>5.0919</v>
      </c>
    </row>
    <row r="3929" customFormat="false" ht="15" hidden="false" customHeight="false" outlineLevel="0" collapsed="false">
      <c r="B3929" s="36" t="n">
        <v>44789</v>
      </c>
      <c r="C3929" s="37" t="n">
        <v>5.1334</v>
      </c>
    </row>
    <row r="3930" customFormat="false" ht="15" hidden="false" customHeight="false" outlineLevel="0" collapsed="false">
      <c r="B3930" s="36" t="n">
        <v>44790</v>
      </c>
      <c r="C3930" s="37" t="n">
        <v>5.1779</v>
      </c>
    </row>
    <row r="3931" customFormat="false" ht="15" hidden="false" customHeight="false" outlineLevel="0" collapsed="false">
      <c r="B3931" s="36" t="n">
        <v>44791</v>
      </c>
      <c r="C3931" s="37" t="n">
        <v>5.1767</v>
      </c>
    </row>
    <row r="3932" customFormat="false" ht="15" hidden="false" customHeight="false" outlineLevel="0" collapsed="false">
      <c r="B3932" s="36" t="n">
        <v>44792</v>
      </c>
      <c r="C3932" s="37" t="n">
        <v>5.1955</v>
      </c>
    </row>
    <row r="3933" customFormat="false" ht="15" hidden="false" customHeight="false" outlineLevel="0" collapsed="false">
      <c r="B3933" s="36" t="n">
        <v>44795</v>
      </c>
      <c r="C3933" s="37" t="n">
        <v>5.1703</v>
      </c>
    </row>
    <row r="3934" customFormat="false" ht="15" hidden="false" customHeight="false" outlineLevel="0" collapsed="false">
      <c r="B3934" s="36" t="n">
        <v>44796</v>
      </c>
      <c r="C3934" s="37" t="n">
        <v>5.1024</v>
      </c>
    </row>
    <row r="3935" customFormat="false" ht="15" hidden="false" customHeight="false" outlineLevel="0" collapsed="false">
      <c r="B3935" s="36" t="n">
        <v>44797</v>
      </c>
      <c r="C3935" s="37" t="n">
        <v>5.1044</v>
      </c>
    </row>
    <row r="3936" customFormat="false" ht="15" hidden="false" customHeight="false" outlineLevel="0" collapsed="false">
      <c r="B3936" s="36" t="n">
        <v>44798</v>
      </c>
      <c r="C3936" s="37" t="n">
        <v>5.1167</v>
      </c>
    </row>
    <row r="3937" customFormat="false" ht="15" hidden="false" customHeight="false" outlineLevel="0" collapsed="false">
      <c r="B3937" s="36" t="n">
        <v>44799</v>
      </c>
      <c r="C3937" s="37" t="n">
        <v>5.0897</v>
      </c>
    </row>
    <row r="3938" customFormat="false" ht="15" hidden="false" customHeight="false" outlineLevel="0" collapsed="false">
      <c r="B3938" s="36" t="n">
        <v>44802</v>
      </c>
      <c r="C3938" s="37" t="n">
        <v>5.0423</v>
      </c>
    </row>
    <row r="3939" customFormat="false" ht="15" hidden="false" customHeight="false" outlineLevel="0" collapsed="false">
      <c r="B3939" s="36" t="n">
        <v>44803</v>
      </c>
      <c r="C3939" s="37" t="n">
        <v>5.0611</v>
      </c>
    </row>
    <row r="3940" customFormat="false" ht="15" hidden="false" customHeight="false" outlineLevel="0" collapsed="false">
      <c r="B3940" s="36" t="n">
        <v>44804</v>
      </c>
      <c r="C3940" s="37" t="n">
        <v>5.1784</v>
      </c>
    </row>
    <row r="3941" customFormat="false" ht="15" hidden="false" customHeight="false" outlineLevel="0" collapsed="false">
      <c r="B3941" s="36" t="n">
        <v>44805</v>
      </c>
      <c r="C3941" s="37" t="n">
        <v>5.2001</v>
      </c>
    </row>
    <row r="3942" customFormat="false" ht="15" hidden="false" customHeight="false" outlineLevel="0" collapsed="false">
      <c r="B3942" s="36" t="n">
        <v>44806</v>
      </c>
      <c r="C3942" s="37" t="n">
        <v>5.1872</v>
      </c>
    </row>
    <row r="3943" customFormat="false" ht="15" hidden="false" customHeight="false" outlineLevel="0" collapsed="false">
      <c r="B3943" s="36" t="n">
        <v>44809</v>
      </c>
      <c r="C3943" s="37" t="n">
        <v>5.168</v>
      </c>
    </row>
    <row r="3944" customFormat="false" ht="15" hidden="false" customHeight="false" outlineLevel="0" collapsed="false">
      <c r="B3944" s="36" t="n">
        <v>44810</v>
      </c>
      <c r="C3944" s="37" t="n">
        <v>5.2222</v>
      </c>
    </row>
    <row r="3945" customFormat="false" ht="15" hidden="false" customHeight="false" outlineLevel="0" collapsed="false">
      <c r="B3945" s="36" t="n">
        <v>44812</v>
      </c>
      <c r="C3945" s="37" t="n">
        <v>5.2149</v>
      </c>
    </row>
    <row r="3946" customFormat="false" ht="15" hidden="false" customHeight="false" outlineLevel="0" collapsed="false">
      <c r="B3946" s="36" t="n">
        <v>44813</v>
      </c>
      <c r="C3946" s="37" t="n">
        <v>5.1627</v>
      </c>
    </row>
    <row r="3947" customFormat="false" ht="15" hidden="false" customHeight="false" outlineLevel="0" collapsed="false">
      <c r="B3947" s="36" t="n">
        <v>44816</v>
      </c>
      <c r="C3947" s="37" t="n">
        <v>5.1177</v>
      </c>
    </row>
    <row r="3948" customFormat="false" ht="15" hidden="false" customHeight="false" outlineLevel="0" collapsed="false">
      <c r="B3948" s="36" t="n">
        <v>44817</v>
      </c>
      <c r="C3948" s="37" t="n">
        <v>5.1788</v>
      </c>
    </row>
    <row r="3949" customFormat="false" ht="15" hidden="false" customHeight="false" outlineLevel="0" collapsed="false">
      <c r="B3949" s="36" t="n">
        <v>44818</v>
      </c>
      <c r="C3949" s="37" t="n">
        <v>5.1768</v>
      </c>
    </row>
    <row r="3950" customFormat="false" ht="15" hidden="false" customHeight="false" outlineLevel="0" collapsed="false">
      <c r="B3950" s="36" t="n">
        <v>44819</v>
      </c>
      <c r="C3950" s="37" t="n">
        <v>5.2205</v>
      </c>
    </row>
    <row r="3951" customFormat="false" ht="15" hidden="false" customHeight="false" outlineLevel="0" collapsed="false">
      <c r="B3951" s="36" t="n">
        <v>44820</v>
      </c>
      <c r="C3951" s="37" t="n">
        <v>5.2876</v>
      </c>
    </row>
    <row r="3952" customFormat="false" ht="15" hidden="false" customHeight="false" outlineLevel="0" collapsed="false">
      <c r="B3952" s="36" t="n">
        <v>44823</v>
      </c>
      <c r="C3952" s="37" t="n">
        <v>5.2361</v>
      </c>
    </row>
    <row r="3953" customFormat="false" ht="15" hidden="false" customHeight="false" outlineLevel="0" collapsed="false">
      <c r="B3953" s="36" t="n">
        <v>44824</v>
      </c>
      <c r="C3953" s="37" t="n">
        <v>5.1699</v>
      </c>
    </row>
    <row r="3954" customFormat="false" ht="15" hidden="false" customHeight="false" outlineLevel="0" collapsed="false">
      <c r="B3954" s="36" t="n">
        <v>44825</v>
      </c>
      <c r="C3954" s="37" t="n">
        <v>5.1686</v>
      </c>
    </row>
    <row r="3955" customFormat="false" ht="15" hidden="false" customHeight="false" outlineLevel="0" collapsed="false">
      <c r="B3955" s="36" t="n">
        <v>44826</v>
      </c>
      <c r="C3955" s="37" t="n">
        <v>5.1671</v>
      </c>
    </row>
    <row r="3956" customFormat="false" ht="15" hidden="false" customHeight="false" outlineLevel="0" collapsed="false">
      <c r="B3956" s="36" t="n">
        <v>44827</v>
      </c>
      <c r="C3956" s="37" t="n">
        <v>5.2251</v>
      </c>
    </row>
    <row r="3957" customFormat="false" ht="15" hidden="false" customHeight="false" outlineLevel="0" collapsed="false">
      <c r="B3957" s="36" t="n">
        <v>44830</v>
      </c>
      <c r="C3957" s="37" t="n">
        <v>5.3542</v>
      </c>
    </row>
    <row r="3958" customFormat="false" ht="15" hidden="false" customHeight="false" outlineLevel="0" collapsed="false">
      <c r="B3958" s="36" t="n">
        <v>44831</v>
      </c>
      <c r="C3958" s="37" t="n">
        <v>5.3502</v>
      </c>
    </row>
    <row r="3959" customFormat="false" ht="15" hidden="false" customHeight="false" outlineLevel="0" collapsed="false">
      <c r="B3959" s="36" t="n">
        <v>44832</v>
      </c>
      <c r="C3959" s="37" t="n">
        <v>5.3588</v>
      </c>
    </row>
    <row r="3960" customFormat="false" ht="15" hidden="false" customHeight="false" outlineLevel="0" collapsed="false">
      <c r="B3960" s="36" t="n">
        <v>44833</v>
      </c>
      <c r="C3960" s="37" t="n">
        <v>5.391</v>
      </c>
    </row>
    <row r="3961" customFormat="false" ht="15" hidden="false" customHeight="false" outlineLevel="0" collapsed="false">
      <c r="B3961" s="36" t="n">
        <v>44834</v>
      </c>
      <c r="C3961" s="37" t="n">
        <v>5.406</v>
      </c>
    </row>
    <row r="3962" customFormat="false" ht="15" hidden="false" customHeight="false" outlineLevel="0" collapsed="false">
      <c r="B3962" s="36" t="n">
        <v>44837</v>
      </c>
      <c r="C3962" s="37" t="n">
        <v>5.1996</v>
      </c>
    </row>
    <row r="3963" customFormat="false" ht="15" hidden="false" customHeight="false" outlineLevel="0" collapsed="false">
      <c r="B3963" s="36" t="n">
        <v>44838</v>
      </c>
      <c r="C3963" s="37" t="n">
        <v>5.1405</v>
      </c>
    </row>
    <row r="3964" customFormat="false" ht="15" hidden="false" customHeight="false" outlineLevel="0" collapsed="false">
      <c r="B3964" s="36" t="n">
        <v>44839</v>
      </c>
      <c r="C3964" s="37" t="n">
        <v>5.2138</v>
      </c>
    </row>
    <row r="3965" customFormat="false" ht="15" hidden="false" customHeight="false" outlineLevel="0" collapsed="false">
      <c r="B3965" s="36" t="n">
        <v>44840</v>
      </c>
      <c r="C3965" s="37" t="n">
        <v>5.2002</v>
      </c>
    </row>
    <row r="3966" customFormat="false" ht="15" hidden="false" customHeight="false" outlineLevel="0" collapsed="false">
      <c r="B3966" s="36" t="n">
        <v>44841</v>
      </c>
      <c r="C3966" s="37" t="n">
        <v>5.2215</v>
      </c>
    </row>
    <row r="3967" customFormat="false" ht="15" hidden="false" customHeight="false" outlineLevel="0" collapsed="false">
      <c r="B3967" s="36" t="n">
        <v>44844</v>
      </c>
      <c r="C3967" s="37" t="n">
        <v>5.1935</v>
      </c>
    </row>
    <row r="3968" customFormat="false" ht="15" hidden="false" customHeight="false" outlineLevel="0" collapsed="false">
      <c r="B3968" s="36" t="n">
        <v>44845</v>
      </c>
      <c r="C3968" s="37" t="n">
        <v>5.2061</v>
      </c>
    </row>
    <row r="3969" customFormat="false" ht="15" hidden="false" customHeight="false" outlineLevel="0" collapsed="false">
      <c r="B3969" s="36" t="n">
        <v>44847</v>
      </c>
      <c r="C3969" s="37" t="n">
        <v>5.3011</v>
      </c>
    </row>
    <row r="3970" customFormat="false" ht="15" hidden="false" customHeight="false" outlineLevel="0" collapsed="false">
      <c r="B3970" s="36" t="n">
        <v>44848</v>
      </c>
      <c r="C3970" s="37" t="n">
        <v>5.2818</v>
      </c>
    </row>
    <row r="3971" customFormat="false" ht="15" hidden="false" customHeight="false" outlineLevel="0" collapsed="false">
      <c r="B3971" s="36" t="n">
        <v>44851</v>
      </c>
      <c r="C3971" s="37" t="n">
        <v>5.2707</v>
      </c>
    </row>
    <row r="3972" customFormat="false" ht="15" hidden="false" customHeight="false" outlineLevel="0" collapsed="false">
      <c r="B3972" s="36" t="n">
        <v>44852</v>
      </c>
      <c r="C3972" s="37" t="n">
        <v>5.2691</v>
      </c>
    </row>
    <row r="3973" customFormat="false" ht="15" hidden="false" customHeight="false" outlineLevel="0" collapsed="false">
      <c r="B3973" s="36" t="n">
        <v>44853</v>
      </c>
      <c r="C3973" s="37" t="n">
        <v>5.2802</v>
      </c>
    </row>
    <row r="3974" customFormat="false" ht="15" hidden="false" customHeight="false" outlineLevel="0" collapsed="false">
      <c r="B3974" s="36" t="n">
        <v>44854</v>
      </c>
      <c r="C3974" s="37" t="n">
        <v>5.217</v>
      </c>
    </row>
    <row r="3975" customFormat="false" ht="15" hidden="false" customHeight="false" outlineLevel="0" collapsed="false">
      <c r="B3975" s="36" t="n">
        <v>44855</v>
      </c>
      <c r="C3975" s="37" t="n">
        <v>5.1913</v>
      </c>
    </row>
    <row r="3976" customFormat="false" ht="15" hidden="false" customHeight="false" outlineLevel="0" collapsed="false">
      <c r="B3976" s="36" t="n">
        <v>44858</v>
      </c>
      <c r="C3976" s="37" t="n">
        <v>5.2738</v>
      </c>
    </row>
    <row r="3977" customFormat="false" ht="15" hidden="false" customHeight="false" outlineLevel="0" collapsed="false">
      <c r="B3977" s="36" t="n">
        <v>44859</v>
      </c>
      <c r="C3977" s="37" t="n">
        <v>5.3085</v>
      </c>
    </row>
    <row r="3978" customFormat="false" ht="15" hidden="false" customHeight="false" outlineLevel="0" collapsed="false">
      <c r="B3978" s="36" t="n">
        <v>44860</v>
      </c>
      <c r="C3978" s="37" t="n">
        <v>5.3242</v>
      </c>
    </row>
    <row r="3979" customFormat="false" ht="15" hidden="false" customHeight="false" outlineLevel="0" collapsed="false">
      <c r="B3979" s="36" t="n">
        <v>44861</v>
      </c>
      <c r="C3979" s="37" t="n">
        <v>5.2997</v>
      </c>
    </row>
    <row r="3980" customFormat="false" ht="15" hidden="false" customHeight="false" outlineLevel="0" collapsed="false">
      <c r="B3980" s="36" t="n">
        <v>44862</v>
      </c>
      <c r="C3980" s="37" t="n">
        <v>5.3449</v>
      </c>
    </row>
    <row r="3981" customFormat="false" ht="15" hidden="false" customHeight="false" outlineLevel="0" collapsed="false">
      <c r="B3981" s="36" t="n">
        <v>44865</v>
      </c>
      <c r="C3981" s="37" t="n">
        <v>5.2564</v>
      </c>
    </row>
    <row r="3982" customFormat="false" ht="15" hidden="false" customHeight="false" outlineLevel="0" collapsed="false">
      <c r="B3982" s="36" t="n">
        <v>44866</v>
      </c>
      <c r="C3982" s="37" t="n">
        <v>5.1494</v>
      </c>
    </row>
    <row r="3983" customFormat="false" ht="15" hidden="false" customHeight="false" outlineLevel="0" collapsed="false">
      <c r="B3983" s="36" t="n">
        <v>44868</v>
      </c>
      <c r="C3983" s="37" t="n">
        <v>5.1343</v>
      </c>
    </row>
    <row r="3984" customFormat="false" ht="15" hidden="false" customHeight="false" outlineLevel="0" collapsed="false">
      <c r="B3984" s="36" t="n">
        <v>44869</v>
      </c>
      <c r="C3984" s="37" t="n">
        <v>5.0354</v>
      </c>
    </row>
    <row r="3985" customFormat="false" ht="15" hidden="false" customHeight="false" outlineLevel="0" collapsed="false">
      <c r="B3985" s="36" t="n">
        <v>44872</v>
      </c>
      <c r="C3985" s="37" t="n">
        <v>5.088</v>
      </c>
    </row>
    <row r="3986" customFormat="false" ht="15" hidden="false" customHeight="false" outlineLevel="0" collapsed="false">
      <c r="B3986" s="36" t="n">
        <v>44873</v>
      </c>
      <c r="C3986" s="37" t="n">
        <v>5.1738</v>
      </c>
    </row>
    <row r="3987" customFormat="false" ht="15" hidden="false" customHeight="false" outlineLevel="0" collapsed="false">
      <c r="B3987" s="36" t="n">
        <v>44874</v>
      </c>
      <c r="C3987" s="37" t="n">
        <v>5.1623</v>
      </c>
    </row>
    <row r="3988" customFormat="false" ht="15" hidden="false" customHeight="false" outlineLevel="0" collapsed="false">
      <c r="B3988" s="36" t="n">
        <v>44875</v>
      </c>
      <c r="C3988" s="37" t="n">
        <v>5.3058</v>
      </c>
    </row>
    <row r="3989" customFormat="false" ht="15" hidden="false" customHeight="false" outlineLevel="0" collapsed="false">
      <c r="B3989" s="36" t="n">
        <v>44876</v>
      </c>
      <c r="C3989" s="37" t="n">
        <v>5.3045</v>
      </c>
    </row>
    <row r="3990" customFormat="false" ht="15" hidden="false" customHeight="false" outlineLevel="0" collapsed="false">
      <c r="B3990" s="36" t="n">
        <v>44879</v>
      </c>
      <c r="C3990" s="37" t="n">
        <v>5.3007</v>
      </c>
    </row>
    <row r="3991" customFormat="false" ht="15" hidden="false" customHeight="false" outlineLevel="0" collapsed="false">
      <c r="B3991" s="36" t="n">
        <v>44881</v>
      </c>
      <c r="C3991" s="37" t="n">
        <v>5.3198</v>
      </c>
    </row>
    <row r="3992" customFormat="false" ht="15" hidden="false" customHeight="false" outlineLevel="0" collapsed="false">
      <c r="B3992" s="36" t="n">
        <v>44882</v>
      </c>
      <c r="C3992" s="37" t="n">
        <v>5.4649</v>
      </c>
    </row>
    <row r="3993" customFormat="false" ht="15" hidden="false" customHeight="false" outlineLevel="0" collapsed="false">
      <c r="B3993" s="36" t="n">
        <v>44883</v>
      </c>
      <c r="C3993" s="37" t="n">
        <v>5.3471</v>
      </c>
    </row>
    <row r="3994" customFormat="false" ht="15" hidden="false" customHeight="false" outlineLevel="0" collapsed="false">
      <c r="B3994" s="36" t="n">
        <v>44886</v>
      </c>
      <c r="C3994" s="37" t="n">
        <v>5.3253</v>
      </c>
    </row>
    <row r="3995" customFormat="false" ht="15" hidden="false" customHeight="false" outlineLevel="0" collapsed="false">
      <c r="B3995" s="36" t="n">
        <v>44887</v>
      </c>
      <c r="C3995" s="37" t="n">
        <v>5.3333</v>
      </c>
    </row>
    <row r="3996" customFormat="false" ht="15" hidden="false" customHeight="false" outlineLevel="0" collapsed="false">
      <c r="B3996" s="36" t="n">
        <v>44888</v>
      </c>
      <c r="C3996" s="37" t="n">
        <v>5.3924</v>
      </c>
    </row>
    <row r="3997" customFormat="false" ht="15" hidden="false" customHeight="false" outlineLevel="0" collapsed="false">
      <c r="B3997" s="36" t="n">
        <v>44889</v>
      </c>
      <c r="C3997" s="37" t="n">
        <v>5.3143</v>
      </c>
    </row>
    <row r="3998" customFormat="false" ht="15" hidden="false" customHeight="false" outlineLevel="0" collapsed="false">
      <c r="B3998" s="36" t="n">
        <v>44890</v>
      </c>
      <c r="C3998" s="37" t="n">
        <v>5.3502</v>
      </c>
    </row>
    <row r="3999" customFormat="false" ht="15" hidden="false" customHeight="false" outlineLevel="0" collapsed="false">
      <c r="B3999" s="36" t="n">
        <v>44893</v>
      </c>
      <c r="C3999" s="37" t="n">
        <v>5.3791</v>
      </c>
    </row>
    <row r="4000" customFormat="false" ht="15" hidden="false" customHeight="false" outlineLevel="0" collapsed="false">
      <c r="B4000" s="36" t="n">
        <v>44894</v>
      </c>
      <c r="C4000" s="37" t="n">
        <v>5.307</v>
      </c>
    </row>
    <row r="4001" customFormat="false" ht="15" hidden="false" customHeight="false" outlineLevel="0" collapsed="false">
      <c r="B4001" s="36" t="n">
        <v>44895</v>
      </c>
      <c r="C4001" s="37" t="n">
        <v>5.2935</v>
      </c>
    </row>
    <row r="4002" customFormat="false" ht="15" hidden="false" customHeight="false" outlineLevel="0" collapsed="false">
      <c r="B4002" s="36" t="n">
        <v>44896</v>
      </c>
      <c r="C4002" s="37" t="n">
        <v>5.1942</v>
      </c>
    </row>
    <row r="4003" customFormat="false" ht="15" hidden="false" customHeight="false" outlineLevel="0" collapsed="false">
      <c r="B4003" s="36" t="n">
        <v>44897</v>
      </c>
      <c r="C4003" s="37" t="n">
        <v>5.1968</v>
      </c>
    </row>
    <row r="4004" customFormat="false" ht="15" hidden="false" customHeight="false" outlineLevel="0" collapsed="false">
      <c r="B4004" s="36" t="n">
        <v>44900</v>
      </c>
      <c r="C4004" s="37" t="n">
        <v>5.2457</v>
      </c>
    </row>
    <row r="4005" customFormat="false" ht="15" hidden="false" customHeight="false" outlineLevel="0" collapsed="false">
      <c r="B4005" s="36" t="n">
        <v>44901</v>
      </c>
      <c r="C4005" s="37" t="n">
        <v>5.239</v>
      </c>
    </row>
    <row r="4006" customFormat="false" ht="15" hidden="false" customHeight="false" outlineLevel="0" collapsed="false">
      <c r="B4006" s="36" t="n">
        <v>44902</v>
      </c>
      <c r="C4006" s="37" t="n">
        <v>5.2202</v>
      </c>
    </row>
    <row r="4007" customFormat="false" ht="15" hidden="false" customHeight="false" outlineLevel="0" collapsed="false">
      <c r="B4007" s="36" t="n">
        <v>44903</v>
      </c>
      <c r="C4007" s="37" t="n">
        <v>5.2085</v>
      </c>
    </row>
    <row r="4008" customFormat="false" ht="15" hidden="false" customHeight="false" outlineLevel="0" collapsed="false">
      <c r="B4008" s="36" t="n">
        <v>44904</v>
      </c>
      <c r="C4008" s="37" t="n">
        <v>5.239</v>
      </c>
    </row>
    <row r="4009" customFormat="false" ht="15" hidden="false" customHeight="false" outlineLevel="0" collapsed="false">
      <c r="B4009" s="36" t="n">
        <v>44907</v>
      </c>
      <c r="C4009" s="37" t="n">
        <v>5.306</v>
      </c>
    </row>
    <row r="4010" customFormat="false" ht="15" hidden="false" customHeight="false" outlineLevel="0" collapsed="false">
      <c r="B4010" s="36" t="n">
        <v>44908</v>
      </c>
      <c r="C4010" s="37" t="n">
        <v>5.2663</v>
      </c>
    </row>
    <row r="4011" customFormat="false" ht="15" hidden="false" customHeight="false" outlineLevel="0" collapsed="false">
      <c r="B4011" s="36" t="n">
        <v>44909</v>
      </c>
      <c r="C4011" s="37" t="n">
        <v>5.34</v>
      </c>
    </row>
    <row r="4012" customFormat="false" ht="15" hidden="false" customHeight="false" outlineLevel="0" collapsed="false">
      <c r="B4012" s="36" t="n">
        <v>44910</v>
      </c>
      <c r="C4012" s="37" t="n">
        <v>5.3177</v>
      </c>
    </row>
    <row r="4013" customFormat="false" ht="15" hidden="false" customHeight="false" outlineLevel="0" collapsed="false">
      <c r="B4013" s="36" t="n">
        <v>44911</v>
      </c>
      <c r="C4013" s="37" t="n">
        <v>5.2801</v>
      </c>
    </row>
    <row r="4014" customFormat="false" ht="15" hidden="false" customHeight="false" outlineLevel="0" collapsed="false">
      <c r="B4014" s="36" t="n">
        <v>44914</v>
      </c>
      <c r="C4014" s="37" t="n">
        <v>5.3154</v>
      </c>
    </row>
    <row r="4015" customFormat="false" ht="15" hidden="false" customHeight="false" outlineLevel="0" collapsed="false">
      <c r="B4015" s="36" t="n">
        <v>44915</v>
      </c>
      <c r="C4015" s="37" t="n">
        <v>5.2421</v>
      </c>
    </row>
    <row r="4016" customFormat="false" ht="15" hidden="false" customHeight="false" outlineLevel="0" collapsed="false">
      <c r="B4016" s="36" t="n">
        <v>44916</v>
      </c>
      <c r="C4016" s="37" t="n">
        <v>5.2025</v>
      </c>
    </row>
    <row r="4017" customFormat="false" ht="15" hidden="false" customHeight="false" outlineLevel="0" collapsed="false">
      <c r="B4017" s="36" t="n">
        <v>44917</v>
      </c>
      <c r="C4017" s="37" t="n">
        <v>5.1865</v>
      </c>
    </row>
    <row r="4018" customFormat="false" ht="15" hidden="false" customHeight="false" outlineLevel="0" collapsed="false">
      <c r="B4018" s="36" t="n">
        <v>44918</v>
      </c>
      <c r="C4018" s="37" t="n">
        <v>5.1439</v>
      </c>
    </row>
    <row r="4019" customFormat="false" ht="15" hidden="false" customHeight="false" outlineLevel="0" collapsed="false">
      <c r="B4019" s="36" t="n">
        <v>44921</v>
      </c>
      <c r="C4019" s="37" t="n">
        <v>5.1866</v>
      </c>
    </row>
    <row r="4020" customFormat="false" ht="15" hidden="false" customHeight="false" outlineLevel="0" collapsed="false">
      <c r="B4020" s="36" t="n">
        <v>44922</v>
      </c>
      <c r="C4020" s="37" t="n">
        <v>5.2826</v>
      </c>
    </row>
    <row r="4021" customFormat="false" ht="15" hidden="false" customHeight="false" outlineLevel="0" collapsed="false">
      <c r="B4021" s="36" t="n">
        <v>44923</v>
      </c>
      <c r="C4021" s="37" t="n">
        <v>5.273</v>
      </c>
    </row>
    <row r="4022" customFormat="false" ht="15" hidden="false" customHeight="false" outlineLevel="0" collapsed="false">
      <c r="B4022" s="36" t="n">
        <v>44924</v>
      </c>
      <c r="C4022" s="37" t="n">
        <v>5.2171</v>
      </c>
    </row>
    <row r="4023" customFormat="false" ht="15" hidden="false" customHeight="false" outlineLevel="0" collapsed="false">
      <c r="B4023" s="36" t="n">
        <v>44925</v>
      </c>
      <c r="C4023" s="37" t="n">
        <v>5.2171</v>
      </c>
    </row>
    <row r="4024" customFormat="false" ht="15" hidden="false" customHeight="false" outlineLevel="0" collapsed="false">
      <c r="B4024" s="36" t="n">
        <v>44928</v>
      </c>
      <c r="C4024" s="37" t="n">
        <v>5.343</v>
      </c>
    </row>
    <row r="4025" customFormat="false" ht="15" hidden="false" customHeight="false" outlineLevel="0" collapsed="false">
      <c r="B4025" s="36" t="n">
        <v>44929</v>
      </c>
      <c r="C4025" s="37" t="n">
        <v>5.3753</v>
      </c>
    </row>
    <row r="4026" customFormat="false" ht="15" hidden="false" customHeight="false" outlineLevel="0" collapsed="false">
      <c r="B4026" s="36" t="n">
        <v>44930</v>
      </c>
      <c r="C4026" s="37" t="n">
        <v>5.4453</v>
      </c>
    </row>
    <row r="4027" customFormat="false" ht="15" hidden="false" customHeight="false" outlineLevel="0" collapsed="false">
      <c r="B4027" s="36" t="n">
        <v>44931</v>
      </c>
      <c r="C4027" s="37" t="n">
        <v>5.402</v>
      </c>
    </row>
    <row r="4028" customFormat="false" ht="15" hidden="false" customHeight="false" outlineLevel="0" collapsed="false">
      <c r="B4028" s="36" t="n">
        <v>44932</v>
      </c>
      <c r="C4028" s="37" t="n">
        <v>5.2849</v>
      </c>
    </row>
    <row r="4029" customFormat="false" ht="15" hidden="false" customHeight="false" outlineLevel="0" collapsed="false">
      <c r="B4029" s="36" t="n">
        <v>44935</v>
      </c>
      <c r="C4029" s="37" t="n">
        <v>5.2961</v>
      </c>
    </row>
    <row r="4030" customFormat="false" ht="15" hidden="false" customHeight="false" outlineLevel="0" collapsed="false">
      <c r="B4030" s="36" t="n">
        <v>44936</v>
      </c>
      <c r="C4030" s="37" t="n">
        <v>5.2389</v>
      </c>
    </row>
    <row r="4031" customFormat="false" ht="15" hidden="false" customHeight="false" outlineLevel="0" collapsed="false">
      <c r="B4031" s="36" t="n">
        <v>44937</v>
      </c>
      <c r="C4031" s="37" t="n">
        <v>5.2014</v>
      </c>
    </row>
    <row r="4032" customFormat="false" ht="15" hidden="false" customHeight="false" outlineLevel="0" collapsed="false">
      <c r="B4032" s="36" t="n">
        <v>44938</v>
      </c>
      <c r="C4032" s="37" t="n">
        <v>5.1394</v>
      </c>
    </row>
    <row r="4033" customFormat="false" ht="15" hidden="false" customHeight="false" outlineLevel="0" collapsed="false">
      <c r="B4033" s="36" t="n">
        <v>44939</v>
      </c>
      <c r="C4033" s="37" t="n">
        <v>5.114</v>
      </c>
    </row>
    <row r="4034" customFormat="false" ht="15" hidden="false" customHeight="false" outlineLevel="0" collapsed="false">
      <c r="B4034" s="36" t="n">
        <v>44942</v>
      </c>
      <c r="C4034" s="37" t="n">
        <v>5.1109</v>
      </c>
    </row>
    <row r="4035" customFormat="false" ht="15" hidden="false" customHeight="false" outlineLevel="0" collapsed="false">
      <c r="B4035" s="36" t="n">
        <v>44943</v>
      </c>
      <c r="C4035" s="37" t="n">
        <v>5.1197</v>
      </c>
    </row>
    <row r="4036" customFormat="false" ht="15" hidden="false" customHeight="false" outlineLevel="0" collapsed="false">
      <c r="B4036" s="36" t="n">
        <v>44944</v>
      </c>
      <c r="C4036" s="37" t="n">
        <v>5.0903</v>
      </c>
    </row>
    <row r="4037" customFormat="false" ht="15" hidden="false" customHeight="false" outlineLevel="0" collapsed="false">
      <c r="B4037" s="36" t="n">
        <v>44945</v>
      </c>
      <c r="C4037" s="37" t="n">
        <v>5.2138</v>
      </c>
    </row>
    <row r="4038" customFormat="false" ht="15" hidden="false" customHeight="false" outlineLevel="0" collapsed="false">
      <c r="B4038" s="36" t="n">
        <v>44946</v>
      </c>
      <c r="C4038" s="37" t="n">
        <v>5.198</v>
      </c>
    </row>
    <row r="4039" customFormat="false" ht="15" hidden="false" customHeight="false" outlineLevel="0" collapsed="false">
      <c r="B4039" s="36" t="n">
        <v>44949</v>
      </c>
      <c r="C4039" s="37" t="n">
        <v>5.1916</v>
      </c>
    </row>
    <row r="4040" customFormat="false" ht="15" hidden="false" customHeight="false" outlineLevel="0" collapsed="false">
      <c r="B4040" s="36" t="n">
        <v>44950</v>
      </c>
      <c r="C4040" s="37" t="n">
        <v>5.169</v>
      </c>
    </row>
    <row r="4041" customFormat="false" ht="15" hidden="false" customHeight="false" outlineLevel="0" collapsed="false">
      <c r="B4041" s="36" t="n">
        <v>44951</v>
      </c>
      <c r="C4041" s="37" t="n">
        <v>5.1036</v>
      </c>
    </row>
    <row r="4042" customFormat="false" ht="15" hidden="false" customHeight="false" outlineLevel="0" collapsed="false">
      <c r="B4042" s="36" t="n">
        <v>44952</v>
      </c>
      <c r="C4042" s="37" t="n">
        <v>5.0945</v>
      </c>
    </row>
    <row r="4043" customFormat="false" ht="15" hidden="false" customHeight="false" outlineLevel="0" collapsed="false">
      <c r="B4043" s="36" t="n">
        <v>44953</v>
      </c>
      <c r="C4043" s="37" t="n">
        <v>5.0761</v>
      </c>
    </row>
    <row r="4044" customFormat="false" ht="15" hidden="false" customHeight="false" outlineLevel="0" collapsed="false">
      <c r="B4044" s="36" t="n">
        <v>44956</v>
      </c>
      <c r="C4044" s="37" t="n">
        <v>5.0953</v>
      </c>
    </row>
    <row r="4045" customFormat="false" ht="15" hidden="false" customHeight="false" outlineLevel="0" collapsed="false">
      <c r="B4045" s="36" t="n">
        <v>44957</v>
      </c>
      <c r="C4045" s="37" t="n">
        <v>5.0987</v>
      </c>
    </row>
    <row r="4046" customFormat="false" ht="15" hidden="false" customHeight="false" outlineLevel="0" collapsed="false">
      <c r="B4046" s="36" t="n">
        <v>44958</v>
      </c>
      <c r="C4046" s="37" t="n">
        <v>5.0715</v>
      </c>
    </row>
    <row r="4047" customFormat="false" ht="15" hidden="false" customHeight="false" outlineLevel="0" collapsed="false">
      <c r="B4047" s="36" t="n">
        <v>44959</v>
      </c>
      <c r="C4047" s="37" t="n">
        <v>4.9895</v>
      </c>
    </row>
    <row r="4048" customFormat="false" ht="15" hidden="false" customHeight="false" outlineLevel="0" collapsed="false">
      <c r="B4048" s="36" t="n">
        <v>44960</v>
      </c>
      <c r="C4048" s="37" t="n">
        <v>5.1024</v>
      </c>
    </row>
    <row r="4049" customFormat="false" ht="15" hidden="false" customHeight="false" outlineLevel="0" collapsed="false">
      <c r="B4049" s="36" t="n">
        <v>44963</v>
      </c>
      <c r="C4049" s="37" t="n">
        <v>5.1757</v>
      </c>
    </row>
    <row r="4050" customFormat="false" ht="15" hidden="false" customHeight="false" outlineLevel="0" collapsed="false">
      <c r="B4050" s="36" t="n">
        <v>44964</v>
      </c>
      <c r="C4050" s="37" t="n">
        <v>5.1689</v>
      </c>
    </row>
    <row r="4051" customFormat="false" ht="15" hidden="false" customHeight="false" outlineLevel="0" collapsed="false">
      <c r="B4051" s="36" t="n">
        <v>44965</v>
      </c>
      <c r="C4051" s="37" t="n">
        <v>5.203</v>
      </c>
    </row>
    <row r="4052" customFormat="false" ht="15" hidden="false" customHeight="false" outlineLevel="0" collapsed="false">
      <c r="B4052" s="36" t="n">
        <v>44966</v>
      </c>
      <c r="C4052" s="37" t="n">
        <v>5.2309</v>
      </c>
    </row>
    <row r="4053" customFormat="false" ht="15" hidden="false" customHeight="false" outlineLevel="0" collapsed="false">
      <c r="B4053" s="36" t="n">
        <v>44967</v>
      </c>
      <c r="C4053" s="37" t="n">
        <v>5.252</v>
      </c>
    </row>
    <row r="4054" customFormat="false" ht="15" hidden="false" customHeight="false" outlineLevel="0" collapsed="false">
      <c r="B4054" s="36" t="n">
        <v>44970</v>
      </c>
      <c r="C4054" s="37" t="n">
        <v>5.1828</v>
      </c>
    </row>
    <row r="4055" customFormat="false" ht="15" hidden="false" customHeight="false" outlineLevel="0" collapsed="false">
      <c r="B4055" s="36" t="n">
        <v>44971</v>
      </c>
      <c r="C4055" s="37" t="n">
        <v>5.1501</v>
      </c>
    </row>
    <row r="4056" customFormat="false" ht="15" hidden="false" customHeight="false" outlineLevel="0" collapsed="false">
      <c r="B4056" s="36" t="n">
        <v>44972</v>
      </c>
      <c r="C4056" s="37" t="n">
        <v>5.2237</v>
      </c>
    </row>
    <row r="4057" customFormat="false" ht="15" hidden="false" customHeight="false" outlineLevel="0" collapsed="false">
      <c r="B4057" s="36" t="n">
        <v>44973</v>
      </c>
      <c r="C4057" s="37" t="n">
        <v>5.2426</v>
      </c>
    </row>
    <row r="4058" customFormat="false" ht="15" hidden="false" customHeight="false" outlineLevel="0" collapsed="false">
      <c r="B4058" s="36" t="n">
        <v>44974</v>
      </c>
      <c r="C4058" s="37" t="n">
        <v>5.2006</v>
      </c>
    </row>
    <row r="4059" customFormat="false" ht="15" hidden="false" customHeight="false" outlineLevel="0" collapsed="false">
      <c r="B4059" s="36" t="n">
        <v>44979</v>
      </c>
      <c r="C4059" s="37" t="n">
        <v>5.1724</v>
      </c>
    </row>
    <row r="4060" customFormat="false" ht="15" hidden="false" customHeight="false" outlineLevel="0" collapsed="false">
      <c r="B4060" s="36" t="n">
        <v>44980</v>
      </c>
      <c r="C4060" s="37" t="n">
        <v>5.1324</v>
      </c>
    </row>
    <row r="4061" customFormat="false" ht="15" hidden="false" customHeight="false" outlineLevel="0" collapsed="false">
      <c r="B4061" s="36" t="n">
        <v>44981</v>
      </c>
      <c r="C4061" s="37" t="n">
        <v>5.1785</v>
      </c>
    </row>
    <row r="4062" customFormat="false" ht="15" hidden="false" customHeight="false" outlineLevel="0" collapsed="false">
      <c r="B4062" s="36" t="n">
        <v>44984</v>
      </c>
      <c r="C4062" s="37" t="n">
        <v>5.1954</v>
      </c>
    </row>
    <row r="4063" customFormat="false" ht="15" hidden="false" customHeight="false" outlineLevel="0" collapsed="false">
      <c r="B4063" s="36" t="n">
        <v>44985</v>
      </c>
      <c r="C4063" s="37" t="n">
        <v>5.2072</v>
      </c>
    </row>
    <row r="4064" customFormat="false" ht="15" hidden="false" customHeight="false" outlineLevel="0" collapsed="false">
      <c r="B4064" s="36" t="n">
        <v>44986</v>
      </c>
      <c r="C4064" s="37" t="n">
        <v>5.2064</v>
      </c>
    </row>
    <row r="4065" customFormat="false" ht="15" hidden="false" customHeight="false" outlineLevel="0" collapsed="false">
      <c r="B4065" s="36" t="n">
        <v>44987</v>
      </c>
      <c r="C4065" s="37" t="n">
        <v>5.2074</v>
      </c>
    </row>
    <row r="4066" customFormat="false" ht="15" hidden="false" customHeight="false" outlineLevel="0" collapsed="false">
      <c r="B4066" s="36" t="n">
        <v>44988</v>
      </c>
      <c r="C4066" s="37" t="n">
        <v>5.2031</v>
      </c>
    </row>
    <row r="4067" customFormat="false" ht="15" hidden="false" customHeight="false" outlineLevel="0" collapsed="false">
      <c r="B4067" s="36" t="n">
        <v>44991</v>
      </c>
      <c r="C4067" s="37" t="n">
        <v>5.1964</v>
      </c>
    </row>
    <row r="4068" customFormat="false" ht="15" hidden="false" customHeight="false" outlineLevel="0" collapsed="false">
      <c r="B4068" s="36" t="n">
        <v>44992</v>
      </c>
      <c r="C4068" s="37" t="n">
        <v>5.1895</v>
      </c>
    </row>
    <row r="4069" customFormat="false" ht="15" hidden="false" customHeight="false" outlineLevel="0" collapsed="false">
      <c r="B4069" s="36" t="n">
        <v>44993</v>
      </c>
      <c r="C4069" s="37" t="n">
        <v>5.1381</v>
      </c>
    </row>
    <row r="4070" customFormat="false" ht="15" hidden="false" customHeight="false" outlineLevel="0" collapsed="false">
      <c r="B4070" s="36" t="n">
        <v>44994</v>
      </c>
      <c r="C4070" s="37" t="n">
        <v>5.1347</v>
      </c>
    </row>
    <row r="4071" customFormat="false" ht="15" hidden="false" customHeight="false" outlineLevel="0" collapsed="false">
      <c r="B4071" s="36" t="n">
        <v>44995</v>
      </c>
      <c r="C4071" s="37" t="n">
        <v>5.1816</v>
      </c>
    </row>
    <row r="4072" customFormat="false" ht="15" hidden="false" customHeight="false" outlineLevel="0" collapsed="false">
      <c r="B4072" s="36" t="n">
        <v>44998</v>
      </c>
      <c r="C4072" s="37" t="n">
        <v>5.2394</v>
      </c>
    </row>
    <row r="4073" customFormat="false" ht="15" hidden="false" customHeight="false" outlineLevel="0" collapsed="false">
      <c r="B4073" s="36" t="n">
        <v>44999</v>
      </c>
      <c r="C4073" s="37" t="n">
        <v>5.2356</v>
      </c>
    </row>
    <row r="4074" customFormat="false" ht="15" hidden="false" customHeight="false" outlineLevel="0" collapsed="false">
      <c r="B4074" s="36" t="n">
        <v>45000</v>
      </c>
      <c r="C4074" s="37" t="n">
        <v>5.2975</v>
      </c>
    </row>
    <row r="4075" customFormat="false" ht="15" hidden="false" customHeight="false" outlineLevel="0" collapsed="false">
      <c r="B4075" s="36" t="n">
        <v>45001</v>
      </c>
      <c r="C4075" s="37" t="n">
        <v>5.2886</v>
      </c>
    </row>
    <row r="4076" customFormat="false" ht="15" hidden="false" customHeight="false" outlineLevel="0" collapsed="false">
      <c r="B4076" s="36" t="n">
        <v>45002</v>
      </c>
      <c r="C4076" s="37" t="n">
        <v>5.2673</v>
      </c>
    </row>
    <row r="4077" customFormat="false" ht="15" hidden="false" customHeight="false" outlineLevel="0" collapsed="false">
      <c r="B4077" s="36" t="n">
        <v>45005</v>
      </c>
      <c r="C4077" s="37" t="n">
        <v>5.2461</v>
      </c>
    </row>
    <row r="4078" customFormat="false" ht="15" hidden="false" customHeight="false" outlineLevel="0" collapsed="false">
      <c r="B4078" s="36" t="n">
        <v>45006</v>
      </c>
      <c r="C4078" s="37" t="n">
        <v>5.2438</v>
      </c>
    </row>
    <row r="4079" customFormat="false" ht="15" hidden="false" customHeight="false" outlineLevel="0" collapsed="false">
      <c r="B4079" s="36" t="n">
        <v>45007</v>
      </c>
      <c r="C4079" s="37" t="n">
        <v>5.2642</v>
      </c>
    </row>
    <row r="4080" customFormat="false" ht="15" hidden="false" customHeight="false" outlineLevel="0" collapsed="false">
      <c r="B4080" s="36" t="n">
        <v>45008</v>
      </c>
      <c r="C4080" s="37" t="n">
        <v>5.2626</v>
      </c>
    </row>
    <row r="4081" customFormat="false" ht="15" hidden="false" customHeight="false" outlineLevel="0" collapsed="false">
      <c r="B4081" s="36" t="n">
        <v>45009</v>
      </c>
      <c r="C4081" s="37" t="n">
        <v>5.2915</v>
      </c>
    </row>
    <row r="4082" customFormat="false" ht="15" hidden="false" customHeight="false" outlineLevel="0" collapsed="false">
      <c r="B4082" s="36" t="n">
        <v>45012</v>
      </c>
      <c r="C4082" s="37" t="n">
        <v>5.23</v>
      </c>
    </row>
    <row r="4083" customFormat="false" ht="15" hidden="false" customHeight="false" outlineLevel="0" collapsed="false">
      <c r="B4083" s="36" t="n">
        <v>45013</v>
      </c>
      <c r="C4083" s="37" t="n">
        <v>5.1727</v>
      </c>
    </row>
    <row r="4084" customFormat="false" ht="15" hidden="false" customHeight="false" outlineLevel="0" collapsed="false">
      <c r="B4084" s="36" t="n">
        <v>45014</v>
      </c>
      <c r="C4084" s="37" t="n">
        <v>5.1487</v>
      </c>
    </row>
    <row r="4085" customFormat="false" ht="15" hidden="false" customHeight="false" outlineLevel="0" collapsed="false">
      <c r="B4085" s="36" t="n">
        <v>45015</v>
      </c>
      <c r="C4085" s="37" t="n">
        <v>5.1248</v>
      </c>
    </row>
    <row r="4086" customFormat="false" ht="15" hidden="false" customHeight="false" outlineLevel="0" collapsed="false">
      <c r="B4086" s="36" t="n">
        <v>45016</v>
      </c>
      <c r="C4086" s="37" t="n">
        <v>5.0798</v>
      </c>
    </row>
    <row r="4087" customFormat="false" ht="15" hidden="false" customHeight="false" outlineLevel="0" collapsed="false">
      <c r="B4087" s="36" t="n">
        <v>45019</v>
      </c>
      <c r="C4087" s="37" t="n">
        <v>5.0631</v>
      </c>
    </row>
    <row r="4088" customFormat="false" ht="15" hidden="false" customHeight="false" outlineLevel="0" collapsed="false">
      <c r="B4088" s="36" t="n">
        <v>45020</v>
      </c>
      <c r="C4088" s="37" t="n">
        <v>5.0756</v>
      </c>
    </row>
    <row r="4089" customFormat="false" ht="15" hidden="false" customHeight="false" outlineLevel="0" collapsed="false">
      <c r="B4089" s="36" t="n">
        <v>45021</v>
      </c>
      <c r="C4089" s="37" t="n">
        <v>5.0441</v>
      </c>
    </row>
    <row r="4090" customFormat="false" ht="15" hidden="false" customHeight="false" outlineLevel="0" collapsed="false">
      <c r="B4090" s="36" t="n">
        <v>45022</v>
      </c>
      <c r="C4090" s="37" t="n">
        <v>5.0677</v>
      </c>
    </row>
    <row r="4091" customFormat="false" ht="15" hidden="false" customHeight="false" outlineLevel="0" collapsed="false">
      <c r="B4091" s="36" t="n">
        <v>45026</v>
      </c>
      <c r="C4091" s="37" t="n">
        <v>5.0828</v>
      </c>
    </row>
    <row r="4092" customFormat="false" ht="15" hidden="false" customHeight="false" outlineLevel="0" collapsed="false">
      <c r="B4092" s="36" t="n">
        <v>45027</v>
      </c>
      <c r="C4092" s="37" t="n">
        <v>5.0122</v>
      </c>
    </row>
    <row r="4093" customFormat="false" ht="15" hidden="false" customHeight="false" outlineLevel="0" collapsed="false">
      <c r="B4093" s="36" t="n">
        <v>45028</v>
      </c>
      <c r="C4093" s="37" t="n">
        <v>4.949</v>
      </c>
    </row>
    <row r="4094" customFormat="false" ht="15" hidden="false" customHeight="false" outlineLevel="0" collapsed="false">
      <c r="B4094" s="36" t="n">
        <v>45029</v>
      </c>
      <c r="C4094" s="37" t="n">
        <v>4.9091</v>
      </c>
    </row>
    <row r="4095" customFormat="false" ht="15" hidden="false" customHeight="false" outlineLevel="0" collapsed="false">
      <c r="B4095" s="36" t="n">
        <v>45030</v>
      </c>
      <c r="C4095" s="37" t="n">
        <v>4.9449</v>
      </c>
    </row>
    <row r="4096" customFormat="false" ht="15" hidden="false" customHeight="false" outlineLevel="0" collapsed="false">
      <c r="B4096" s="36" t="n">
        <v>45033</v>
      </c>
      <c r="C4096" s="37" t="n">
        <v>4.9415</v>
      </c>
    </row>
    <row r="4097" customFormat="false" ht="15" hidden="false" customHeight="false" outlineLevel="0" collapsed="false">
      <c r="B4097" s="36" t="n">
        <v>45034</v>
      </c>
      <c r="C4097" s="37" t="n">
        <v>4.9672</v>
      </c>
    </row>
    <row r="4098" customFormat="false" ht="15" hidden="false" customHeight="false" outlineLevel="0" collapsed="false">
      <c r="B4098" s="36" t="n">
        <v>45035</v>
      </c>
      <c r="C4098" s="37" t="n">
        <v>5.0461</v>
      </c>
    </row>
    <row r="4099" customFormat="false" ht="15" hidden="false" customHeight="false" outlineLevel="0" collapsed="false">
      <c r="B4099" s="36" t="n">
        <v>45036</v>
      </c>
      <c r="C4099" s="37" t="n">
        <v>5.0491</v>
      </c>
    </row>
    <row r="4100" customFormat="false" ht="15" hidden="false" customHeight="false" outlineLevel="0" collapsed="false">
      <c r="B4100" s="36" t="n">
        <v>45040</v>
      </c>
      <c r="C4100" s="37" t="n">
        <v>5.0589</v>
      </c>
    </row>
    <row r="4101" customFormat="false" ht="15" hidden="false" customHeight="false" outlineLevel="0" collapsed="false">
      <c r="B4101" s="36" t="n">
        <v>45041</v>
      </c>
      <c r="C4101" s="37" t="n">
        <v>5.0607</v>
      </c>
    </row>
    <row r="4102" customFormat="false" ht="15" hidden="false" customHeight="false" outlineLevel="0" collapsed="false">
      <c r="B4102" s="36" t="n">
        <v>45042</v>
      </c>
      <c r="C4102" s="37" t="n">
        <v>5.0579</v>
      </c>
    </row>
    <row r="4103" customFormat="false" ht="15" hidden="false" customHeight="false" outlineLevel="0" collapsed="false">
      <c r="B4103" s="36" t="n">
        <v>45043</v>
      </c>
      <c r="C4103" s="37" t="n">
        <v>5.0144</v>
      </c>
    </row>
    <row r="4104" customFormat="false" ht="15" hidden="false" customHeight="false" outlineLevel="0" collapsed="false">
      <c r="B4104" s="36" t="n">
        <v>45044</v>
      </c>
      <c r="C4104" s="37" t="n">
        <v>5.0001</v>
      </c>
    </row>
    <row r="4105" customFormat="false" ht="15" hidden="false" customHeight="false" outlineLevel="0" collapsed="false">
      <c r="B4105" s="36" t="n">
        <v>45048</v>
      </c>
      <c r="C4105" s="37" t="n">
        <v>5.0329</v>
      </c>
    </row>
    <row r="4106" customFormat="false" ht="15" hidden="false" customHeight="false" outlineLevel="0" collapsed="false">
      <c r="B4106" s="36" t="n">
        <v>45049</v>
      </c>
      <c r="C4106" s="37" t="n">
        <v>5.0221</v>
      </c>
    </row>
    <row r="4107" customFormat="false" ht="15" hidden="false" customHeight="false" outlineLevel="0" collapsed="false">
      <c r="B4107" s="36" t="n">
        <v>45050</v>
      </c>
      <c r="C4107" s="37" t="n">
        <v>5.01</v>
      </c>
    </row>
    <row r="4108" customFormat="false" ht="15" hidden="false" customHeight="false" outlineLevel="0" collapsed="false">
      <c r="B4108" s="36" t="n">
        <v>45051</v>
      </c>
      <c r="C4108" s="37" t="n">
        <v>4.969</v>
      </c>
    </row>
    <row r="4109" customFormat="false" ht="15" hidden="false" customHeight="false" outlineLevel="0" collapsed="false">
      <c r="B4109" s="36" t="n">
        <v>45054</v>
      </c>
      <c r="C4109" s="37" t="n">
        <v>4.969</v>
      </c>
    </row>
    <row r="4110" customFormat="false" ht="15" hidden="false" customHeight="false" outlineLevel="0" collapsed="false">
      <c r="B4110" s="36" t="n">
        <v>45055</v>
      </c>
      <c r="C4110" s="37" t="n">
        <v>5.0001</v>
      </c>
    </row>
    <row r="4111" customFormat="false" ht="15" hidden="false" customHeight="false" outlineLevel="0" collapsed="false">
      <c r="B4111" s="36" t="n">
        <v>45056</v>
      </c>
      <c r="C4111" s="37" t="n">
        <v>4.9541</v>
      </c>
    </row>
    <row r="4112" customFormat="false" ht="15" hidden="false" customHeight="false" outlineLevel="0" collapsed="false">
      <c r="B4112" s="36" t="n">
        <v>45057</v>
      </c>
      <c r="C4112" s="37" t="n">
        <v>4.969</v>
      </c>
    </row>
    <row r="4113" customFormat="false" ht="15" hidden="false" customHeight="false" outlineLevel="0" collapsed="false">
      <c r="B4113" s="36" t="n">
        <v>45058</v>
      </c>
      <c r="C4113" s="37" t="n">
        <v>4.9228</v>
      </c>
    </row>
    <row r="4114" customFormat="false" ht="15" hidden="false" customHeight="false" outlineLevel="0" collapsed="false">
      <c r="B4114" s="36" t="n">
        <v>45061</v>
      </c>
      <c r="C4114" s="37" t="n">
        <v>4.9097</v>
      </c>
    </row>
    <row r="4115" customFormat="false" ht="15" hidden="false" customHeight="false" outlineLevel="0" collapsed="false">
      <c r="B4115" s="36" t="n">
        <v>45062</v>
      </c>
      <c r="C4115" s="37" t="n">
        <v>4.9116</v>
      </c>
    </row>
    <row r="4116" customFormat="false" ht="15" hidden="false" customHeight="false" outlineLevel="0" collapsed="false">
      <c r="B4116" s="36" t="n">
        <v>45063</v>
      </c>
      <c r="C4116" s="37" t="n">
        <v>4.9507</v>
      </c>
    </row>
    <row r="4117" customFormat="false" ht="15" hidden="false" customHeight="false" outlineLevel="0" collapsed="false">
      <c r="B4117" s="36" t="n">
        <v>45064</v>
      </c>
      <c r="C4117" s="37" t="n">
        <v>4.9641</v>
      </c>
    </row>
    <row r="4118" customFormat="false" ht="15" hidden="false" customHeight="false" outlineLevel="0" collapsed="false">
      <c r="B4118" s="36" t="n">
        <v>45065</v>
      </c>
      <c r="C4118" s="37" t="n">
        <v>4.9852</v>
      </c>
    </row>
    <row r="4119" customFormat="false" ht="15" hidden="false" customHeight="false" outlineLevel="0" collapsed="false">
      <c r="B4119" s="36" t="n">
        <v>45068</v>
      </c>
      <c r="C4119" s="37" t="n">
        <v>4.9674</v>
      </c>
    </row>
    <row r="4120" customFormat="false" ht="15" hidden="false" customHeight="false" outlineLevel="0" collapsed="false">
      <c r="B4120" s="36" t="n">
        <v>45069</v>
      </c>
      <c r="C4120" s="37" t="n">
        <v>4.9668</v>
      </c>
    </row>
    <row r="4121" customFormat="false" ht="15" hidden="false" customHeight="false" outlineLevel="0" collapsed="false">
      <c r="B4121" s="36" t="n">
        <v>45070</v>
      </c>
      <c r="C4121" s="37" t="n">
        <v>4.9468</v>
      </c>
    </row>
    <row r="4122" customFormat="false" ht="15" hidden="false" customHeight="false" outlineLevel="0" collapsed="false">
      <c r="B4122" s="36" t="n">
        <v>45071</v>
      </c>
      <c r="C4122" s="37" t="n">
        <v>4.9984</v>
      </c>
    </row>
    <row r="4123" customFormat="false" ht="15" hidden="false" customHeight="false" outlineLevel="0" collapsed="false">
      <c r="B4123" s="36" t="n">
        <v>45072</v>
      </c>
      <c r="C4123" s="37" t="n">
        <v>5.0108</v>
      </c>
    </row>
    <row r="4124" customFormat="false" ht="15" hidden="false" customHeight="false" outlineLevel="0" collapsed="false">
      <c r="B4124" s="36" t="n">
        <v>45075</v>
      </c>
      <c r="C4124" s="37" t="n">
        <v>4.9948</v>
      </c>
    </row>
    <row r="4125" customFormat="false" ht="15" hidden="false" customHeight="false" outlineLevel="0" collapsed="false">
      <c r="B4125" s="36" t="n">
        <v>45076</v>
      </c>
      <c r="C4125" s="37" t="n">
        <v>5.0587</v>
      </c>
    </row>
    <row r="4126" customFormat="false" ht="15" hidden="false" customHeight="false" outlineLevel="0" collapsed="false">
      <c r="B4126" s="36" t="n">
        <v>45077</v>
      </c>
      <c r="C4126" s="37" t="n">
        <v>5.0953</v>
      </c>
    </row>
    <row r="4127" customFormat="false" ht="15" hidden="false" customHeight="false" outlineLevel="0" collapsed="false">
      <c r="B4127" s="36" t="n">
        <v>45078</v>
      </c>
      <c r="C4127" s="37" t="n">
        <v>5.0344</v>
      </c>
    </row>
    <row r="4128" customFormat="false" ht="15" hidden="false" customHeight="false" outlineLevel="0" collapsed="false">
      <c r="B4128" s="36" t="n">
        <v>45079</v>
      </c>
      <c r="C4128" s="37" t="n">
        <v>4.9552</v>
      </c>
    </row>
    <row r="4129" customFormat="false" ht="15" hidden="false" customHeight="false" outlineLevel="0" collapsed="false">
      <c r="B4129" s="36" t="n">
        <v>45082</v>
      </c>
      <c r="C4129" s="37" t="n">
        <v>4.923</v>
      </c>
    </row>
    <row r="4130" customFormat="false" ht="15" hidden="false" customHeight="false" outlineLevel="0" collapsed="false">
      <c r="B4130" s="36" t="n">
        <v>45083</v>
      </c>
      <c r="C4130" s="37" t="n">
        <v>4.9286</v>
      </c>
    </row>
    <row r="4131" customFormat="false" ht="15" hidden="false" customHeight="false" outlineLevel="0" collapsed="false">
      <c r="B4131" s="36" t="n">
        <v>45084</v>
      </c>
      <c r="C4131" s="37" t="n">
        <v>4.9113</v>
      </c>
    </row>
    <row r="4132" customFormat="false" ht="15" hidden="false" customHeight="false" outlineLevel="0" collapsed="false">
      <c r="B4132" s="36" t="n">
        <v>45086</v>
      </c>
      <c r="C4132" s="37" t="n">
        <v>4.8916</v>
      </c>
    </row>
    <row r="4133" customFormat="false" ht="15" hidden="false" customHeight="false" outlineLevel="0" collapsed="false">
      <c r="B4133" s="36" t="n">
        <v>45089</v>
      </c>
      <c r="C4133" s="37" t="n">
        <v>4.8826</v>
      </c>
    </row>
    <row r="4134" customFormat="false" ht="15" hidden="false" customHeight="false" outlineLevel="0" collapsed="false">
      <c r="B4134" s="36" t="n">
        <v>45090</v>
      </c>
      <c r="C4134" s="37" t="n">
        <v>4.8527</v>
      </c>
    </row>
    <row r="4135" customFormat="false" ht="15" hidden="false" customHeight="false" outlineLevel="0" collapsed="false">
      <c r="B4135" s="36" t="n">
        <v>45091</v>
      </c>
      <c r="C4135" s="37" t="n">
        <v>4.8456</v>
      </c>
    </row>
    <row r="4136" customFormat="false" ht="15" hidden="false" customHeight="false" outlineLevel="0" collapsed="false">
      <c r="B4136" s="36" t="n">
        <v>45092</v>
      </c>
      <c r="C4136" s="37" t="n">
        <v>4.8216</v>
      </c>
    </row>
    <row r="4137" customFormat="false" ht="15" hidden="false" customHeight="false" outlineLevel="0" collapsed="false">
      <c r="B4137" s="36" t="n">
        <v>45093</v>
      </c>
      <c r="C4137" s="37" t="n">
        <v>4.828</v>
      </c>
    </row>
    <row r="4138" customFormat="false" ht="15" hidden="false" customHeight="false" outlineLevel="0" collapsed="false">
      <c r="B4138" s="36" t="n">
        <v>45096</v>
      </c>
      <c r="C4138" s="37" t="n">
        <v>4.7797</v>
      </c>
    </row>
    <row r="4139" customFormat="false" ht="15" hidden="false" customHeight="false" outlineLevel="0" collapsed="false">
      <c r="B4139" s="36" t="n">
        <v>45097</v>
      </c>
      <c r="C4139" s="37" t="n">
        <v>4.7924</v>
      </c>
    </row>
    <row r="4140" customFormat="false" ht="15" hidden="false" customHeight="false" outlineLevel="0" collapsed="false">
      <c r="B4140" s="36" t="n">
        <v>45098</v>
      </c>
      <c r="C4140" s="37" t="n">
        <v>4.7789</v>
      </c>
    </row>
    <row r="4141" customFormat="false" ht="15" hidden="false" customHeight="false" outlineLevel="0" collapsed="false">
      <c r="B4141" s="36" t="n">
        <v>45099</v>
      </c>
      <c r="C4141" s="37" t="n">
        <v>4.7744</v>
      </c>
    </row>
    <row r="4142" customFormat="false" ht="15" hidden="false" customHeight="false" outlineLevel="0" collapsed="false">
      <c r="B4142" s="36" t="n">
        <v>45100</v>
      </c>
      <c r="C4142" s="37" t="n">
        <v>4.7793</v>
      </c>
    </row>
    <row r="4143" customFormat="false" ht="15" hidden="false" customHeight="false" outlineLevel="0" collapsed="false">
      <c r="B4143" s="36" t="n">
        <v>45103</v>
      </c>
      <c r="C4143" s="37" t="n">
        <v>4.7692</v>
      </c>
    </row>
    <row r="4144" customFormat="false" ht="15" hidden="false" customHeight="false" outlineLevel="0" collapsed="false">
      <c r="B4144" s="36" t="n">
        <v>45104</v>
      </c>
      <c r="C4144" s="37" t="n">
        <v>4.7897</v>
      </c>
    </row>
    <row r="4145" customFormat="false" ht="15" hidden="false" customHeight="false" outlineLevel="0" collapsed="false">
      <c r="B4145" s="36" t="n">
        <v>45105</v>
      </c>
      <c r="C4145" s="37" t="n">
        <v>4.8557</v>
      </c>
    </row>
    <row r="4146" customFormat="false" ht="15" hidden="false" customHeight="false" outlineLevel="0" collapsed="false">
      <c r="B4146" s="36" t="n">
        <v>45106</v>
      </c>
      <c r="C4146" s="37" t="n">
        <v>4.8578</v>
      </c>
    </row>
    <row r="4147" customFormat="false" ht="15" hidden="false" customHeight="false" outlineLevel="0" collapsed="false">
      <c r="B4147" s="36" t="n">
        <v>45107</v>
      </c>
      <c r="C4147" s="37" t="n">
        <v>4.8186</v>
      </c>
    </row>
    <row r="4148" customFormat="false" ht="15" hidden="false" customHeight="false" outlineLevel="0" collapsed="false">
      <c r="B4148" s="36" t="n">
        <v>45110</v>
      </c>
      <c r="C4148" s="37" t="n">
        <v>4.787</v>
      </c>
    </row>
    <row r="4149" customFormat="false" ht="15" hidden="false" customHeight="false" outlineLevel="0" collapsed="false">
      <c r="B4149" s="36" t="n">
        <v>45111</v>
      </c>
      <c r="C4149" s="37" t="n">
        <v>4.805</v>
      </c>
    </row>
    <row r="4150" customFormat="false" ht="15" hidden="false" customHeight="false" outlineLevel="0" collapsed="false">
      <c r="B4150" s="36" t="n">
        <v>45112</v>
      </c>
      <c r="C4150" s="37" t="n">
        <v>4.8571</v>
      </c>
    </row>
    <row r="4151" customFormat="false" ht="15" hidden="false" customHeight="false" outlineLevel="0" collapsed="false">
      <c r="B4151" s="36" t="n">
        <v>45113</v>
      </c>
      <c r="C4151" s="37" t="n">
        <v>4.8971</v>
      </c>
    </row>
    <row r="4152" customFormat="false" ht="15" hidden="false" customHeight="false" outlineLevel="0" collapsed="false">
      <c r="B4152" s="36" t="n">
        <v>45114</v>
      </c>
      <c r="C4152" s="37" t="n">
        <v>4.8793</v>
      </c>
    </row>
    <row r="4153" customFormat="false" ht="15" hidden="false" customHeight="false" outlineLevel="0" collapsed="false">
      <c r="B4153" s="36" t="n">
        <v>45117</v>
      </c>
      <c r="C4153" s="37" t="n">
        <v>4.8729</v>
      </c>
    </row>
    <row r="4154" customFormat="false" ht="15" hidden="false" customHeight="false" outlineLevel="0" collapsed="false">
      <c r="B4154" s="36" t="n">
        <v>45118</v>
      </c>
      <c r="C4154" s="37" t="n">
        <v>4.8943</v>
      </c>
    </row>
    <row r="4155" customFormat="false" ht="15" hidden="false" customHeight="false" outlineLevel="0" collapsed="false">
      <c r="B4155" s="36" t="n">
        <v>45119</v>
      </c>
      <c r="C4155" s="37" t="n">
        <v>4.8052</v>
      </c>
    </row>
    <row r="4156" customFormat="false" ht="15" hidden="false" customHeight="false" outlineLevel="0" collapsed="false">
      <c r="B4156" s="36" t="n">
        <v>45120</v>
      </c>
      <c r="C4156" s="37" t="n">
        <v>4.8032</v>
      </c>
    </row>
    <row r="4157" customFormat="false" ht="15" hidden="false" customHeight="false" outlineLevel="0" collapsed="false">
      <c r="B4157" s="36" t="n">
        <v>45121</v>
      </c>
      <c r="C4157" s="37" t="n">
        <v>4.7951</v>
      </c>
    </row>
    <row r="4158" customFormat="false" ht="15" hidden="false" customHeight="false" outlineLevel="0" collapsed="false">
      <c r="B4158" s="36" t="n">
        <v>45124</v>
      </c>
      <c r="C4158" s="37" t="n">
        <v>4.8296</v>
      </c>
    </row>
    <row r="4159" customFormat="false" ht="15" hidden="false" customHeight="false" outlineLevel="0" collapsed="false">
      <c r="B4159" s="36" t="n">
        <v>45125</v>
      </c>
      <c r="C4159" s="37" t="n">
        <v>4.8034</v>
      </c>
    </row>
    <row r="4160" customFormat="false" ht="15" hidden="false" customHeight="false" outlineLevel="0" collapsed="false">
      <c r="B4160" s="36" t="n">
        <v>45126</v>
      </c>
      <c r="C4160" s="37" t="n">
        <v>4.7994</v>
      </c>
    </row>
    <row r="4161" customFormat="false" ht="15" hidden="false" customHeight="false" outlineLevel="0" collapsed="false">
      <c r="B4161" s="36" t="n">
        <v>45127</v>
      </c>
      <c r="C4161" s="37" t="n">
        <v>4.7882</v>
      </c>
    </row>
    <row r="4162" customFormat="false" ht="15" hidden="false" customHeight="false" outlineLevel="0" collapsed="false">
      <c r="B4162" s="36" t="n">
        <v>45128</v>
      </c>
      <c r="C4162" s="37" t="n">
        <v>4.7726</v>
      </c>
    </row>
    <row r="4163" customFormat="false" ht="15" hidden="false" customHeight="false" outlineLevel="0" collapsed="false">
      <c r="B4163" s="36" t="n">
        <v>45131</v>
      </c>
      <c r="C4163" s="37" t="n">
        <v>4.7451</v>
      </c>
    </row>
    <row r="4164" customFormat="false" ht="15" hidden="false" customHeight="false" outlineLevel="0" collapsed="false">
      <c r="B4164" s="36" t="n">
        <v>45132</v>
      </c>
      <c r="C4164" s="37" t="n">
        <v>4.749</v>
      </c>
    </row>
    <row r="4165" customFormat="false" ht="15" hidden="false" customHeight="false" outlineLevel="0" collapsed="false">
      <c r="B4165" s="36" t="n">
        <v>45133</v>
      </c>
      <c r="C4165" s="37" t="n">
        <v>4.7362</v>
      </c>
    </row>
    <row r="4166" customFormat="false" ht="15" hidden="false" customHeight="false" outlineLevel="0" collapsed="false">
      <c r="B4166" s="36" t="n">
        <v>45134</v>
      </c>
      <c r="C4166" s="37" t="n">
        <v>4.7196</v>
      </c>
    </row>
    <row r="4167" customFormat="false" ht="15" hidden="false" customHeight="false" outlineLevel="0" collapsed="false">
      <c r="B4167" s="36" t="n">
        <v>45135</v>
      </c>
      <c r="C4167" s="37" t="n">
        <v>4.7247</v>
      </c>
    </row>
    <row r="4168" customFormat="false" ht="15" hidden="false" customHeight="false" outlineLevel="0" collapsed="false">
      <c r="B4168" s="36" t="n">
        <v>45138</v>
      </c>
      <c r="C4168" s="37" t="n">
        <v>4.7409</v>
      </c>
    </row>
    <row r="4169" customFormat="false" ht="15" hidden="false" customHeight="false" outlineLevel="0" collapsed="false">
      <c r="B4169" s="36" t="n">
        <v>45139</v>
      </c>
      <c r="C4169" s="37" t="n">
        <v>4.7746</v>
      </c>
    </row>
    <row r="4170" customFormat="false" ht="15" hidden="false" customHeight="false" outlineLevel="0" collapsed="false">
      <c r="B4170" s="36" t="n">
        <v>45140</v>
      </c>
      <c r="C4170" s="37" t="n">
        <v>4.8077</v>
      </c>
    </row>
    <row r="4171" customFormat="false" ht="15" hidden="false" customHeight="false" outlineLevel="0" collapsed="false">
      <c r="B4171" s="36" t="n">
        <v>45141</v>
      </c>
      <c r="C4171" s="37" t="n">
        <v>4.8791</v>
      </c>
    </row>
    <row r="4172" customFormat="false" ht="15" hidden="false" customHeight="false" outlineLevel="0" collapsed="false">
      <c r="B4172" s="36" t="n">
        <v>45142</v>
      </c>
      <c r="C4172" s="37" t="n">
        <v>4.8603</v>
      </c>
    </row>
    <row r="4173" customFormat="false" ht="15" hidden="false" customHeight="false" outlineLevel="0" collapsed="false">
      <c r="B4173" s="36" t="n">
        <v>45145</v>
      </c>
      <c r="C4173" s="37" t="n">
        <v>4.9004</v>
      </c>
    </row>
    <row r="4174" customFormat="false" ht="15" hidden="false" customHeight="false" outlineLevel="0" collapsed="false">
      <c r="B4174" s="36" t="n">
        <v>45146</v>
      </c>
      <c r="C4174" s="37" t="n">
        <v>4.9211</v>
      </c>
    </row>
    <row r="4175" customFormat="false" ht="15" hidden="false" customHeight="false" outlineLevel="0" collapsed="false">
      <c r="B4175" s="36" t="n">
        <v>45147</v>
      </c>
      <c r="C4175" s="37" t="n">
        <v>4.9009</v>
      </c>
    </row>
    <row r="4176" customFormat="false" ht="15" hidden="false" customHeight="false" outlineLevel="0" collapsed="false">
      <c r="B4176" s="36" t="n">
        <v>45148</v>
      </c>
      <c r="C4176" s="37" t="n">
        <v>4.8512</v>
      </c>
    </row>
    <row r="4177" customFormat="false" ht="15" hidden="false" customHeight="false" outlineLevel="0" collapsed="false">
      <c r="B4177" s="36" t="n">
        <v>45149</v>
      </c>
      <c r="C4177" s="37" t="n">
        <v>4.8912</v>
      </c>
    </row>
    <row r="4178" customFormat="false" ht="15" hidden="false" customHeight="false" outlineLevel="0" collapsed="false">
      <c r="B4178" s="36" t="n">
        <v>45152</v>
      </c>
      <c r="C4178" s="37" t="n">
        <v>4.9475</v>
      </c>
    </row>
    <row r="4179" customFormat="false" ht="15" hidden="false" customHeight="false" outlineLevel="0" collapsed="false">
      <c r="B4179" s="36" t="n">
        <v>45153</v>
      </c>
      <c r="C4179" s="37" t="n">
        <v>4.9806</v>
      </c>
    </row>
    <row r="4180" customFormat="false" ht="15" hidden="false" customHeight="false" outlineLevel="0" collapsed="false">
      <c r="B4180" s="36" t="n">
        <v>45154</v>
      </c>
      <c r="C4180" s="37" t="n">
        <v>4.9765</v>
      </c>
    </row>
    <row r="4181" customFormat="false" ht="15" hidden="false" customHeight="false" outlineLevel="0" collapsed="false">
      <c r="B4181" s="36" t="n">
        <v>45155</v>
      </c>
      <c r="C4181" s="37" t="n">
        <v>4.981</v>
      </c>
    </row>
    <row r="4182" customFormat="false" ht="15" hidden="false" customHeight="false" outlineLevel="0" collapsed="false">
      <c r="B4182" s="36" t="n">
        <v>45156</v>
      </c>
      <c r="C4182" s="37" t="n">
        <v>4.9718</v>
      </c>
    </row>
    <row r="4183" customFormat="false" ht="15" hidden="false" customHeight="false" outlineLevel="0" collapsed="false">
      <c r="B4183" s="36" t="n">
        <v>45159</v>
      </c>
      <c r="C4183" s="37" t="n">
        <v>4.9841</v>
      </c>
    </row>
    <row r="4184" customFormat="false" ht="15" hidden="false" customHeight="false" outlineLevel="0" collapsed="false">
      <c r="B4184" s="36" t="n">
        <v>45160</v>
      </c>
      <c r="C4184" s="37" t="n">
        <v>4.9425</v>
      </c>
    </row>
    <row r="4185" customFormat="false" ht="15" hidden="false" customHeight="false" outlineLevel="0" collapsed="false">
      <c r="B4185" s="36" t="n">
        <v>45161</v>
      </c>
      <c r="C4185" s="37" t="n">
        <v>4.8971</v>
      </c>
    </row>
    <row r="4186" customFormat="false" ht="15" hidden="false" customHeight="false" outlineLevel="0" collapsed="false">
      <c r="B4186" s="36" t="n">
        <v>45162</v>
      </c>
      <c r="C4186" s="37" t="n">
        <v>4.8742</v>
      </c>
    </row>
    <row r="4187" customFormat="false" ht="15" hidden="false" customHeight="false" outlineLevel="0" collapsed="false">
      <c r="B4187" s="36" t="n">
        <v>45163</v>
      </c>
      <c r="C4187" s="37" t="n">
        <v>4.8766</v>
      </c>
    </row>
    <row r="4188" customFormat="false" ht="15" hidden="false" customHeight="false" outlineLevel="0" collapsed="false">
      <c r="B4188" s="36" t="n">
        <v>45166</v>
      </c>
      <c r="C4188" s="37" t="n">
        <v>4.8933</v>
      </c>
    </row>
    <row r="4189" customFormat="false" ht="15" hidden="false" customHeight="false" outlineLevel="0" collapsed="false">
      <c r="B4189" s="36" t="n">
        <v>45167</v>
      </c>
      <c r="C4189" s="37" t="n">
        <v>4.87</v>
      </c>
    </row>
    <row r="4190" customFormat="false" ht="15" hidden="false" customHeight="false" outlineLevel="0" collapsed="false">
      <c r="B4190" s="36" t="n">
        <v>45168</v>
      </c>
      <c r="C4190" s="37" t="n">
        <v>4.8647</v>
      </c>
    </row>
    <row r="4191" customFormat="false" ht="15" hidden="false" customHeight="false" outlineLevel="0" collapsed="false">
      <c r="B4191" s="36" t="n">
        <v>45169</v>
      </c>
      <c r="C4191" s="37" t="n">
        <v>4.9213</v>
      </c>
    </row>
    <row r="4192" customFormat="false" ht="15" hidden="false" customHeight="false" outlineLevel="0" collapsed="false">
      <c r="B4192" s="36" t="n">
        <v>45170</v>
      </c>
      <c r="C4192" s="37" t="n">
        <v>4.9312</v>
      </c>
    </row>
    <row r="4193" customFormat="false" ht="15" hidden="false" customHeight="false" outlineLevel="0" collapsed="false">
      <c r="B4193" s="36" t="n">
        <v>45173</v>
      </c>
      <c r="C4193" s="37" t="n">
        <v>4.917</v>
      </c>
    </row>
    <row r="4194" customFormat="false" ht="15" hidden="false" customHeight="false" outlineLevel="0" collapsed="false">
      <c r="B4194" s="36" t="n">
        <v>45174</v>
      </c>
      <c r="C4194" s="37" t="n">
        <v>4.9699</v>
      </c>
    </row>
    <row r="4195" customFormat="false" ht="15" hidden="false" customHeight="false" outlineLevel="0" collapsed="false">
      <c r="B4195" s="36" t="n">
        <v>45175</v>
      </c>
      <c r="C4195" s="37" t="n">
        <v>4.9756</v>
      </c>
    </row>
    <row r="4196" customFormat="false" ht="15" hidden="false" customHeight="false" outlineLevel="0" collapsed="false">
      <c r="B4196" s="36" t="n">
        <v>45177</v>
      </c>
      <c r="C4196" s="37" t="n">
        <v>4.9829</v>
      </c>
    </row>
    <row r="4197" customFormat="false" ht="15" hidden="false" customHeight="false" outlineLevel="0" collapsed="false">
      <c r="B4197" s="36" t="n">
        <v>45180</v>
      </c>
      <c r="C4197" s="37" t="n">
        <v>4.936</v>
      </c>
    </row>
    <row r="4198" customFormat="false" ht="15" hidden="false" customHeight="false" outlineLevel="0" collapsed="false">
      <c r="B4198" s="36" t="n">
        <v>45181</v>
      </c>
      <c r="C4198" s="37" t="n">
        <v>4.9499</v>
      </c>
    </row>
    <row r="4199" customFormat="false" ht="15" hidden="false" customHeight="false" outlineLevel="0" collapsed="false">
      <c r="B4199" s="36" t="n">
        <v>45182</v>
      </c>
      <c r="C4199" s="37" t="n">
        <v>4.9165</v>
      </c>
    </row>
    <row r="4200" customFormat="false" ht="15" hidden="false" customHeight="false" outlineLevel="0" collapsed="false">
      <c r="B4200" s="36" t="n">
        <v>45183</v>
      </c>
      <c r="C4200" s="37" t="n">
        <v>4.8745</v>
      </c>
    </row>
    <row r="4201" customFormat="false" ht="15" hidden="false" customHeight="false" outlineLevel="0" collapsed="false">
      <c r="B4201" s="36" t="n">
        <v>45184</v>
      </c>
      <c r="C4201" s="37" t="n">
        <v>4.8683</v>
      </c>
    </row>
    <row r="4202" customFormat="false" ht="15" hidden="false" customHeight="false" outlineLevel="0" collapsed="false">
      <c r="B4202" s="36" t="n">
        <v>45187</v>
      </c>
      <c r="C4202" s="37" t="n">
        <v>4.8529</v>
      </c>
    </row>
    <row r="4203" customFormat="false" ht="15" hidden="false" customHeight="false" outlineLevel="0" collapsed="false">
      <c r="B4203" s="36" t="n">
        <v>45188</v>
      </c>
      <c r="C4203" s="37" t="n">
        <v>4.8569</v>
      </c>
    </row>
    <row r="4204" customFormat="false" ht="15" hidden="false" customHeight="false" outlineLevel="0" collapsed="false">
      <c r="B4204" s="36" t="n">
        <v>45189</v>
      </c>
      <c r="C4204" s="37" t="n">
        <v>4.8481</v>
      </c>
    </row>
    <row r="4205" customFormat="false" ht="15" hidden="false" customHeight="false" outlineLevel="0" collapsed="false">
      <c r="B4205" s="36" t="n">
        <v>45190</v>
      </c>
      <c r="C4205" s="37" t="n">
        <v>4.9223</v>
      </c>
    </row>
    <row r="4206" customFormat="false" ht="15" hidden="false" customHeight="false" outlineLevel="0" collapsed="false">
      <c r="B4206" s="36" t="n">
        <v>45191</v>
      </c>
      <c r="C4206" s="37" t="n">
        <v>4.9125</v>
      </c>
    </row>
    <row r="4207" customFormat="false" ht="15" hidden="false" customHeight="false" outlineLevel="0" collapsed="false">
      <c r="B4207" s="36" t="n">
        <v>45194</v>
      </c>
      <c r="C4207" s="37" t="n">
        <v>4.96</v>
      </c>
    </row>
    <row r="4208" customFormat="false" ht="15" hidden="false" customHeight="false" outlineLevel="0" collapsed="false">
      <c r="B4208" s="36" t="n">
        <v>45195</v>
      </c>
      <c r="C4208" s="37" t="n">
        <v>4.9711</v>
      </c>
    </row>
    <row r="4209" customFormat="false" ht="15" hidden="false" customHeight="false" outlineLevel="0" collapsed="false">
      <c r="B4209" s="36" t="n">
        <v>45196</v>
      </c>
      <c r="C4209" s="37" t="n">
        <v>5.0283</v>
      </c>
    </row>
    <row r="4210" customFormat="false" ht="15" hidden="false" customHeight="false" outlineLevel="0" collapsed="false">
      <c r="B4210" s="36" t="n">
        <v>45197</v>
      </c>
      <c r="C4210" s="37" t="n">
        <v>5.0469</v>
      </c>
    </row>
    <row r="4211" customFormat="false" ht="15" hidden="false" customHeight="false" outlineLevel="0" collapsed="false">
      <c r="B4211" s="36" t="n">
        <v>45198</v>
      </c>
      <c r="C4211" s="37" t="n">
        <v>5.007</v>
      </c>
    </row>
    <row r="4212" customFormat="false" ht="15" hidden="false" customHeight="false" outlineLevel="0" collapsed="false">
      <c r="B4212" s="36" t="n">
        <v>45201</v>
      </c>
      <c r="C4212" s="37" t="n">
        <v>5.0673</v>
      </c>
    </row>
    <row r="4213" customFormat="false" ht="15" hidden="false" customHeight="false" outlineLevel="0" collapsed="false">
      <c r="B4213" s="36" t="n">
        <v>45202</v>
      </c>
      <c r="C4213" s="37" t="n">
        <v>5.1094</v>
      </c>
    </row>
    <row r="4214" customFormat="false" ht="15" hidden="false" customHeight="false" outlineLevel="0" collapsed="false">
      <c r="B4214" s="36" t="n">
        <v>45203</v>
      </c>
      <c r="C4214" s="37" t="n">
        <v>5.152</v>
      </c>
    </row>
    <row r="4215" customFormat="false" ht="15" hidden="false" customHeight="false" outlineLevel="0" collapsed="false">
      <c r="B4215" s="36" t="n">
        <v>45204</v>
      </c>
      <c r="C4215" s="37" t="n">
        <v>5.1707</v>
      </c>
    </row>
    <row r="4216" customFormat="false" ht="15" hidden="false" customHeight="false" outlineLevel="0" collapsed="false">
      <c r="B4216" s="36" t="n">
        <v>45205</v>
      </c>
      <c r="C4216" s="37" t="n">
        <v>5.1912</v>
      </c>
    </row>
    <row r="4217" customFormat="false" ht="15" hidden="false" customHeight="false" outlineLevel="0" collapsed="false">
      <c r="B4217" s="36" t="n">
        <v>45208</v>
      </c>
      <c r="C4217" s="37" t="n">
        <v>5.166</v>
      </c>
    </row>
    <row r="4218" customFormat="false" ht="15" hidden="false" customHeight="false" outlineLevel="0" collapsed="false">
      <c r="B4218" s="36" t="n">
        <v>45209</v>
      </c>
      <c r="C4218" s="37" t="n">
        <v>5.0856</v>
      </c>
    </row>
    <row r="4219" customFormat="false" ht="15" hidden="false" customHeight="false" outlineLevel="0" collapsed="false">
      <c r="B4219" s="36" t="n">
        <v>45210</v>
      </c>
      <c r="C4219" s="37" t="n">
        <v>5.049</v>
      </c>
    </row>
    <row r="4220" customFormat="false" ht="15" hidden="false" customHeight="false" outlineLevel="0" collapsed="false">
      <c r="B4220" s="36" t="n">
        <v>45212</v>
      </c>
      <c r="C4220" s="37" t="n">
        <v>5.0619</v>
      </c>
    </row>
    <row r="4221" customFormat="false" ht="15" hidden="false" customHeight="false" outlineLevel="0" collapsed="false">
      <c r="B4221" s="36" t="n">
        <v>45215</v>
      </c>
      <c r="C4221" s="37" t="n">
        <v>5.0612</v>
      </c>
    </row>
    <row r="4222" customFormat="false" ht="15" hidden="false" customHeight="false" outlineLevel="0" collapsed="false">
      <c r="B4222" s="36" t="n">
        <v>45216</v>
      </c>
      <c r="C4222" s="37" t="n">
        <v>5.0378</v>
      </c>
    </row>
    <row r="4223" customFormat="false" ht="15" hidden="false" customHeight="false" outlineLevel="0" collapsed="false">
      <c r="B4223" s="36" t="n">
        <v>45217</v>
      </c>
      <c r="C4223" s="37" t="n">
        <v>5.0562</v>
      </c>
    </row>
    <row r="4224" customFormat="false" ht="15" hidden="false" customHeight="false" outlineLevel="0" collapsed="false">
      <c r="B4224" s="36" t="n">
        <v>45218</v>
      </c>
      <c r="C4224" s="37" t="n">
        <v>5.0534</v>
      </c>
    </row>
    <row r="4225" customFormat="false" ht="15" hidden="false" customHeight="false" outlineLevel="0" collapsed="false">
      <c r="B4225" s="36" t="n">
        <v>45219</v>
      </c>
      <c r="C4225" s="37" t="n">
        <v>5.0522</v>
      </c>
    </row>
    <row r="4226" customFormat="false" ht="15" hidden="false" customHeight="false" outlineLevel="0" collapsed="false">
      <c r="B4226" s="36" t="n">
        <v>45222</v>
      </c>
      <c r="C4226" s="37" t="n">
        <v>5.0158</v>
      </c>
    </row>
    <row r="4227" customFormat="false" ht="15" hidden="false" customHeight="false" outlineLevel="0" collapsed="false">
      <c r="B4227" s="36" t="n">
        <v>45223</v>
      </c>
      <c r="C4227" s="37" t="n">
        <v>5.0059</v>
      </c>
    </row>
    <row r="4228" customFormat="false" ht="15" hidden="false" customHeight="false" outlineLevel="0" collapsed="false">
      <c r="B4228" s="36" t="n">
        <v>45224</v>
      </c>
      <c r="C4228" s="37" t="n">
        <v>4.9975</v>
      </c>
    </row>
    <row r="4229" customFormat="false" ht="15" hidden="false" customHeight="false" outlineLevel="0" collapsed="false">
      <c r="B4229" s="36" t="n">
        <v>45225</v>
      </c>
      <c r="C4229" s="37" t="n">
        <v>5.0049</v>
      </c>
    </row>
    <row r="4230" customFormat="false" ht="15" hidden="false" customHeight="false" outlineLevel="0" collapsed="false">
      <c r="B4230" s="36" t="n">
        <v>45226</v>
      </c>
      <c r="C4230" s="37" t="n">
        <v>4.9474</v>
      </c>
    </row>
    <row r="4231" customFormat="false" ht="15" hidden="false" customHeight="false" outlineLevel="0" collapsed="false">
      <c r="B4231" s="36" t="n">
        <v>45229</v>
      </c>
      <c r="C4231" s="37" t="n">
        <v>5.0068</v>
      </c>
    </row>
    <row r="4232" customFormat="false" ht="15" hidden="false" customHeight="false" outlineLevel="0" collapsed="false">
      <c r="B4232" s="36" t="n">
        <v>45230</v>
      </c>
      <c r="C4232" s="37" t="n">
        <v>5.0569</v>
      </c>
    </row>
    <row r="4233" customFormat="false" ht="15" hidden="false" customHeight="false" outlineLevel="0" collapsed="false">
      <c r="B4233" s="36" t="n">
        <v>45231</v>
      </c>
      <c r="C4233" s="37" t="n">
        <v>5.0188</v>
      </c>
    </row>
    <row r="4234" customFormat="false" ht="15" hidden="false" customHeight="false" outlineLevel="0" collapsed="false">
      <c r="B4234" s="36" t="n">
        <v>45233</v>
      </c>
      <c r="C4234" s="37" t="n">
        <v>4.8904</v>
      </c>
    </row>
    <row r="4235" customFormat="false" ht="15" hidden="false" customHeight="false" outlineLevel="0" collapsed="false">
      <c r="B4235" s="36" t="n">
        <v>45236</v>
      </c>
      <c r="C4235" s="37" t="n">
        <v>4.8993</v>
      </c>
    </row>
    <row r="4236" customFormat="false" ht="15" hidden="false" customHeight="false" outlineLevel="0" collapsed="false">
      <c r="B4236" s="36" t="n">
        <v>45237</v>
      </c>
      <c r="C4236" s="37" t="n">
        <v>4.8664</v>
      </c>
    </row>
    <row r="4237" customFormat="false" ht="15" hidden="false" customHeight="false" outlineLevel="0" collapsed="false">
      <c r="B4237" s="36" t="n">
        <v>45238</v>
      </c>
      <c r="C4237" s="37" t="n">
        <v>4.8849</v>
      </c>
    </row>
    <row r="4238" customFormat="false" ht="15" hidden="false" customHeight="false" outlineLevel="0" collapsed="false">
      <c r="B4238" s="36" t="n">
        <v>45239</v>
      </c>
      <c r="C4238" s="37" t="n">
        <v>4.9001</v>
      </c>
    </row>
    <row r="4239" customFormat="false" ht="15" hidden="false" customHeight="false" outlineLevel="0" collapsed="false">
      <c r="B4239" s="36" t="n">
        <v>45240</v>
      </c>
      <c r="C4239" s="37" t="n">
        <v>4.9213</v>
      </c>
    </row>
    <row r="4240" customFormat="false" ht="15" hidden="false" customHeight="false" outlineLevel="0" collapsed="false">
      <c r="B4240" s="36" t="n">
        <v>45243</v>
      </c>
      <c r="C4240" s="37" t="n">
        <v>4.924</v>
      </c>
    </row>
    <row r="4241" customFormat="false" ht="15" hidden="false" customHeight="false" outlineLevel="0" collapsed="false">
      <c r="B4241" s="36" t="n">
        <v>45244</v>
      </c>
      <c r="C4241" s="37" t="n">
        <v>4.8676</v>
      </c>
    </row>
    <row r="4242" customFormat="false" ht="15" hidden="false" customHeight="false" outlineLevel="0" collapsed="false">
      <c r="B4242" s="36" t="n">
        <v>45246</v>
      </c>
      <c r="C4242" s="37" t="n">
        <v>4.8569</v>
      </c>
    </row>
    <row r="4243" customFormat="false" ht="15" hidden="false" customHeight="false" outlineLevel="0" collapsed="false">
      <c r="B4243" s="36" t="n">
        <v>45247</v>
      </c>
      <c r="C4243" s="37" t="n">
        <v>4.8843</v>
      </c>
    </row>
    <row r="4244" customFormat="false" ht="15" hidden="false" customHeight="false" outlineLevel="0" collapsed="false">
      <c r="B4244" s="36" t="n">
        <v>45250</v>
      </c>
      <c r="C4244" s="37" t="n">
        <v>4.8717</v>
      </c>
    </row>
    <row r="4245" customFormat="false" ht="15" hidden="false" customHeight="false" outlineLevel="0" collapsed="false">
      <c r="B4245" s="36" t="n">
        <v>45251</v>
      </c>
      <c r="C4245" s="37" t="n">
        <v>4.88</v>
      </c>
    </row>
    <row r="4246" customFormat="false" ht="15" hidden="false" customHeight="false" outlineLevel="0" collapsed="false">
      <c r="B4246" s="36" t="n">
        <v>45252</v>
      </c>
      <c r="C4246" s="37" t="n">
        <v>4.8962</v>
      </c>
    </row>
    <row r="4247" customFormat="false" ht="15" hidden="false" customHeight="false" outlineLevel="0" collapsed="false">
      <c r="B4247" s="36" t="n">
        <v>45253</v>
      </c>
      <c r="C4247" s="37" t="n">
        <v>4.8925</v>
      </c>
    </row>
    <row r="4248" customFormat="false" ht="15" hidden="false" customHeight="false" outlineLevel="0" collapsed="false">
      <c r="B4248" s="36" t="n">
        <v>45254</v>
      </c>
      <c r="C4248" s="37" t="n">
        <v>4.8921</v>
      </c>
    </row>
    <row r="4249" customFormat="false" ht="15" hidden="false" customHeight="false" outlineLevel="0" collapsed="false">
      <c r="B4249" s="36" t="n">
        <v>45257</v>
      </c>
      <c r="C4249" s="37" t="n">
        <v>4.8945</v>
      </c>
    </row>
    <row r="4250" customFormat="false" ht="15" hidden="false" customHeight="false" outlineLevel="0" collapsed="false">
      <c r="B4250" s="36" t="n">
        <v>45258</v>
      </c>
      <c r="C4250" s="37" t="n">
        <v>4.8861</v>
      </c>
    </row>
    <row r="4251" customFormat="false" ht="15" hidden="false" customHeight="false" outlineLevel="0" collapsed="false">
      <c r="B4251" s="36" t="n">
        <v>45259</v>
      </c>
      <c r="C4251" s="37" t="n">
        <v>4.8927</v>
      </c>
    </row>
    <row r="4252" customFormat="false" ht="15" hidden="false" customHeight="false" outlineLevel="0" collapsed="false">
      <c r="B4252" s="36" t="n">
        <v>45260</v>
      </c>
      <c r="C4252" s="37" t="n">
        <v>4.9349</v>
      </c>
    </row>
    <row r="4253" customFormat="false" ht="15" hidden="false" customHeight="false" outlineLevel="0" collapsed="false">
      <c r="B4253" s="36" t="n">
        <v>45261</v>
      </c>
      <c r="C4253" s="37" t="n">
        <v>4.9185</v>
      </c>
    </row>
    <row r="4254" customFormat="false" ht="15" hidden="false" customHeight="false" outlineLevel="0" collapsed="false">
      <c r="B4254" s="36" t="n">
        <v>45264</v>
      </c>
      <c r="C4254" s="37" t="n">
        <v>4.9085</v>
      </c>
    </row>
    <row r="4255" customFormat="false" ht="15" hidden="false" customHeight="false" outlineLevel="0" collapsed="false">
      <c r="B4255" s="36" t="n">
        <v>45265</v>
      </c>
      <c r="C4255" s="37" t="n">
        <v>4.9516</v>
      </c>
    </row>
    <row r="4256" customFormat="false" ht="15" hidden="false" customHeight="false" outlineLevel="0" collapsed="false">
      <c r="B4256" s="36" t="n">
        <v>45266</v>
      </c>
      <c r="C4256" s="37" t="n">
        <v>4.9025</v>
      </c>
    </row>
    <row r="4257" customFormat="false" ht="15" hidden="false" customHeight="false" outlineLevel="0" collapsed="false">
      <c r="B4257" s="36" t="n">
        <v>45267</v>
      </c>
      <c r="C4257" s="37" t="n">
        <v>4.8943</v>
      </c>
    </row>
    <row r="4258" customFormat="false" ht="15" hidden="false" customHeight="false" outlineLevel="0" collapsed="false">
      <c r="B4258" s="36" t="n">
        <v>45268</v>
      </c>
      <c r="C4258" s="37" t="n">
        <v>4.9152</v>
      </c>
    </row>
    <row r="4259" customFormat="false" ht="15" hidden="false" customHeight="false" outlineLevel="0" collapsed="false">
      <c r="B4259" s="36" t="n">
        <v>45271</v>
      </c>
      <c r="C4259" s="37" t="n">
        <v>4.9434</v>
      </c>
    </row>
    <row r="4260" customFormat="false" ht="15" hidden="false" customHeight="false" outlineLevel="0" collapsed="false">
      <c r="B4260" s="36" t="n">
        <v>45272</v>
      </c>
      <c r="C4260" s="37" t="n">
        <v>4.947</v>
      </c>
    </row>
    <row r="4261" customFormat="false" ht="15" hidden="false" customHeight="false" outlineLevel="0" collapsed="false">
      <c r="B4261" s="36" t="n">
        <v>45273</v>
      </c>
      <c r="C4261" s="37" t="n">
        <v>4.9573</v>
      </c>
    </row>
    <row r="4262" customFormat="false" ht="15" hidden="false" customHeight="false" outlineLevel="0" collapsed="false">
      <c r="B4262" s="36" t="n">
        <v>45274</v>
      </c>
      <c r="C4262" s="37" t="n">
        <v>4.8906</v>
      </c>
    </row>
    <row r="4263" customFormat="false" ht="15" hidden="false" customHeight="false" outlineLevel="0" collapsed="false">
      <c r="B4263" s="36" t="n">
        <v>45275</v>
      </c>
      <c r="C4263" s="37" t="n">
        <v>4.9391</v>
      </c>
    </row>
    <row r="4264" customFormat="false" ht="15" hidden="false" customHeight="false" outlineLevel="0" collapsed="false">
      <c r="B4264" s="36" t="n">
        <v>45278</v>
      </c>
      <c r="C4264" s="37" t="n">
        <v>4.9393</v>
      </c>
    </row>
    <row r="4265" customFormat="false" ht="15" hidden="false" customHeight="false" outlineLevel="0" collapsed="false">
      <c r="B4265" s="36" t="n">
        <v>45279</v>
      </c>
      <c r="C4265" s="37" t="n">
        <v>4.8657</v>
      </c>
    </row>
    <row r="4266" customFormat="false" ht="15" hidden="false" customHeight="false" outlineLevel="0" collapsed="false">
      <c r="B4266" s="36" t="n">
        <v>45280</v>
      </c>
      <c r="C4266" s="37" t="n">
        <v>4.876</v>
      </c>
    </row>
    <row r="4267" customFormat="false" ht="15" hidden="false" customHeight="false" outlineLevel="0" collapsed="false">
      <c r="B4267" s="36" t="n">
        <v>45281</v>
      </c>
      <c r="C4267" s="37" t="n">
        <v>4.8749</v>
      </c>
    </row>
    <row r="4268" customFormat="false" ht="15" hidden="false" customHeight="false" outlineLevel="0" collapsed="false">
      <c r="B4268" s="36" t="n">
        <v>45282</v>
      </c>
      <c r="C4268" s="37" t="n">
        <v>4.8613</v>
      </c>
    </row>
    <row r="4269" customFormat="false" ht="15" hidden="false" customHeight="false" outlineLevel="0" collapsed="false">
      <c r="B4269" s="36" t="n">
        <v>45286</v>
      </c>
      <c r="C4269" s="37" t="n">
        <v>4.8362</v>
      </c>
    </row>
    <row r="4270" customFormat="false" ht="15" hidden="false" customHeight="false" outlineLevel="0" collapsed="false">
      <c r="B4270" s="36" t="n">
        <v>45287</v>
      </c>
      <c r="C4270" s="37" t="n">
        <v>4.83</v>
      </c>
    </row>
    <row r="4271" customFormat="false" ht="15" hidden="false" customHeight="false" outlineLevel="0" collapsed="false">
      <c r="B4271" s="36" t="n">
        <v>45288</v>
      </c>
      <c r="C4271" s="37" t="n">
        <v>4.8407</v>
      </c>
    </row>
    <row r="4272" customFormat="false" ht="15" hidden="false" customHeight="false" outlineLevel="0" collapsed="false">
      <c r="B4272" s="36" t="n">
        <v>45289</v>
      </c>
      <c r="C4272" s="37" t="n">
        <v>4.8407</v>
      </c>
    </row>
    <row r="4273" customFormat="false" ht="15" hidden="false" customHeight="false" outlineLevel="0" collapsed="false">
      <c r="B4273" s="36" t="n">
        <v>45293</v>
      </c>
      <c r="C4273" s="37" t="n">
        <v>4.891</v>
      </c>
    </row>
    <row r="4274" customFormat="false" ht="15" hidden="false" customHeight="false" outlineLevel="0" collapsed="false">
      <c r="B4274" s="36" t="n">
        <v>45294</v>
      </c>
      <c r="C4274" s="37" t="n">
        <v>4.9206</v>
      </c>
    </row>
    <row r="4275" customFormat="false" ht="15" hidden="false" customHeight="false" outlineLevel="0" collapsed="false">
      <c r="B4275" s="36" t="n">
        <v>45295</v>
      </c>
      <c r="C4275" s="37" t="n">
        <v>4.9182</v>
      </c>
    </row>
    <row r="4276" customFormat="false" ht="15" hidden="false" customHeight="false" outlineLevel="0" collapsed="false">
      <c r="B4276" s="36" t="n">
        <v>45296</v>
      </c>
      <c r="C4276" s="37" t="n">
        <v>4.8893</v>
      </c>
    </row>
    <row r="4277" customFormat="false" ht="15" hidden="false" customHeight="false" outlineLevel="0" collapsed="false">
      <c r="B4277" s="36" t="n">
        <v>45299</v>
      </c>
      <c r="C4277" s="37" t="n">
        <v>4.8844</v>
      </c>
    </row>
    <row r="4278" customFormat="false" ht="15" hidden="false" customHeight="false" outlineLevel="0" collapsed="false">
      <c r="B4278" s="36" t="n">
        <v>45300</v>
      </c>
      <c r="C4278" s="37" t="n">
        <v>4.8931</v>
      </c>
    </row>
    <row r="4279" customFormat="false" ht="15" hidden="false" customHeight="false" outlineLevel="0" collapsed="false">
      <c r="B4279" s="36" t="n">
        <v>45301</v>
      </c>
      <c r="C4279" s="37" t="n">
        <v>4.8895</v>
      </c>
    </row>
    <row r="4280" customFormat="false" ht="15" hidden="false" customHeight="false" outlineLevel="0" collapsed="false">
      <c r="B4280" s="36" t="n">
        <v>45302</v>
      </c>
      <c r="C4280" s="37" t="n">
        <v>4.8788</v>
      </c>
    </row>
    <row r="4281" customFormat="false" ht="15" hidden="false" customHeight="false" outlineLevel="0" collapsed="false">
      <c r="B4281" s="36" t="n">
        <v>45303</v>
      </c>
      <c r="C4281" s="37" t="n">
        <v>4.8537</v>
      </c>
    </row>
    <row r="4282" customFormat="false" ht="15" hidden="false" customHeight="false" outlineLevel="0" collapsed="false">
      <c r="B4282" s="36" t="n">
        <v>45306</v>
      </c>
      <c r="C4282" s="37" t="n">
        <v>4.8759</v>
      </c>
    </row>
    <row r="4283" customFormat="false" ht="15" hidden="false" customHeight="false" outlineLevel="0" collapsed="false">
      <c r="B4283" s="36" t="n">
        <v>45307</v>
      </c>
      <c r="C4283" s="37" t="n">
        <v>4.9032</v>
      </c>
    </row>
    <row r="4284" customFormat="false" ht="15" hidden="false" customHeight="false" outlineLevel="0" collapsed="false">
      <c r="B4284" s="36" t="n">
        <v>45308</v>
      </c>
      <c r="C4284" s="37" t="n">
        <v>4.934</v>
      </c>
    </row>
    <row r="4285" customFormat="false" ht="15" hidden="false" customHeight="false" outlineLevel="0" collapsed="false">
      <c r="B4285" s="36" t="n">
        <v>45309</v>
      </c>
      <c r="C4285" s="37" t="n">
        <v>4.9397</v>
      </c>
    </row>
    <row r="4286" customFormat="false" ht="15" hidden="false" customHeight="false" outlineLevel="0" collapsed="false">
      <c r="B4286" s="36" t="n">
        <v>45310</v>
      </c>
      <c r="C4286" s="37" t="n">
        <v>4.9217</v>
      </c>
    </row>
    <row r="4287" customFormat="false" ht="15" hidden="false" customHeight="false" outlineLevel="0" collapsed="false">
      <c r="B4287" s="36" t="n">
        <v>45313</v>
      </c>
      <c r="C4287" s="37" t="n">
        <v>4.9484</v>
      </c>
    </row>
    <row r="4288" customFormat="false" ht="15" hidden="false" customHeight="false" outlineLevel="0" collapsed="false">
      <c r="B4288" s="36" t="n">
        <v>45314</v>
      </c>
      <c r="C4288" s="37" t="n">
        <v>4.9709</v>
      </c>
    </row>
    <row r="4289" customFormat="false" ht="15" hidden="false" customHeight="false" outlineLevel="0" collapsed="false">
      <c r="B4289" s="36" t="n">
        <v>45315</v>
      </c>
      <c r="C4289" s="37" t="n">
        <v>4.9186</v>
      </c>
    </row>
    <row r="4290" customFormat="false" ht="15" hidden="false" customHeight="false" outlineLevel="0" collapsed="false">
      <c r="B4290" s="36" t="n">
        <v>45316</v>
      </c>
      <c r="C4290" s="37" t="n">
        <v>4.9226</v>
      </c>
    </row>
    <row r="4291" customFormat="false" ht="15" hidden="false" customHeight="false" outlineLevel="0" collapsed="false">
      <c r="B4291" s="36" t="n">
        <v>45317</v>
      </c>
      <c r="C4291" s="37" t="n">
        <v>4.9119</v>
      </c>
    </row>
    <row r="4292" customFormat="false" ht="15" hidden="false" customHeight="false" outlineLevel="0" collapsed="false">
      <c r="B4292" s="36" t="n">
        <v>45320</v>
      </c>
      <c r="C4292" s="37" t="n">
        <v>4.9219</v>
      </c>
    </row>
    <row r="4293" customFormat="false" ht="15" hidden="false" customHeight="false" outlineLevel="0" collapsed="false">
      <c r="B4293" s="36" t="n">
        <v>45321</v>
      </c>
      <c r="C4293" s="37" t="n">
        <v>4.9632</v>
      </c>
    </row>
    <row r="4294" customFormat="false" ht="15" hidden="false" customHeight="false" outlineLevel="0" collapsed="false">
      <c r="B4294" s="36" t="n">
        <v>45322</v>
      </c>
      <c r="C4294" s="37" t="n">
        <v>4.9529</v>
      </c>
    </row>
    <row r="4295" customFormat="false" ht="15" hidden="false" customHeight="false" outlineLevel="0" collapsed="false">
      <c r="B4295" s="36" t="n">
        <v>45323</v>
      </c>
      <c r="C4295" s="37" t="n">
        <v>4.9344</v>
      </c>
    </row>
    <row r="4296" customFormat="false" ht="15" hidden="false" customHeight="false" outlineLevel="0" collapsed="false">
      <c r="B4296" s="36" t="n">
        <v>45324</v>
      </c>
      <c r="C4296" s="37" t="n">
        <v>4.9465</v>
      </c>
    </row>
    <row r="4297" customFormat="false" ht="15" hidden="false" customHeight="false" outlineLevel="0" collapsed="false">
      <c r="B4297" s="36" t="n">
        <v>45327</v>
      </c>
      <c r="C4297" s="37" t="n">
        <v>5.0047</v>
      </c>
    </row>
    <row r="4298" customFormat="false" ht="15" hidden="false" customHeight="false" outlineLevel="0" collapsed="false">
      <c r="B4298" s="36" t="n">
        <v>45328</v>
      </c>
      <c r="C4298" s="37" t="n">
        <v>4.9681</v>
      </c>
    </row>
    <row r="4299" customFormat="false" ht="15" hidden="false" customHeight="false" outlineLevel="0" collapsed="false">
      <c r="B4299" s="36" t="n">
        <v>45329</v>
      </c>
      <c r="C4299" s="37" t="n">
        <v>4.9602</v>
      </c>
    </row>
    <row r="4300" customFormat="false" ht="15" hidden="false" customHeight="false" outlineLevel="0" collapsed="false">
      <c r="B4300" s="36" t="n">
        <v>45330</v>
      </c>
      <c r="C4300" s="37" t="n">
        <v>4.9798</v>
      </c>
    </row>
    <row r="4301" customFormat="false" ht="15" hidden="false" customHeight="false" outlineLevel="0" collapsed="false">
      <c r="B4301" s="36" t="n">
        <v>45331</v>
      </c>
      <c r="C4301" s="37" t="n">
        <v>4.9711</v>
      </c>
    </row>
    <row r="4302" customFormat="false" ht="15" hidden="false" customHeight="false" outlineLevel="0" collapsed="false">
      <c r="B4302" s="36" t="n">
        <v>45336</v>
      </c>
      <c r="C4302" s="37" t="n">
        <v>4.9717</v>
      </c>
    </row>
    <row r="4303" customFormat="false" ht="15" hidden="false" customHeight="false" outlineLevel="0" collapsed="false">
      <c r="B4303" s="36" t="n">
        <v>45337</v>
      </c>
      <c r="C4303" s="37" t="n">
        <v>4.9704</v>
      </c>
    </row>
    <row r="4304" customFormat="false" ht="15" hidden="false" customHeight="false" outlineLevel="0" collapsed="false">
      <c r="B4304" s="36" t="n">
        <v>45338</v>
      </c>
      <c r="C4304" s="37" t="n">
        <v>4.9755</v>
      </c>
    </row>
    <row r="4305" customFormat="false" ht="15" hidden="false" customHeight="false" outlineLevel="0" collapsed="false">
      <c r="B4305" s="36" t="n">
        <v>45341</v>
      </c>
      <c r="C4305" s="37" t="n">
        <v>4.9579</v>
      </c>
    </row>
    <row r="4306" customFormat="false" ht="15" hidden="false" customHeight="false" outlineLevel="0" collapsed="false">
      <c r="B4306" s="36" t="n">
        <v>45342</v>
      </c>
      <c r="C4306" s="37" t="n">
        <v>4.9402</v>
      </c>
    </row>
    <row r="4307" customFormat="false" ht="15" hidden="false" customHeight="false" outlineLevel="0" collapsed="false">
      <c r="B4307" s="36" t="n">
        <v>45343</v>
      </c>
      <c r="C4307" s="37" t="n">
        <v>4.9297</v>
      </c>
    </row>
    <row r="4308" customFormat="false" ht="15" hidden="false" customHeight="false" outlineLevel="0" collapsed="false">
      <c r="B4308" s="36" t="n">
        <v>45344</v>
      </c>
      <c r="C4308" s="37" t="n">
        <v>4.9413</v>
      </c>
    </row>
    <row r="4309" customFormat="false" ht="15" hidden="false" customHeight="false" outlineLevel="0" collapsed="false">
      <c r="B4309" s="36" t="n">
        <v>45345</v>
      </c>
      <c r="C4309" s="37" t="n">
        <v>4.9845</v>
      </c>
    </row>
    <row r="4310" customFormat="false" ht="15" hidden="false" customHeight="false" outlineLevel="0" collapsed="false">
      <c r="B4310" s="36" t="n">
        <v>45348</v>
      </c>
      <c r="C4310" s="37" t="n">
        <v>4.9813</v>
      </c>
    </row>
    <row r="4311" customFormat="false" ht="15" hidden="false" customHeight="false" outlineLevel="0" collapsed="false">
      <c r="B4311" s="36" t="n">
        <v>45349</v>
      </c>
      <c r="C4311" s="37" t="n">
        <v>4.9569</v>
      </c>
    </row>
    <row r="4312" customFormat="false" ht="15" hidden="false" customHeight="false" outlineLevel="0" collapsed="false">
      <c r="B4312" s="36" t="n">
        <v>45350</v>
      </c>
      <c r="C4312" s="37" t="n">
        <v>4.9551</v>
      </c>
    </row>
    <row r="4313" customFormat="false" ht="15" hidden="false" customHeight="false" outlineLevel="0" collapsed="false">
      <c r="B4313" s="36" t="n">
        <v>45351</v>
      </c>
      <c r="C4313" s="37" t="n">
        <v>4.9827</v>
      </c>
    </row>
    <row r="4314" customFormat="false" ht="15" hidden="false" customHeight="false" outlineLevel="0" collapsed="false">
      <c r="B4314" s="36" t="n">
        <v>45352</v>
      </c>
      <c r="C4314" s="37" t="n">
        <v>4.959</v>
      </c>
    </row>
    <row r="4315" customFormat="false" ht="15" hidden="false" customHeight="false" outlineLevel="0" collapsed="false">
      <c r="B4315" s="36" t="n">
        <v>45355</v>
      </c>
      <c r="C4315" s="37" t="n">
        <v>4.9469</v>
      </c>
    </row>
    <row r="4316" customFormat="false" ht="15" hidden="false" customHeight="false" outlineLevel="0" collapsed="false">
      <c r="B4316" s="36" t="n">
        <v>45356</v>
      </c>
      <c r="C4316" s="37" t="n">
        <v>4.9482</v>
      </c>
    </row>
    <row r="4317" customFormat="false" ht="15" hidden="false" customHeight="false" outlineLevel="0" collapsed="false">
      <c r="B4317" s="36" t="n">
        <v>45357</v>
      </c>
      <c r="C4317" s="37" t="n">
        <v>4.9392</v>
      </c>
    </row>
    <row r="4318" customFormat="false" ht="15" hidden="false" customHeight="false" outlineLevel="0" collapsed="false">
      <c r="B4318" s="36" t="n">
        <v>45358</v>
      </c>
      <c r="C4318" s="37" t="n">
        <v>4.9358</v>
      </c>
    </row>
    <row r="4319" customFormat="false" ht="15" hidden="false" customHeight="false" outlineLevel="0" collapsed="false">
      <c r="B4319" s="36" t="n">
        <v>45359</v>
      </c>
      <c r="C4319" s="37" t="n">
        <v>4.9745</v>
      </c>
    </row>
    <row r="4320" customFormat="false" ht="15" hidden="false" customHeight="false" outlineLevel="0" collapsed="false">
      <c r="B4320" s="36" t="n">
        <v>45362</v>
      </c>
      <c r="C4320" s="37" t="n">
        <v>4.9771</v>
      </c>
    </row>
    <row r="4321" customFormat="false" ht="15" hidden="false" customHeight="false" outlineLevel="0" collapsed="false">
      <c r="B4321" s="36" t="n">
        <v>45363</v>
      </c>
      <c r="C4321" s="37" t="n">
        <v>4.9807</v>
      </c>
    </row>
    <row r="4322" customFormat="false" ht="15" hidden="false" customHeight="false" outlineLevel="0" collapsed="false">
      <c r="B4322" s="36" t="n">
        <v>45364</v>
      </c>
      <c r="C4322" s="37" t="n">
        <v>4.9797</v>
      </c>
    </row>
    <row r="4323" customFormat="false" ht="15" hidden="false" customHeight="false" outlineLevel="0" collapsed="false">
      <c r="B4323" s="36" t="n">
        <v>45365</v>
      </c>
      <c r="C4323" s="37" t="n">
        <v>4.9762</v>
      </c>
    </row>
    <row r="4324" customFormat="false" ht="15" hidden="false" customHeight="false" outlineLevel="0" collapsed="false">
      <c r="B4324" s="36" t="n">
        <v>45366</v>
      </c>
      <c r="C4324" s="37" t="n">
        <v>4.9931</v>
      </c>
    </row>
    <row r="4325" customFormat="false" ht="15" hidden="false" customHeight="false" outlineLevel="0" collapsed="false">
      <c r="B4325" s="36" t="n">
        <v>45369</v>
      </c>
      <c r="C4325" s="37" t="n">
        <v>5.0118</v>
      </c>
    </row>
    <row r="4326" customFormat="false" ht="15" hidden="false" customHeight="false" outlineLevel="0" collapsed="false">
      <c r="B4326" s="36" t="n">
        <v>45370</v>
      </c>
      <c r="C4326" s="37" t="n">
        <v>5.0346</v>
      </c>
    </row>
    <row r="4327" customFormat="false" ht="15" hidden="false" customHeight="false" outlineLevel="0" collapsed="false">
      <c r="B4327" s="36" t="n">
        <v>45371</v>
      </c>
      <c r="C4327" s="37" t="n">
        <v>5.0114</v>
      </c>
    </row>
    <row r="4328" customFormat="false" ht="15" hidden="false" customHeight="false" outlineLevel="0" collapsed="false">
      <c r="B4328" s="36" t="n">
        <v>45372</v>
      </c>
      <c r="C4328" s="37" t="n">
        <v>4.9801</v>
      </c>
    </row>
    <row r="4329" customFormat="false" ht="15" hidden="false" customHeight="false" outlineLevel="0" collapsed="false">
      <c r="B4329" s="36" t="n">
        <v>45373</v>
      </c>
      <c r="C4329" s="37" t="n">
        <v>4.9891</v>
      </c>
    </row>
    <row r="4330" customFormat="false" ht="15" hidden="false" customHeight="false" outlineLevel="0" collapsed="false">
      <c r="B4330" s="36" t="n">
        <v>45376</v>
      </c>
      <c r="C4330" s="37" t="n">
        <v>4.9863</v>
      </c>
    </row>
    <row r="4331" customFormat="false" ht="15" hidden="false" customHeight="false" outlineLevel="0" collapsed="false">
      <c r="B4331" s="36" t="n">
        <v>45377</v>
      </c>
      <c r="C4331" s="37" t="n">
        <v>4.9864</v>
      </c>
    </row>
    <row r="4332" customFormat="false" ht="15" hidden="false" customHeight="false" outlineLevel="0" collapsed="false">
      <c r="B4332" s="36" t="n">
        <v>45378</v>
      </c>
      <c r="C4332" s="37" t="n">
        <v>4.985</v>
      </c>
    </row>
    <row r="4333" customFormat="false" ht="15" hidden="false" customHeight="false" outlineLevel="0" collapsed="false">
      <c r="B4333" s="36" t="n">
        <v>45379</v>
      </c>
      <c r="C4333" s="37" t="n">
        <v>4.9956</v>
      </c>
    </row>
    <row r="4334" customFormat="false" ht="15" hidden="false" customHeight="false" outlineLevel="0" collapsed="false">
      <c r="B4334" s="36" t="n">
        <v>45383</v>
      </c>
      <c r="C4334" s="37" t="n">
        <v>5.0526</v>
      </c>
    </row>
    <row r="4335" customFormat="false" ht="15" hidden="false" customHeight="false" outlineLevel="0" collapsed="false">
      <c r="B4335" s="36" t="n">
        <v>45384</v>
      </c>
      <c r="C4335" s="37" t="n">
        <v>5.0469</v>
      </c>
    </row>
    <row r="4336" customFormat="false" ht="15" hidden="false" customHeight="false" outlineLevel="0" collapsed="false">
      <c r="B4336" s="36" t="n">
        <v>45385</v>
      </c>
      <c r="C4336" s="37" t="n">
        <v>5.0718</v>
      </c>
    </row>
    <row r="4337" customFormat="false" ht="15" hidden="false" customHeight="false" outlineLevel="0" collapsed="false">
      <c r="B4337" s="36" t="n">
        <v>45386</v>
      </c>
      <c r="C4337" s="37" t="n">
        <v>5.0231</v>
      </c>
    </row>
    <row r="4338" customFormat="false" ht="15" hidden="false" customHeight="false" outlineLevel="0" collapsed="false">
      <c r="B4338" s="36" t="n">
        <v>45387</v>
      </c>
      <c r="C4338" s="37" t="n">
        <v>5.0514</v>
      </c>
    </row>
    <row r="4339" customFormat="false" ht="15" hidden="false" customHeight="false" outlineLevel="0" collapsed="false">
      <c r="B4339" s="36" t="n">
        <v>45390</v>
      </c>
      <c r="C4339" s="37" t="n">
        <v>5.0415</v>
      </c>
    </row>
    <row r="4340" customFormat="false" ht="15" hidden="false" customHeight="false" outlineLevel="0" collapsed="false">
      <c r="B4340" s="36" t="n">
        <v>45391</v>
      </c>
      <c r="C4340" s="37" t="n">
        <v>5.0074</v>
      </c>
    </row>
    <row r="4341" customFormat="false" ht="15" hidden="false" customHeight="false" outlineLevel="0" collapsed="false">
      <c r="B4341" s="36" t="n">
        <v>45392</v>
      </c>
      <c r="C4341" s="37" t="n">
        <v>5.0648</v>
      </c>
    </row>
    <row r="4342" customFormat="false" ht="15" hidden="false" customHeight="false" outlineLevel="0" collapsed="false">
      <c r="B4342" s="36" t="n">
        <v>45393</v>
      </c>
      <c r="C4342" s="37" t="n">
        <v>5.0759</v>
      </c>
    </row>
    <row r="4343" customFormat="false" ht="15" hidden="false" customHeight="false" outlineLevel="0" collapsed="false">
      <c r="B4343" s="36" t="n">
        <v>45394</v>
      </c>
      <c r="C4343" s="37" t="n">
        <v>5.1358</v>
      </c>
    </row>
    <row r="4344" customFormat="false" ht="15" hidden="false" customHeight="false" outlineLevel="0" collapsed="false">
      <c r="B4344" s="36" t="n">
        <v>45397</v>
      </c>
      <c r="C4344" s="37" t="n">
        <v>5.174</v>
      </c>
    </row>
    <row r="4345" customFormat="false" ht="15" hidden="false" customHeight="false" outlineLevel="0" collapsed="false">
      <c r="B4345" s="36" t="n">
        <v>45398</v>
      </c>
      <c r="C4345" s="37" t="n">
        <v>5.2628</v>
      </c>
    </row>
    <row r="4346" customFormat="false" ht="15" hidden="false" customHeight="false" outlineLevel="0" collapsed="false">
      <c r="B4346" s="36" t="n">
        <v>45399</v>
      </c>
      <c r="C4346" s="37" t="n">
        <v>5.2463</v>
      </c>
    </row>
    <row r="4347" customFormat="false" ht="15" hidden="false" customHeight="false" outlineLevel="0" collapsed="false">
      <c r="B4347" s="36" t="n">
        <v>45400</v>
      </c>
      <c r="C4347" s="37" t="n">
        <v>5.2506</v>
      </c>
    </row>
    <row r="4348" customFormat="false" ht="15" hidden="false" customHeight="false" outlineLevel="0" collapsed="false">
      <c r="B4348" s="36" t="n">
        <v>45401</v>
      </c>
      <c r="C4348" s="37" t="n">
        <v>5.2263</v>
      </c>
    </row>
    <row r="4349" customFormat="false" ht="15" hidden="false" customHeight="false" outlineLevel="0" collapsed="false">
      <c r="B4349" s="36" t="n">
        <v>45404</v>
      </c>
      <c r="C4349" s="37" t="n">
        <v>5.2037</v>
      </c>
    </row>
    <row r="4350" customFormat="false" ht="15" hidden="false" customHeight="false" outlineLevel="0" collapsed="false">
      <c r="B4350" s="36" t="n">
        <v>45405</v>
      </c>
      <c r="C4350" s="37" t="n">
        <v>5.162</v>
      </c>
    </row>
    <row r="4351" customFormat="false" ht="15" hidden="false" customHeight="false" outlineLevel="0" collapsed="false">
      <c r="B4351" s="36" t="n">
        <v>45406</v>
      </c>
      <c r="C4351" s="37" t="n">
        <v>5.1586</v>
      </c>
    </row>
    <row r="4352" customFormat="false" ht="15" hidden="false" customHeight="false" outlineLevel="0" collapsed="false">
      <c r="B4352" s="36" t="n">
        <v>45407</v>
      </c>
      <c r="C4352" s="37" t="n">
        <v>5.1673</v>
      </c>
    </row>
    <row r="4353" customFormat="false" ht="15" hidden="false" customHeight="false" outlineLevel="0" collapsed="false">
      <c r="B4353" s="36" t="n">
        <v>45408</v>
      </c>
      <c r="C4353" s="37" t="n">
        <v>5.1178</v>
      </c>
    </row>
    <row r="4354" customFormat="false" ht="15" hidden="false" customHeight="false" outlineLevel="0" collapsed="false">
      <c r="B4354" s="36" t="n">
        <v>45411</v>
      </c>
      <c r="C4354" s="37" t="n">
        <v>5.1149</v>
      </c>
    </row>
    <row r="4355" customFormat="false" ht="15" hidden="false" customHeight="false" outlineLevel="0" collapsed="false">
      <c r="B4355" s="36" t="n">
        <v>45412</v>
      </c>
      <c r="C4355" s="37" t="n">
        <v>5.1712</v>
      </c>
    </row>
    <row r="4356" customFormat="false" ht="15" hidden="false" customHeight="false" outlineLevel="0" collapsed="false">
      <c r="B4356" s="36" t="n">
        <v>45414</v>
      </c>
      <c r="C4356" s="37" t="n">
        <v>5.1178</v>
      </c>
    </row>
    <row r="4357" customFormat="false" ht="15" hidden="false" customHeight="false" outlineLevel="0" collapsed="false">
      <c r="B4357" s="36" t="n">
        <v>45415</v>
      </c>
      <c r="C4357" s="37" t="n">
        <v>5.0662</v>
      </c>
    </row>
    <row r="4358" customFormat="false" ht="15" hidden="false" customHeight="false" outlineLevel="0" collapsed="false">
      <c r="B4358" s="36" t="n">
        <v>45418</v>
      </c>
      <c r="C4358" s="37" t="n">
        <v>5.0721</v>
      </c>
    </row>
    <row r="4359" customFormat="false" ht="15" hidden="false" customHeight="false" outlineLevel="0" collapsed="false">
      <c r="B4359" s="36" t="n">
        <v>45419</v>
      </c>
      <c r="C4359" s="37" t="n">
        <v>5.0604</v>
      </c>
    </row>
    <row r="4360" customFormat="false" ht="15" hidden="false" customHeight="false" outlineLevel="0" collapsed="false">
      <c r="B4360" s="36" t="n">
        <v>45420</v>
      </c>
      <c r="C4360" s="37" t="n">
        <v>5.0881</v>
      </c>
    </row>
    <row r="4361" customFormat="false" ht="15" hidden="false" customHeight="false" outlineLevel="0" collapsed="false">
      <c r="B4361" s="36" t="n">
        <v>45421</v>
      </c>
      <c r="C4361" s="37" t="n">
        <v>5.1571</v>
      </c>
    </row>
    <row r="4362" customFormat="false" ht="15" hidden="false" customHeight="false" outlineLevel="0" collapsed="false">
      <c r="B4362" s="36" t="n">
        <v>45422</v>
      </c>
      <c r="C4362" s="37" t="n">
        <v>5.1458</v>
      </c>
    </row>
    <row r="4363" customFormat="false" ht="15" hidden="false" customHeight="false" outlineLevel="0" collapsed="false">
      <c r="B4363" s="36" t="n">
        <v>45425</v>
      </c>
      <c r="C4363" s="37" t="n">
        <v>5.1406</v>
      </c>
    </row>
    <row r="4364" customFormat="false" ht="15" hidden="false" customHeight="false" outlineLevel="0" collapsed="false">
      <c r="B4364" s="36" t="n">
        <v>45426</v>
      </c>
      <c r="C4364" s="37" t="n">
        <v>5.135</v>
      </c>
    </row>
    <row r="4365" customFormat="false" ht="15" hidden="false" customHeight="false" outlineLevel="0" collapsed="false">
      <c r="B4365" s="36" t="n">
        <v>45427</v>
      </c>
      <c r="C4365" s="37" t="n">
        <v>5.1417</v>
      </c>
    </row>
    <row r="4366" customFormat="false" ht="15" hidden="false" customHeight="false" outlineLevel="0" collapsed="false">
      <c r="B4366" s="36" t="n">
        <v>45428</v>
      </c>
      <c r="C4366" s="37" t="n">
        <v>5.1264</v>
      </c>
    </row>
    <row r="4367" customFormat="false" ht="15" hidden="false" customHeight="false" outlineLevel="0" collapsed="false">
      <c r="B4367" s="36" t="n">
        <v>45429</v>
      </c>
      <c r="C4367" s="37" t="n">
        <v>5.1151</v>
      </c>
    </row>
    <row r="4368" customFormat="false" ht="15" hidden="false" customHeight="false" outlineLevel="0" collapsed="false">
      <c r="B4368" s="36" t="n">
        <v>45432</v>
      </c>
      <c r="C4368" s="37" t="n">
        <v>5.1079</v>
      </c>
    </row>
    <row r="4369" customFormat="false" ht="15" hidden="false" customHeight="false" outlineLevel="0" collapsed="false">
      <c r="B4369" s="36" t="n">
        <v>45433</v>
      </c>
      <c r="C4369" s="37" t="n">
        <v>5.1031</v>
      </c>
    </row>
    <row r="4370" customFormat="false" ht="15" hidden="false" customHeight="false" outlineLevel="0" collapsed="false">
      <c r="B4370" s="36" t="n">
        <v>45434</v>
      </c>
      <c r="C4370" s="37" t="n">
        <v>5.1496</v>
      </c>
    </row>
    <row r="4371" customFormat="false" ht="15" hidden="false" customHeight="false" outlineLevel="0" collapsed="false">
      <c r="B4371" s="36" t="n">
        <v>45435</v>
      </c>
      <c r="C4371" s="37" t="n">
        <v>5.1437</v>
      </c>
    </row>
    <row r="4372" customFormat="false" ht="15" hidden="false" customHeight="false" outlineLevel="0" collapsed="false">
      <c r="B4372" s="36" t="n">
        <v>45436</v>
      </c>
      <c r="C4372" s="37" t="n">
        <v>5.1502</v>
      </c>
    </row>
    <row r="4373" customFormat="false" ht="15" hidden="false" customHeight="false" outlineLevel="0" collapsed="false">
      <c r="B4373" s="36" t="n">
        <v>45439</v>
      </c>
      <c r="C4373" s="37" t="n">
        <v>5.1698</v>
      </c>
    </row>
    <row r="4374" customFormat="false" ht="15" hidden="false" customHeight="false" outlineLevel="0" collapsed="false">
      <c r="B4374" s="36" t="n">
        <v>45440</v>
      </c>
      <c r="C4374" s="37" t="n">
        <v>5.1532</v>
      </c>
    </row>
    <row r="4375" customFormat="false" ht="15" hidden="false" customHeight="false" outlineLevel="0" collapsed="false">
      <c r="B4375" s="36" t="n">
        <v>45441</v>
      </c>
      <c r="C4375" s="37" t="n">
        <v>5.1966</v>
      </c>
    </row>
    <row r="4376" customFormat="false" ht="15" hidden="false" customHeight="false" outlineLevel="0" collapsed="false">
      <c r="B4376" s="36" t="n">
        <v>45443</v>
      </c>
      <c r="C4376" s="37" t="n">
        <v>5.241</v>
      </c>
    </row>
    <row r="4377" customFormat="false" ht="15" hidden="false" customHeight="false" outlineLevel="0" collapsed="false">
      <c r="B4377" s="36" t="n">
        <v>45446</v>
      </c>
      <c r="C4377" s="37" t="n">
        <v>5.2367</v>
      </c>
    </row>
    <row r="4378" customFormat="false" ht="15" hidden="false" customHeight="false" outlineLevel="0" collapsed="false">
      <c r="B4378" s="36" t="n">
        <v>45447</v>
      </c>
      <c r="C4378" s="37" t="n">
        <v>5.2681</v>
      </c>
    </row>
    <row r="4379" customFormat="false" ht="15" hidden="false" customHeight="false" outlineLevel="0" collapsed="false">
      <c r="B4379" s="36" t="n">
        <v>45448</v>
      </c>
      <c r="C4379" s="37" t="n">
        <v>5.2835</v>
      </c>
    </row>
    <row r="4380" customFormat="false" ht="15" hidden="false" customHeight="false" outlineLevel="0" collapsed="false">
      <c r="B4380" s="36" t="n">
        <v>45449</v>
      </c>
      <c r="C4380" s="37" t="n">
        <v>5.2675</v>
      </c>
    </row>
    <row r="4381" customFormat="false" ht="15" hidden="false" customHeight="false" outlineLevel="0" collapsed="false">
      <c r="B4381" s="36" t="n">
        <v>45450</v>
      </c>
      <c r="C4381" s="37" t="n">
        <v>5.2796</v>
      </c>
    </row>
    <row r="4382" customFormat="false" ht="15" hidden="false" customHeight="false" outlineLevel="0" collapsed="false">
      <c r="B4382" s="36" t="n">
        <v>45453</v>
      </c>
      <c r="C4382" s="37" t="n">
        <v>5.366</v>
      </c>
    </row>
    <row r="4383" customFormat="false" ht="15" hidden="false" customHeight="false" outlineLevel="0" collapsed="false">
      <c r="B4383" s="36" t="n">
        <v>45454</v>
      </c>
      <c r="C4383" s="37" t="n">
        <v>5.3519</v>
      </c>
    </row>
    <row r="4384" customFormat="false" ht="15" hidden="false" customHeight="false" outlineLevel="0" collapsed="false">
      <c r="B4384" s="36" t="n">
        <v>45455</v>
      </c>
      <c r="C4384" s="37" t="n">
        <v>5.3885</v>
      </c>
    </row>
    <row r="4385" customFormat="false" ht="15" hidden="false" customHeight="false" outlineLevel="0" collapsed="false">
      <c r="B4385" s="36" t="n">
        <v>45456</v>
      </c>
      <c r="C4385" s="37" t="n">
        <v>5.3968</v>
      </c>
    </row>
    <row r="4386" customFormat="false" ht="15" hidden="false" customHeight="false" outlineLevel="0" collapsed="false">
      <c r="B4386" s="36" t="n">
        <v>45457</v>
      </c>
      <c r="C4386" s="37" t="n">
        <v>5.3624</v>
      </c>
    </row>
    <row r="4387" customFormat="false" ht="15" hidden="false" customHeight="false" outlineLevel="0" collapsed="false">
      <c r="B4387" s="36" t="n">
        <v>45460</v>
      </c>
      <c r="C4387" s="37" t="n">
        <v>5.4124</v>
      </c>
    </row>
    <row r="4388" customFormat="false" ht="15" hidden="false" customHeight="false" outlineLevel="0" collapsed="false">
      <c r="B4388" s="36" t="n">
        <v>45461</v>
      </c>
      <c r="C4388" s="37" t="n">
        <v>5.4068</v>
      </c>
    </row>
    <row r="4389" customFormat="false" ht="15" hidden="false" customHeight="false" outlineLevel="0" collapsed="false">
      <c r="B4389" s="36" t="n">
        <v>45462</v>
      </c>
      <c r="C4389" s="37" t="n">
        <v>5.4641</v>
      </c>
    </row>
    <row r="4390" customFormat="false" ht="15" hidden="false" customHeight="false" outlineLevel="0" collapsed="false">
      <c r="B4390" s="36" t="n">
        <v>45463</v>
      </c>
      <c r="C4390" s="37" t="n">
        <v>5.4248</v>
      </c>
    </row>
    <row r="4391" customFormat="false" ht="15" hidden="false" customHeight="false" outlineLevel="0" collapsed="false">
      <c r="B4391" s="36" t="n">
        <v>45464</v>
      </c>
      <c r="C4391" s="37" t="n">
        <v>5.441</v>
      </c>
    </row>
    <row r="4392" customFormat="false" ht="15" hidden="false" customHeight="false" outlineLevel="0" collapsed="false">
      <c r="B4392" s="36" t="n">
        <v>45467</v>
      </c>
      <c r="C4392" s="37" t="n">
        <v>5.3994</v>
      </c>
    </row>
    <row r="4393" customFormat="false" ht="15" hidden="false" customHeight="false" outlineLevel="0" collapsed="false">
      <c r="B4393" s="36" t="n">
        <v>45468</v>
      </c>
      <c r="C4393" s="37" t="n">
        <v>5.4283</v>
      </c>
    </row>
    <row r="4394" customFormat="false" ht="15" hidden="false" customHeight="false" outlineLevel="0" collapsed="false">
      <c r="B4394" s="36" t="n">
        <v>45469</v>
      </c>
      <c r="C4394" s="37" t="n">
        <v>5.5091</v>
      </c>
    </row>
    <row r="4395" customFormat="false" ht="15" hidden="false" customHeight="false" outlineLevel="0" collapsed="false">
      <c r="B4395" s="36" t="n">
        <v>45470</v>
      </c>
      <c r="C4395" s="37" t="n">
        <v>5.5223</v>
      </c>
    </row>
    <row r="4396" customFormat="false" ht="15" hidden="false" customHeight="false" outlineLevel="0" collapsed="false">
      <c r="B4396" s="36" t="n">
        <v>45471</v>
      </c>
      <c r="C4396" s="37" t="n">
        <v>5.5583</v>
      </c>
    </row>
    <row r="4397" customFormat="false" ht="15" hidden="false" customHeight="false" outlineLevel="0" collapsed="false">
      <c r="B4397" s="36" t="n">
        <v>45474</v>
      </c>
      <c r="C4397" s="37" t="n">
        <v>5.5887</v>
      </c>
    </row>
    <row r="4398" customFormat="false" ht="15" hidden="false" customHeight="false" outlineLevel="0" collapsed="false">
      <c r="B4398" s="36" t="n">
        <v>45475</v>
      </c>
      <c r="C4398" s="37" t="n">
        <v>5.6671</v>
      </c>
    </row>
    <row r="4399" customFormat="false" ht="15" hidden="false" customHeight="false" outlineLevel="0" collapsed="false">
      <c r="B4399" s="36" t="n">
        <v>45476</v>
      </c>
      <c r="C4399" s="37" t="n">
        <v>5.5857</v>
      </c>
    </row>
    <row r="4400" customFormat="false" ht="15" hidden="false" customHeight="false" outlineLevel="0" collapsed="false">
      <c r="B4400" s="36" t="n">
        <v>45477</v>
      </c>
      <c r="C4400" s="37" t="n">
        <v>5.4833</v>
      </c>
    </row>
    <row r="4401" customFormat="false" ht="15" hidden="false" customHeight="false" outlineLevel="0" collapsed="false">
      <c r="B4401" s="36" t="n">
        <v>45478</v>
      </c>
      <c r="C4401" s="37" t="n">
        <v>5.4964</v>
      </c>
    </row>
    <row r="4402" customFormat="false" ht="15" hidden="false" customHeight="false" outlineLevel="0" collapsed="false">
      <c r="B4402" s="36" t="n">
        <v>45481</v>
      </c>
      <c r="C4402" s="37" t="n">
        <v>5.4714</v>
      </c>
    </row>
    <row r="4403" customFormat="false" ht="15" hidden="false" customHeight="false" outlineLevel="0" collapsed="false">
      <c r="B4403" s="36" t="n">
        <v>45482</v>
      </c>
      <c r="C4403" s="37" t="n">
        <v>5.4381</v>
      </c>
    </row>
    <row r="4404" customFormat="false" ht="15" hidden="false" customHeight="false" outlineLevel="0" collapsed="false">
      <c r="B4404" s="36" t="n">
        <v>45483</v>
      </c>
      <c r="C4404" s="37" t="n">
        <v>5.3961</v>
      </c>
    </row>
    <row r="4405" customFormat="false" ht="15" hidden="false" customHeight="false" outlineLevel="0" collapsed="false">
      <c r="B4405" s="36" t="n">
        <v>45484</v>
      </c>
      <c r="C4405" s="37" t="n">
        <v>5.4094</v>
      </c>
    </row>
    <row r="4406" customFormat="false" ht="15" hidden="false" customHeight="false" outlineLevel="0" collapsed="false">
      <c r="B4406" s="36" t="n">
        <v>45485</v>
      </c>
      <c r="C4406" s="37" t="n">
        <v>5.4523</v>
      </c>
    </row>
    <row r="4407" customFormat="false" ht="15" hidden="false" customHeight="false" outlineLevel="0" collapsed="false">
      <c r="B4407" s="36" t="n">
        <v>45488</v>
      </c>
      <c r="C4407" s="37" t="n">
        <v>5.4557</v>
      </c>
    </row>
    <row r="4408" customFormat="false" ht="15" hidden="false" customHeight="false" outlineLevel="0" collapsed="false">
      <c r="B4408" s="36" t="n">
        <v>45489</v>
      </c>
      <c r="C4408" s="37" t="n">
        <v>5.4268</v>
      </c>
    </row>
    <row r="4409" customFormat="false" ht="15" hidden="false" customHeight="false" outlineLevel="0" collapsed="false">
      <c r="B4409" s="36" t="n">
        <v>45490</v>
      </c>
      <c r="C4409" s="37" t="n">
        <v>5.4664</v>
      </c>
    </row>
    <row r="4410" customFormat="false" ht="15" hidden="false" customHeight="false" outlineLevel="0" collapsed="false">
      <c r="B4410" s="36" t="n">
        <v>45491</v>
      </c>
      <c r="C4410" s="37" t="n">
        <v>5.542</v>
      </c>
    </row>
    <row r="4411" customFormat="false" ht="15" hidden="false" customHeight="false" outlineLevel="0" collapsed="false">
      <c r="B4411" s="36" t="n">
        <v>45492</v>
      </c>
      <c r="C4411" s="37" t="n">
        <v>5.5537</v>
      </c>
    </row>
    <row r="4412" customFormat="false" ht="15" hidden="false" customHeight="false" outlineLevel="0" collapsed="false">
      <c r="B4412" s="36" t="n">
        <v>45495</v>
      </c>
      <c r="C4412" s="37" t="n">
        <v>5.5592</v>
      </c>
    </row>
    <row r="4413" customFormat="false" ht="15" hidden="false" customHeight="false" outlineLevel="0" collapsed="false">
      <c r="B4413" s="36" t="n">
        <v>45496</v>
      </c>
      <c r="C4413" s="37" t="n">
        <v>5.5801</v>
      </c>
    </row>
    <row r="4414" customFormat="false" ht="15" hidden="false" customHeight="false" outlineLevel="0" collapsed="false">
      <c r="B4414" s="36" t="n">
        <v>45497</v>
      </c>
      <c r="C4414" s="37" t="n">
        <v>5.634</v>
      </c>
    </row>
    <row r="4415" customFormat="false" ht="15" hidden="false" customHeight="false" outlineLevel="0" collapsed="false">
      <c r="B4415" s="36" t="n">
        <v>45498</v>
      </c>
      <c r="C4415" s="37" t="n">
        <v>5.6396</v>
      </c>
    </row>
    <row r="4416" customFormat="false" ht="15" hidden="false" customHeight="false" outlineLevel="0" collapsed="false">
      <c r="B4416" s="36" t="n">
        <v>45499</v>
      </c>
      <c r="C4416" s="37" t="n">
        <v>5.6459</v>
      </c>
    </row>
    <row r="4417" customFormat="false" ht="15" hidden="false" customHeight="false" outlineLevel="0" collapsed="false">
      <c r="B4417" s="36" t="n">
        <v>45502</v>
      </c>
      <c r="C4417" s="37" t="n">
        <v>5.6473</v>
      </c>
    </row>
    <row r="4418" customFormat="false" ht="15" hidden="false" customHeight="false" outlineLevel="0" collapsed="false">
      <c r="B4418" s="36" t="n">
        <v>45503</v>
      </c>
      <c r="C4418" s="37" t="n">
        <v>5.6526</v>
      </c>
    </row>
    <row r="4419" customFormat="false" ht="15" hidden="false" customHeight="false" outlineLevel="0" collapsed="false">
      <c r="B4419" s="36" t="n">
        <v>45504</v>
      </c>
      <c r="C4419" s="37" t="n">
        <v>5.6615</v>
      </c>
    </row>
    <row r="4420" customFormat="false" ht="15" hidden="false" customHeight="false" outlineLevel="0" collapsed="false">
      <c r="B4420" s="36" t="n">
        <v>45505</v>
      </c>
      <c r="C4420" s="37" t="n">
        <v>5.6675</v>
      </c>
    </row>
    <row r="4421" customFormat="false" ht="15" hidden="false" customHeight="false" outlineLevel="0" collapsed="false">
      <c r="B4421" s="36" t="n">
        <v>45506</v>
      </c>
      <c r="C4421" s="37" t="n">
        <v>5.736</v>
      </c>
    </row>
    <row r="4422" customFormat="false" ht="15" hidden="false" customHeight="false" outlineLevel="0" collapsed="false">
      <c r="B4422" s="36" t="n">
        <v>45509</v>
      </c>
      <c r="C4422" s="37" t="n">
        <v>5.764</v>
      </c>
    </row>
    <row r="4423" customFormat="false" ht="15" hidden="false" customHeight="false" outlineLevel="0" collapsed="false">
      <c r="B4423" s="36" t="n">
        <v>45510</v>
      </c>
      <c r="C4423" s="37" t="n">
        <v>5.6522</v>
      </c>
    </row>
    <row r="4424" customFormat="false" ht="15" hidden="false" customHeight="false" outlineLevel="0" collapsed="false">
      <c r="B4424" s="36" t="n">
        <v>45511</v>
      </c>
      <c r="C4424" s="37" t="n">
        <v>5.6087</v>
      </c>
    </row>
    <row r="4425" customFormat="false" ht="15" hidden="false" customHeight="false" outlineLevel="0" collapsed="false">
      <c r="B4425" s="36" t="n">
        <v>45512</v>
      </c>
      <c r="C4425" s="37" t="n">
        <v>5.6166</v>
      </c>
    </row>
    <row r="4426" customFormat="false" ht="15" hidden="false" customHeight="false" outlineLevel="0" collapsed="false">
      <c r="B4426" s="36" t="n">
        <v>45513</v>
      </c>
      <c r="C4426" s="37" t="n">
        <v>5.5109</v>
      </c>
    </row>
    <row r="4427" customFormat="false" ht="15" hidden="false" customHeight="false" outlineLevel="0" collapsed="false">
      <c r="B4427" s="36" t="n">
        <v>45516</v>
      </c>
      <c r="C4427" s="37" t="n">
        <v>5.4905</v>
      </c>
    </row>
    <row r="4428" customFormat="false" ht="15" hidden="false" customHeight="false" outlineLevel="0" collapsed="false">
      <c r="B4428" s="36" t="n">
        <v>45517</v>
      </c>
      <c r="C4428" s="37" t="n">
        <v>5.4869</v>
      </c>
    </row>
    <row r="4429" customFormat="false" ht="15" hidden="false" customHeight="false" outlineLevel="0" collapsed="false">
      <c r="B4429" s="36" t="n">
        <v>45518</v>
      </c>
      <c r="C4429" s="37" t="n">
        <v>5.4496</v>
      </c>
    </row>
    <row r="4430" customFormat="false" ht="15" hidden="false" customHeight="false" outlineLevel="0" collapsed="false">
      <c r="B4430" s="36" t="n">
        <v>45519</v>
      </c>
      <c r="C4430" s="37" t="n">
        <v>5.4645</v>
      </c>
    </row>
    <row r="4431" customFormat="false" ht="15" hidden="false" customHeight="false" outlineLevel="0" collapsed="false">
      <c r="B4431" s="36" t="n">
        <v>45520</v>
      </c>
      <c r="C4431" s="37" t="n">
        <v>5.4626</v>
      </c>
    </row>
    <row r="4432" customFormat="false" ht="15" hidden="false" customHeight="false" outlineLevel="0" collapsed="false">
      <c r="B4432" s="36" t="n">
        <v>45523</v>
      </c>
      <c r="C4432" s="37" t="n">
        <v>5.4231</v>
      </c>
    </row>
    <row r="4433" customFormat="false" ht="15" hidden="false" customHeight="false" outlineLevel="0" collapsed="false">
      <c r="B4433" s="36" t="n">
        <v>45524</v>
      </c>
      <c r="C4433" s="37" t="n">
        <v>5.4541</v>
      </c>
    </row>
    <row r="4434" customFormat="false" ht="15" hidden="false" customHeight="false" outlineLevel="0" collapsed="false">
      <c r="B4434" s="36" t="n">
        <v>45525</v>
      </c>
      <c r="C4434" s="37" t="n">
        <v>5.4701</v>
      </c>
    </row>
    <row r="4435" customFormat="false" ht="15" hidden="false" customHeight="false" outlineLevel="0" collapsed="false">
      <c r="B4435" s="36" t="n">
        <v>45526</v>
      </c>
      <c r="C4435" s="37" t="n">
        <v>5.5518</v>
      </c>
    </row>
    <row r="4436" customFormat="false" ht="15" hidden="false" customHeight="false" outlineLevel="0" collapsed="false">
      <c r="B4436" s="36" t="n">
        <v>45527</v>
      </c>
      <c r="C4436" s="37" t="n">
        <v>5.5257</v>
      </c>
    </row>
    <row r="4437" customFormat="false" ht="15" hidden="false" customHeight="false" outlineLevel="0" collapsed="false">
      <c r="B4437" s="36" t="n">
        <v>45530</v>
      </c>
      <c r="C4437" s="37" t="n">
        <v>5.4915</v>
      </c>
    </row>
    <row r="4438" customFormat="false" ht="15" hidden="false" customHeight="false" outlineLevel="0" collapsed="false">
      <c r="B4438" s="36" t="n">
        <v>45531</v>
      </c>
      <c r="C4438" s="37" t="n">
        <v>5.4963</v>
      </c>
    </row>
    <row r="4439" customFormat="false" ht="15" hidden="false" customHeight="false" outlineLevel="0" collapsed="false">
      <c r="B4439" s="36" t="n">
        <v>45532</v>
      </c>
      <c r="C4439" s="37" t="n">
        <v>5.5309</v>
      </c>
    </row>
    <row r="4440" customFormat="false" ht="15" hidden="false" customHeight="false" outlineLevel="0" collapsed="false">
      <c r="B4440" s="36" t="n">
        <v>45533</v>
      </c>
      <c r="C4440" s="37" t="n">
        <v>5.6352</v>
      </c>
    </row>
    <row r="4441" customFormat="false" ht="15" hidden="false" customHeight="false" outlineLevel="0" collapsed="false">
      <c r="B4441" s="36" t="n">
        <v>45534</v>
      </c>
      <c r="C4441" s="37" t="n">
        <v>5.6556</v>
      </c>
    </row>
    <row r="4442" customFormat="false" ht="15" hidden="false" customHeight="false" outlineLevel="0" collapsed="false">
      <c r="B4442" s="36" t="n">
        <v>45537</v>
      </c>
      <c r="C4442" s="37" t="n">
        <v>5.6224</v>
      </c>
    </row>
    <row r="4443" customFormat="false" ht="15" hidden="false" customHeight="false" outlineLevel="0" collapsed="false">
      <c r="B4443" s="36" t="n">
        <v>45538</v>
      </c>
      <c r="C4443" s="37" t="n">
        <v>5.6218</v>
      </c>
    </row>
    <row r="4444" customFormat="false" ht="15" hidden="false" customHeight="false" outlineLevel="0" collapsed="false">
      <c r="B4444" s="36" t="n">
        <v>45539</v>
      </c>
      <c r="C4444" s="37" t="n">
        <v>5.6353</v>
      </c>
    </row>
    <row r="4445" customFormat="false" ht="15" hidden="false" customHeight="false" outlineLevel="0" collapsed="false">
      <c r="B4445" s="36" t="n">
        <v>45540</v>
      </c>
      <c r="C4445" s="37" t="n">
        <v>5.6043</v>
      </c>
    </row>
    <row r="4446" customFormat="false" ht="15" hidden="false" customHeight="false" outlineLevel="0" collapsed="false">
      <c r="B4446" s="36" t="n">
        <v>45541</v>
      </c>
      <c r="C4446" s="37" t="n">
        <v>5.5696</v>
      </c>
    </row>
    <row r="4447" customFormat="false" ht="15" hidden="false" customHeight="false" outlineLevel="0" collapsed="false">
      <c r="B4447" s="36" t="n">
        <v>45544</v>
      </c>
      <c r="C4447" s="37" t="n">
        <v>5.6091</v>
      </c>
    </row>
    <row r="4448" customFormat="false" ht="15" hidden="false" customHeight="false" outlineLevel="0" collapsed="false">
      <c r="B4448" s="36" t="n">
        <v>45545</v>
      </c>
      <c r="C4448" s="37" t="n">
        <v>5.6248</v>
      </c>
    </row>
    <row r="4449" customFormat="false" ht="15" hidden="false" customHeight="false" outlineLevel="0" collapsed="false">
      <c r="B4449" s="36" t="n">
        <v>45546</v>
      </c>
      <c r="C4449" s="37" t="n">
        <v>5.6381</v>
      </c>
    </row>
    <row r="4450" customFormat="false" ht="15" hidden="false" customHeight="false" outlineLevel="0" collapsed="false">
      <c r="B4450" s="36" t="n">
        <v>45547</v>
      </c>
      <c r="C4450" s="37" t="n">
        <v>5.6548</v>
      </c>
    </row>
    <row r="4451" customFormat="false" ht="15" hidden="false" customHeight="false" outlineLevel="0" collapsed="false">
      <c r="B4451" s="36" t="n">
        <v>45548</v>
      </c>
      <c r="C4451" s="37" t="n">
        <v>5.5711</v>
      </c>
    </row>
    <row r="4452" customFormat="false" ht="15" hidden="false" customHeight="false" outlineLevel="0" collapsed="false">
      <c r="B4452" s="36" t="n">
        <v>45551</v>
      </c>
      <c r="C4452" s="37" t="n">
        <v>5.5201</v>
      </c>
    </row>
    <row r="4453" customFormat="false" ht="15" hidden="false" customHeight="false" outlineLevel="0" collapsed="false">
      <c r="B4453" s="36" t="n">
        <v>45552</v>
      </c>
      <c r="C4453" s="37" t="n">
        <v>5.5004</v>
      </c>
    </row>
    <row r="4454" customFormat="false" ht="15" hidden="false" customHeight="false" outlineLevel="0" collapsed="false">
      <c r="B4454" s="36" t="n">
        <v>45553</v>
      </c>
      <c r="C4454" s="37" t="n">
        <v>5.4761</v>
      </c>
    </row>
    <row r="4455" customFormat="false" ht="15" hidden="false" customHeight="false" outlineLevel="0" collapsed="false">
      <c r="B4455" s="36" t="n">
        <v>45554</v>
      </c>
      <c r="C4455" s="37" t="n">
        <v>5.4183</v>
      </c>
    </row>
    <row r="4456" customFormat="false" ht="15" hidden="false" customHeight="false" outlineLevel="0" collapsed="false">
      <c r="B4456" s="36" t="n">
        <v>45555</v>
      </c>
      <c r="C4456" s="37" t="n">
        <v>5.4769</v>
      </c>
    </row>
    <row r="4457" customFormat="false" ht="15" hidden="false" customHeight="false" outlineLevel="0" collapsed="false">
      <c r="B4457" s="36" t="n">
        <v>45558</v>
      </c>
      <c r="C4457" s="37" t="n">
        <v>5.544</v>
      </c>
    </row>
    <row r="4458" customFormat="false" ht="15" hidden="false" customHeight="false" outlineLevel="0" collapsed="false">
      <c r="B4458" s="36" t="n">
        <v>45559</v>
      </c>
      <c r="C4458" s="37" t="n">
        <v>5.4696</v>
      </c>
    </row>
    <row r="4459" customFormat="false" ht="15" hidden="false" customHeight="false" outlineLevel="0" collapsed="false">
      <c r="B4459" s="36" t="n">
        <v>45560</v>
      </c>
      <c r="C4459" s="37" t="n">
        <v>5.473</v>
      </c>
    </row>
    <row r="4460" customFormat="false" ht="15" hidden="false" customHeight="false" outlineLevel="0" collapsed="false">
      <c r="B4460" s="36" t="n">
        <v>45561</v>
      </c>
      <c r="C4460" s="37" t="n">
        <v>5.4406</v>
      </c>
    </row>
    <row r="4461" customFormat="false" ht="15" hidden="false" customHeight="false" outlineLevel="0" collapsed="false">
      <c r="B4461" s="36" t="n">
        <v>45562</v>
      </c>
      <c r="C4461" s="37" t="n">
        <v>5.4425</v>
      </c>
    </row>
    <row r="4462" customFormat="false" ht="15" hidden="false" customHeight="false" outlineLevel="0" collapsed="false">
      <c r="B4462" s="36" t="n">
        <v>45565</v>
      </c>
      <c r="C4462" s="37" t="n">
        <v>5.4475</v>
      </c>
    </row>
    <row r="4463" customFormat="false" ht="15" hidden="false" customHeight="false" outlineLevel="0" collapsed="false">
      <c r="B4463" s="36" t="n">
        <v>45566</v>
      </c>
      <c r="C4463" s="37" t="n">
        <v>5.4515</v>
      </c>
    </row>
    <row r="4464" customFormat="false" ht="15" hidden="false" customHeight="false" outlineLevel="0" collapsed="false">
      <c r="B4464" s="36" t="n">
        <v>45567</v>
      </c>
      <c r="C4464" s="37" t="n">
        <v>5.4299</v>
      </c>
    </row>
    <row r="4465" customFormat="false" ht="15" hidden="false" customHeight="false" outlineLevel="0" collapsed="false">
      <c r="B4465" s="36" t="n">
        <v>45568</v>
      </c>
      <c r="C4465" s="37" t="n">
        <v>5.4844</v>
      </c>
    </row>
    <row r="4466" customFormat="false" ht="15" hidden="false" customHeight="false" outlineLevel="0" collapsed="false">
      <c r="B4466" s="36" t="n">
        <v>45569</v>
      </c>
      <c r="C4466" s="37" t="n">
        <v>5.468</v>
      </c>
    </row>
    <row r="4467" customFormat="false" ht="15" hidden="false" customHeight="false" outlineLevel="0" collapsed="false">
      <c r="B4467" s="36" t="n">
        <v>45572</v>
      </c>
      <c r="C4467" s="37" t="n">
        <v>5.462</v>
      </c>
    </row>
    <row r="4468" customFormat="false" ht="15" hidden="false" customHeight="false" outlineLevel="0" collapsed="false">
      <c r="B4468" s="36" t="n">
        <v>45573</v>
      </c>
      <c r="C4468" s="37" t="n">
        <v>5.5191</v>
      </c>
    </row>
    <row r="4469" customFormat="false" ht="15" hidden="false" customHeight="false" outlineLevel="0" collapsed="false">
      <c r="B4469" s="36" t="n">
        <v>45574</v>
      </c>
      <c r="C4469" s="37" t="n">
        <v>5.5731</v>
      </c>
    </row>
    <row r="4470" customFormat="false" ht="15" hidden="false" customHeight="false" outlineLevel="0" collapsed="false">
      <c r="B4470" s="36" t="n">
        <v>45575</v>
      </c>
      <c r="C4470" s="37" t="n">
        <v>5.5813</v>
      </c>
    </row>
    <row r="4471" customFormat="false" ht="15" hidden="false" customHeight="false" outlineLevel="0" collapsed="false">
      <c r="B4471" s="36" t="n">
        <v>45576</v>
      </c>
      <c r="C4471" s="37" t="n">
        <v>5.6257</v>
      </c>
    </row>
    <row r="4472" customFormat="false" ht="15" hidden="false" customHeight="false" outlineLevel="0" collapsed="false">
      <c r="B4472" s="36" t="n">
        <v>45579</v>
      </c>
      <c r="C4472" s="37" t="n">
        <v>5.6039</v>
      </c>
    </row>
    <row r="4473" customFormat="false" ht="15" hidden="false" customHeight="false" outlineLevel="0" collapsed="false">
      <c r="B4473" s="36" t="n">
        <v>45580</v>
      </c>
      <c r="C4473" s="37" t="n">
        <v>5.6372</v>
      </c>
    </row>
    <row r="4474" customFormat="false" ht="15" hidden="false" customHeight="false" outlineLevel="0" collapsed="false">
      <c r="B4474" s="36" t="n">
        <v>45581</v>
      </c>
      <c r="C4474" s="37" t="n">
        <v>5.6743</v>
      </c>
    </row>
    <row r="4475" customFormat="false" ht="15" hidden="false" customHeight="false" outlineLevel="0" collapsed="false">
      <c r="B4475" s="36" t="n">
        <v>45582</v>
      </c>
      <c r="C4475" s="37" t="n">
        <v>5.6752</v>
      </c>
    </row>
    <row r="4476" customFormat="false" ht="15" hidden="false" customHeight="false" outlineLevel="0" collapsed="false">
      <c r="B4476" s="36" t="n">
        <v>45583</v>
      </c>
      <c r="C4476" s="37" t="n">
        <v>5.6666</v>
      </c>
    </row>
    <row r="4477" customFormat="false" ht="15" hidden="false" customHeight="false" outlineLevel="0" collapsed="false">
      <c r="B4477" s="36" t="n">
        <v>45586</v>
      </c>
      <c r="C4477" s="37" t="n">
        <v>5.7062</v>
      </c>
    </row>
    <row r="4478" customFormat="false" ht="15" hidden="false" customHeight="false" outlineLevel="0" collapsed="false">
      <c r="B4478" s="36" t="n">
        <v>45587</v>
      </c>
      <c r="C4478" s="37" t="n">
        <v>5.6952</v>
      </c>
    </row>
    <row r="4479" customFormat="false" ht="15" hidden="false" customHeight="false" outlineLevel="0" collapsed="false">
      <c r="B4479" s="36" t="n">
        <v>45588</v>
      </c>
      <c r="C4479" s="37" t="n">
        <v>5.7143</v>
      </c>
    </row>
    <row r="4480" customFormat="false" ht="15" hidden="false" customHeight="false" outlineLevel="0" collapsed="false">
      <c r="B4480" s="36" t="n">
        <v>45589</v>
      </c>
      <c r="C4480" s="37" t="n">
        <v>5.7081</v>
      </c>
    </row>
    <row r="4481" customFormat="false" ht="15" hidden="false" customHeight="false" outlineLevel="0" collapsed="false">
      <c r="B4481" s="36" t="n">
        <v>45590</v>
      </c>
      <c r="C4481" s="37" t="n">
        <v>5.6963</v>
      </c>
    </row>
    <row r="4482" customFormat="false" ht="15" hidden="false" customHeight="false" outlineLevel="0" collapsed="false">
      <c r="B4482" s="36" t="n">
        <v>45593</v>
      </c>
      <c r="C4482" s="37" t="n">
        <v>5.6982</v>
      </c>
    </row>
    <row r="4483" customFormat="false" ht="15" hidden="false" customHeight="false" outlineLevel="0" collapsed="false">
      <c r="B4483" s="36" t="n">
        <v>45594</v>
      </c>
      <c r="C4483" s="37" t="n">
        <v>5.7134</v>
      </c>
    </row>
    <row r="4484" customFormat="false" ht="15" hidden="false" customHeight="false" outlineLevel="0" collapsed="false">
      <c r="B4484" s="36" t="n">
        <v>45595</v>
      </c>
      <c r="C4484" s="37" t="n">
        <v>5.7795</v>
      </c>
    </row>
    <row r="4485" customFormat="false" ht="15" hidden="false" customHeight="false" outlineLevel="0" collapsed="false">
      <c r="B4485" s="36" t="n">
        <v>45596</v>
      </c>
      <c r="C4485" s="37" t="n">
        <v>5.7773</v>
      </c>
    </row>
    <row r="4486" customFormat="false" ht="15" hidden="false" customHeight="false" outlineLevel="0" collapsed="false">
      <c r="B4486" s="36" t="n">
        <v>45597</v>
      </c>
      <c r="C4486" s="37" t="n">
        <v>5.8067</v>
      </c>
    </row>
    <row r="4487" customFormat="false" ht="15" hidden="false" customHeight="false" outlineLevel="0" collapsed="false">
      <c r="B4487" s="36" t="n">
        <v>45600</v>
      </c>
      <c r="C4487" s="37" t="n">
        <v>5.7892</v>
      </c>
    </row>
    <row r="4488" customFormat="false" ht="15" hidden="false" customHeight="false" outlineLevel="0" collapsed="false">
      <c r="B4488" s="36" t="n">
        <v>45601</v>
      </c>
      <c r="C4488" s="37" t="n">
        <v>5.784</v>
      </c>
    </row>
    <row r="4489" customFormat="false" ht="15" hidden="false" customHeight="false" outlineLevel="0" collapsed="false">
      <c r="B4489" s="36" t="n">
        <v>45602</v>
      </c>
      <c r="C4489" s="37" t="n">
        <v>5.7642</v>
      </c>
    </row>
    <row r="4490" customFormat="false" ht="15" hidden="false" customHeight="false" outlineLevel="0" collapsed="false">
      <c r="B4490" s="36" t="n">
        <v>45603</v>
      </c>
      <c r="C4490" s="37" t="n">
        <v>5.6618</v>
      </c>
    </row>
    <row r="4491" customFormat="false" ht="15" hidden="false" customHeight="false" outlineLevel="0" collapsed="false">
      <c r="B4491" s="36" t="n">
        <v>45604</v>
      </c>
      <c r="C4491" s="37" t="n">
        <v>5.7642</v>
      </c>
    </row>
    <row r="4492" customFormat="false" ht="15" hidden="false" customHeight="false" outlineLevel="0" collapsed="false">
      <c r="B4492" s="36" t="n">
        <v>45607</v>
      </c>
      <c r="C4492" s="37" t="n">
        <v>5.7974</v>
      </c>
    </row>
    <row r="4493" customFormat="false" ht="15" hidden="false" customHeight="false" outlineLevel="0" collapsed="false">
      <c r="B4493" s="36" t="n">
        <v>45608</v>
      </c>
      <c r="C4493" s="37" t="n">
        <v>5.7688</v>
      </c>
    </row>
    <row r="4494" customFormat="false" ht="15" hidden="false" customHeight="false" outlineLevel="0" collapsed="false">
      <c r="B4494" s="36" t="n">
        <v>45609</v>
      </c>
      <c r="C4494" s="37" t="n">
        <v>5.7707</v>
      </c>
    </row>
    <row r="4495" customFormat="false" ht="15" hidden="false" customHeight="false" outlineLevel="0" collapsed="false">
      <c r="B4495" s="36" t="n">
        <v>45610</v>
      </c>
      <c r="C4495" s="37" t="n">
        <v>5.7879</v>
      </c>
    </row>
    <row r="4496" customFormat="false" ht="15" hidden="false" customHeight="false" outlineLevel="0" collapsed="false">
      <c r="B4496" s="36" t="n">
        <v>45614</v>
      </c>
      <c r="C4496" s="37" t="n">
        <v>5.7597</v>
      </c>
    </row>
    <row r="4497" customFormat="false" ht="15" hidden="false" customHeight="false" outlineLevel="0" collapsed="false">
      <c r="B4497" s="36" t="n">
        <v>45615</v>
      </c>
      <c r="C4497" s="37" t="n">
        <v>5.7737</v>
      </c>
    </row>
    <row r="4498" customFormat="false" ht="15" hidden="false" customHeight="false" outlineLevel="0" collapsed="false">
      <c r="B4498" s="36" t="n">
        <v>45617</v>
      </c>
      <c r="C4498" s="37" t="n">
        <v>5.8167</v>
      </c>
    </row>
    <row r="4499" customFormat="false" ht="15" hidden="false" customHeight="false" outlineLevel="0" collapsed="false">
      <c r="B4499" s="36" t="n">
        <v>45618</v>
      </c>
      <c r="C4499" s="37" t="n">
        <v>5.8118</v>
      </c>
    </row>
    <row r="4500" customFormat="false" ht="15" hidden="false" customHeight="false" outlineLevel="0" collapsed="false">
      <c r="B4500" s="36" t="n">
        <v>45621</v>
      </c>
      <c r="C4500" s="37" t="n">
        <v>5.7996</v>
      </c>
    </row>
    <row r="4501" customFormat="false" ht="15" hidden="false" customHeight="false" outlineLevel="0" collapsed="false">
      <c r="B4501" s="36" t="n">
        <v>45622</v>
      </c>
      <c r="C4501" s="37" t="n">
        <v>5.7984</v>
      </c>
    </row>
    <row r="4502" customFormat="false" ht="15" hidden="false" customHeight="false" outlineLevel="0" collapsed="false">
      <c r="B4502" s="36" t="n">
        <v>45623</v>
      </c>
      <c r="C4502" s="37" t="n">
        <v>5.8285</v>
      </c>
    </row>
    <row r="4503" customFormat="false" ht="15" hidden="false" customHeight="false" outlineLevel="0" collapsed="false">
      <c r="B4503" s="36" t="n">
        <v>45624</v>
      </c>
      <c r="C4503" s="37" t="n">
        <v>5.9865</v>
      </c>
    </row>
    <row r="4504" customFormat="false" ht="15" hidden="false" customHeight="false" outlineLevel="0" collapsed="false">
      <c r="B4504" s="36" t="n">
        <v>45625</v>
      </c>
      <c r="C4504" s="37" t="n">
        <v>6.0529</v>
      </c>
    </row>
    <row r="4505" customFormat="false" ht="15" hidden="false" customHeight="false" outlineLevel="0" collapsed="false">
      <c r="B4505" s="36" t="n">
        <v>45628</v>
      </c>
      <c r="C4505" s="37" t="n">
        <v>6.0628</v>
      </c>
    </row>
    <row r="4506" customFormat="false" ht="15" hidden="false" customHeight="false" outlineLevel="0" collapsed="false">
      <c r="B4506" s="36" t="n">
        <v>45629</v>
      </c>
      <c r="C4506" s="37" t="n">
        <v>6.0701</v>
      </c>
    </row>
    <row r="4507" customFormat="false" ht="15" hidden="false" customHeight="false" outlineLevel="0" collapsed="false">
      <c r="B4507" s="36" t="n">
        <v>45630</v>
      </c>
      <c r="C4507" s="37" t="n">
        <v>6.0575</v>
      </c>
    </row>
    <row r="4508" customFormat="false" ht="15" hidden="false" customHeight="false" outlineLevel="0" collapsed="false">
      <c r="B4508" s="36" t="n">
        <v>45631</v>
      </c>
      <c r="C4508" s="37" t="n">
        <v>5.9843</v>
      </c>
    </row>
    <row r="4509" customFormat="false" ht="15" hidden="false" customHeight="false" outlineLevel="0" collapsed="false">
      <c r="B4509" s="36" t="n">
        <v>45632</v>
      </c>
      <c r="C4509" s="37" t="n">
        <v>6.0287</v>
      </c>
    </row>
    <row r="4510" customFormat="false" ht="15" hidden="false" customHeight="false" outlineLevel="0" collapsed="false">
      <c r="B4510" s="36" t="n">
        <v>45635</v>
      </c>
      <c r="C4510" s="37" t="n">
        <v>6.0564</v>
      </c>
    </row>
    <row r="4511" customFormat="false" ht="15" hidden="false" customHeight="false" outlineLevel="0" collapsed="false">
      <c r="B4511" s="36" t="n">
        <v>45636</v>
      </c>
      <c r="C4511" s="37" t="n">
        <v>6.0523</v>
      </c>
    </row>
    <row r="4512" customFormat="false" ht="15" hidden="false" customHeight="false" outlineLevel="0" collapsed="false">
      <c r="B4512" s="36" t="n">
        <v>45637</v>
      </c>
      <c r="C4512" s="37" t="n">
        <v>6.0314</v>
      </c>
    </row>
    <row r="4513" customFormat="false" ht="15" hidden="false" customHeight="false" outlineLevel="0" collapsed="false">
      <c r="B4513" s="36" t="n">
        <v>45638</v>
      </c>
      <c r="C4513" s="37" t="n">
        <v>5.9402</v>
      </c>
    </row>
    <row r="4514" customFormat="false" ht="15" hidden="false" customHeight="false" outlineLevel="0" collapsed="false">
      <c r="B4514" s="36" t="n">
        <v>45639</v>
      </c>
      <c r="C4514" s="37" t="n">
        <v>6.0394</v>
      </c>
    </row>
    <row r="4515" customFormat="false" ht="15" hidden="false" customHeight="false" outlineLevel="0" collapsed="false">
      <c r="B4515" s="36" t="n">
        <v>45642</v>
      </c>
      <c r="C4515" s="37" t="n">
        <v>6.0504</v>
      </c>
    </row>
    <row r="4516" customFormat="false" ht="15" hidden="false" customHeight="false" outlineLevel="0" collapsed="false">
      <c r="B4516" s="36" t="n">
        <v>45643</v>
      </c>
      <c r="C4516" s="37" t="n">
        <v>6.1679</v>
      </c>
    </row>
    <row r="4517" customFormat="false" ht="15" hidden="false" customHeight="false" outlineLevel="0" collapsed="false">
      <c r="B4517" s="36" t="n">
        <v>45644</v>
      </c>
      <c r="C4517" s="37" t="n">
        <v>6.1618</v>
      </c>
    </row>
    <row r="4518" customFormat="false" ht="15" hidden="false" customHeight="false" outlineLevel="0" collapsed="false">
      <c r="B4518" s="36" t="n">
        <v>45645</v>
      </c>
      <c r="C4518" s="37" t="n">
        <v>6.1835</v>
      </c>
    </row>
    <row r="4519" customFormat="false" ht="15" hidden="false" customHeight="false" outlineLevel="0" collapsed="false">
      <c r="B4519" s="36" t="n">
        <v>45646</v>
      </c>
      <c r="C4519" s="37" t="n">
        <v>6.0774</v>
      </c>
    </row>
    <row r="4520" customFormat="false" ht="15" hidden="false" customHeight="false" outlineLevel="0" collapsed="false">
      <c r="B4520" s="36" t="n">
        <v>45649</v>
      </c>
      <c r="C4520" s="37" t="n">
        <v>6.1606</v>
      </c>
    </row>
    <row r="4521" customFormat="false" ht="15" hidden="false" customHeight="false" outlineLevel="0" collapsed="false">
      <c r="B4521" s="36" t="n">
        <v>45650</v>
      </c>
      <c r="C4521" s="37" t="n">
        <v>6.1527</v>
      </c>
    </row>
    <row r="4522" customFormat="false" ht="15" hidden="false" customHeight="false" outlineLevel="0" collapsed="false">
      <c r="B4522" s="36" t="n">
        <v>45652</v>
      </c>
      <c r="C4522" s="37" t="n">
        <v>6.165</v>
      </c>
    </row>
    <row r="4523" customFormat="false" ht="15" hidden="false" customHeight="false" outlineLevel="0" collapsed="false">
      <c r="B4523" s="36" t="n">
        <v>45653</v>
      </c>
      <c r="C4523" s="37" t="n">
        <v>6.1985</v>
      </c>
    </row>
    <row r="4524" customFormat="false" ht="15" hidden="false" customHeight="false" outlineLevel="0" collapsed="false">
      <c r="B4524" s="36" t="n">
        <v>45656</v>
      </c>
      <c r="C4524" s="37" t="n">
        <v>6.1917</v>
      </c>
    </row>
    <row r="4525" customFormat="false" ht="15" hidden="false" customHeight="false" outlineLevel="0" collapsed="false">
      <c r="B4525" s="36" t="n">
        <v>45657</v>
      </c>
      <c r="C4525" s="37" t="n">
        <v>6.1917</v>
      </c>
    </row>
    <row r="4526" customFormat="false" ht="15" hidden="false" customHeight="false" outlineLevel="0" collapsed="false">
      <c r="B4526" s="36" t="n">
        <v>45659</v>
      </c>
      <c r="C4526" s="37" t="n">
        <v>6.208</v>
      </c>
    </row>
    <row r="4527" customFormat="false" ht="15" hidden="false" customHeight="false" outlineLevel="0" collapsed="false">
      <c r="B4527" s="36" t="n">
        <v>45660</v>
      </c>
      <c r="C4527" s="37" t="n">
        <v>6.1557</v>
      </c>
    </row>
    <row r="4528" customFormat="false" ht="15" hidden="false" customHeight="false" outlineLevel="0" collapsed="false">
      <c r="B4528" s="36" t="n">
        <v>45663</v>
      </c>
      <c r="C4528" s="37" t="n">
        <v>6.1113</v>
      </c>
    </row>
    <row r="4529" customFormat="false" ht="15" hidden="false" customHeight="false" outlineLevel="0" collapsed="false">
      <c r="B4529" s="36" t="n">
        <v>45664</v>
      </c>
      <c r="C4529" s="37" t="n">
        <v>6.0735</v>
      </c>
    </row>
    <row r="4530" customFormat="false" ht="15" hidden="false" customHeight="false" outlineLevel="0" collapsed="false">
      <c r="B4530" s="36" t="n">
        <v>45665</v>
      </c>
      <c r="C4530" s="37" t="n">
        <v>6.1315</v>
      </c>
    </row>
    <row r="4531" customFormat="false" ht="15" hidden="false" customHeight="false" outlineLevel="0" collapsed="false">
      <c r="B4531" s="36" t="n">
        <v>45666</v>
      </c>
      <c r="C4531" s="37" t="n">
        <v>6.089</v>
      </c>
    </row>
    <row r="4532" customFormat="false" ht="15" hidden="false" customHeight="false" outlineLevel="0" collapsed="false">
      <c r="B4532" s="36" t="n">
        <v>45667</v>
      </c>
      <c r="C4532" s="37" t="n">
        <v>6.0959</v>
      </c>
    </row>
    <row r="4533" customFormat="false" ht="15" hidden="false" customHeight="false" outlineLevel="0" collapsed="false">
      <c r="B4533" s="36" t="n">
        <v>45670</v>
      </c>
      <c r="C4533" s="37" t="n">
        <v>6.1073</v>
      </c>
    </row>
    <row r="4534" customFormat="false" ht="15" hidden="false" customHeight="false" outlineLevel="0" collapsed="false">
      <c r="B4534" s="36" t="n">
        <v>45671</v>
      </c>
      <c r="C4534" s="37" t="n">
        <v>6.0665</v>
      </c>
    </row>
    <row r="4535" customFormat="false" ht="15" hidden="false" customHeight="false" outlineLevel="0" collapsed="false">
      <c r="B4535" s="36" t="n">
        <v>45672</v>
      </c>
      <c r="C4535" s="37" t="n">
        <v>6.0371</v>
      </c>
    </row>
    <row r="4536" customFormat="false" ht="15" hidden="false" customHeight="false" outlineLevel="0" collapsed="false">
      <c r="B4536" s="36" t="n">
        <v>45673</v>
      </c>
      <c r="C4536" s="37" t="n">
        <v>6.0316</v>
      </c>
    </row>
    <row r="4537" customFormat="false" ht="15" hidden="false" customHeight="false" outlineLevel="0" collapsed="false">
      <c r="B4537" s="36" t="n">
        <v>45674</v>
      </c>
      <c r="C4537" s="37" t="n">
        <v>6.0603</v>
      </c>
    </row>
    <row r="4538" customFormat="false" ht="15" hidden="false" customHeight="false" outlineLevel="0" collapsed="false">
      <c r="B4538" s="36" t="n">
        <v>45677</v>
      </c>
      <c r="C4538" s="37" t="n">
        <v>6.0492</v>
      </c>
    </row>
    <row r="4539" customFormat="false" ht="15" hidden="false" customHeight="false" outlineLevel="0" collapsed="false">
      <c r="B4539" s="36" t="n">
        <v>45678</v>
      </c>
      <c r="C4539" s="37" t="n">
        <v>6.0434</v>
      </c>
    </row>
    <row r="4540" customFormat="false" ht="15" hidden="false" customHeight="false" outlineLevel="0" collapsed="false">
      <c r="B4540" s="36" t="n">
        <v>45679</v>
      </c>
      <c r="C4540" s="37" t="n">
        <v>5.9668</v>
      </c>
    </row>
    <row r="4541" customFormat="false" ht="15" hidden="false" customHeight="false" outlineLevel="0" collapsed="false">
      <c r="B4541" s="36" t="n">
        <v>45680</v>
      </c>
      <c r="C4541" s="37" t="n">
        <v>5.9393</v>
      </c>
    </row>
    <row r="4542" customFormat="false" ht="15" hidden="false" customHeight="false" outlineLevel="0" collapsed="false">
      <c r="B4542" s="36" t="n">
        <v>45681</v>
      </c>
      <c r="C4542" s="37" t="n">
        <v>5.8919</v>
      </c>
    </row>
    <row r="4543" customFormat="false" ht="15" hidden="false" customHeight="false" outlineLevel="0" collapsed="false">
      <c r="B4543" s="36" t="n">
        <v>45684</v>
      </c>
      <c r="C4543" s="37" t="n">
        <v>5.9266</v>
      </c>
    </row>
    <row r="4544" customFormat="false" ht="15" hidden="false" customHeight="false" outlineLevel="0" collapsed="false">
      <c r="B4544" s="36" t="n">
        <v>45685</v>
      </c>
      <c r="C4544" s="37" t="n">
        <v>5.8924</v>
      </c>
    </row>
    <row r="4545" customFormat="false" ht="15" hidden="false" customHeight="false" outlineLevel="0" collapsed="false">
      <c r="B4545" s="36" t="n">
        <v>45686</v>
      </c>
      <c r="C4545" s="37" t="n">
        <v>5.859</v>
      </c>
    </row>
    <row r="4546" customFormat="false" ht="15" hidden="false" customHeight="false" outlineLevel="0" collapsed="false">
      <c r="B4546" s="36" t="n">
        <v>45687</v>
      </c>
      <c r="C4546" s="37" t="n">
        <v>5.9</v>
      </c>
    </row>
    <row r="4547" customFormat="false" ht="15" hidden="false" customHeight="false" outlineLevel="0" collapsed="false">
      <c r="B4547" s="36" t="n">
        <v>45688</v>
      </c>
      <c r="C4547" s="37" t="n">
        <v>5.8295</v>
      </c>
    </row>
    <row r="4548" customFormat="false" ht="15" hidden="false" customHeight="false" outlineLevel="0" collapsed="false">
      <c r="B4548" s="36" t="n">
        <v>45691</v>
      </c>
      <c r="C4548" s="37" t="n">
        <v>5.8681</v>
      </c>
    </row>
    <row r="4549" customFormat="false" ht="15" hidden="false" customHeight="false" outlineLevel="0" collapsed="false">
      <c r="B4549" s="36" t="n">
        <v>45692</v>
      </c>
      <c r="C4549" s="37" t="n">
        <v>5.7921</v>
      </c>
    </row>
    <row r="4550" customFormat="false" ht="15" hidden="false" customHeight="false" outlineLevel="0" collapsed="false">
      <c r="B4550" s="36" t="n">
        <v>45693</v>
      </c>
      <c r="C4550" s="37" t="n">
        <v>5.7991</v>
      </c>
    </row>
    <row r="4551" customFormat="false" ht="15" hidden="false" customHeight="false" outlineLevel="0" collapsed="false">
      <c r="B4551" s="36" t="n">
        <v>45694</v>
      </c>
      <c r="C4551" s="37" t="n">
        <v>5.785</v>
      </c>
    </row>
    <row r="4552" customFormat="false" ht="15" hidden="false" customHeight="false" outlineLevel="0" collapsed="false">
      <c r="B4552" s="36" t="n">
        <v>45695</v>
      </c>
      <c r="C4552" s="37" t="n">
        <v>5.7551</v>
      </c>
    </row>
    <row r="4553" customFormat="false" ht="15" hidden="false" customHeight="false" outlineLevel="0" collapsed="false">
      <c r="B4553" s="36" t="n">
        <v>45698</v>
      </c>
      <c r="C4553" s="37" t="n">
        <v>5.7802</v>
      </c>
    </row>
    <row r="4554" customFormat="false" ht="15" hidden="false" customHeight="false" outlineLevel="0" collapsed="false">
      <c r="B4554" s="36" t="n">
        <v>45699</v>
      </c>
      <c r="C4554" s="37" t="n">
        <v>5.7782</v>
      </c>
    </row>
    <row r="4555" customFormat="false" ht="15" hidden="false" customHeight="false" outlineLevel="0" collapsed="false">
      <c r="B4555" s="36" t="n">
        <v>45700</v>
      </c>
      <c r="C4555" s="37" t="n">
        <v>5.7705</v>
      </c>
    </row>
    <row r="4556" customFormat="false" ht="15" hidden="false" customHeight="false" outlineLevel="0" collapsed="false">
      <c r="B4556" s="36" t="n">
        <v>45701</v>
      </c>
      <c r="C4556" s="37" t="n">
        <v>5.7782</v>
      </c>
    </row>
    <row r="4557" customFormat="false" ht="15" hidden="false" customHeight="false" outlineLevel="0" collapsed="false">
      <c r="B4557" s="36" t="n">
        <v>45702</v>
      </c>
      <c r="C4557" s="37" t="n">
        <v>5.7277</v>
      </c>
    </row>
    <row r="4558" customFormat="false" ht="15" hidden="false" customHeight="false" outlineLevel="0" collapsed="false">
      <c r="B4558" s="36" t="n">
        <v>45705</v>
      </c>
      <c r="C4558" s="37" t="n">
        <v>5.7099</v>
      </c>
    </row>
    <row r="4559" customFormat="false" ht="15" hidden="false" customHeight="false" outlineLevel="0" collapsed="false">
      <c r="B4559" s="36" t="n">
        <v>45706</v>
      </c>
      <c r="C4559" s="37" t="n">
        <v>5.6973</v>
      </c>
    </row>
    <row r="4560" customFormat="false" ht="15" hidden="false" customHeight="false" outlineLevel="0" collapsed="false">
      <c r="B4560" s="36" t="n">
        <v>45707</v>
      </c>
      <c r="C4560" s="37" t="n">
        <v>5.7081</v>
      </c>
    </row>
    <row r="4561" customFormat="false" ht="15" hidden="false" customHeight="false" outlineLevel="0" collapsed="false">
      <c r="B4561" s="36" t="n">
        <v>45708</v>
      </c>
      <c r="C4561" s="37" t="n">
        <v>5.7013</v>
      </c>
    </row>
    <row r="4562" customFormat="false" ht="15" hidden="false" customHeight="false" outlineLevel="0" collapsed="false">
      <c r="B4562" s="36" t="n">
        <v>45709</v>
      </c>
      <c r="C4562" s="37" t="n">
        <v>5.7021</v>
      </c>
    </row>
    <row r="4563" customFormat="false" ht="15" hidden="false" customHeight="false" outlineLevel="0" collapsed="false">
      <c r="B4563" s="36" t="n">
        <v>45712</v>
      </c>
      <c r="C4563" s="37" t="n">
        <v>5.7252</v>
      </c>
    </row>
    <row r="4564" customFormat="false" ht="15" hidden="false" customHeight="false" outlineLevel="0" collapsed="false">
      <c r="B4564" s="36" t="n">
        <v>45713</v>
      </c>
      <c r="C4564" s="37" t="n">
        <v>5.7773</v>
      </c>
    </row>
    <row r="4565" customFormat="false" ht="15" hidden="false" customHeight="false" outlineLevel="0" collapsed="false">
      <c r="B4565" s="36" t="n">
        <v>45714</v>
      </c>
      <c r="C4565" s="37" t="n">
        <v>5.7751</v>
      </c>
    </row>
    <row r="4566" customFormat="false" ht="15" hidden="false" customHeight="false" outlineLevel="0" collapsed="false">
      <c r="B4566" s="36" t="n">
        <v>45715</v>
      </c>
      <c r="C4566" s="37" t="n">
        <v>5.8222</v>
      </c>
    </row>
    <row r="4567" customFormat="false" ht="15" hidden="false" customHeight="false" outlineLevel="0" collapsed="false">
      <c r="B4567" s="36" t="n">
        <v>45716</v>
      </c>
      <c r="C4567" s="37" t="n">
        <v>5.8482</v>
      </c>
    </row>
    <row r="4568" customFormat="false" ht="15" hidden="false" customHeight="false" outlineLevel="0" collapsed="false">
      <c r="B4568" s="36" t="n">
        <v>45721</v>
      </c>
      <c r="C4568" s="37" t="n">
        <v>5.7908</v>
      </c>
    </row>
    <row r="4569" customFormat="false" ht="15" hidden="false" customHeight="false" outlineLevel="0" collapsed="false">
      <c r="B4569" s="36" t="n">
        <v>45722</v>
      </c>
      <c r="C4569" s="37" t="n">
        <v>5.7483</v>
      </c>
    </row>
    <row r="4570" customFormat="false" ht="15" hidden="false" customHeight="false" outlineLevel="0" collapsed="false">
      <c r="B4570" s="36" t="n">
        <v>45723</v>
      </c>
      <c r="C4570" s="37" t="n">
        <v>5.7682</v>
      </c>
    </row>
    <row r="4571" customFormat="false" ht="15" hidden="false" customHeight="false" outlineLevel="0" collapsed="false">
      <c r="B4571" s="36" t="n">
        <v>45726</v>
      </c>
      <c r="C4571" s="37" t="n">
        <v>5.7924</v>
      </c>
    </row>
    <row r="4572" customFormat="false" ht="15" hidden="false" customHeight="false" outlineLevel="0" collapsed="false">
      <c r="B4572" s="36" t="n">
        <v>45727</v>
      </c>
      <c r="C4572" s="37" t="n">
        <v>5.8341</v>
      </c>
    </row>
    <row r="4573" customFormat="false" ht="15" hidden="false" customHeight="false" outlineLevel="0" collapsed="false">
      <c r="B4573" s="36" t="n">
        <v>45728</v>
      </c>
      <c r="C4573" s="37" t="n">
        <v>5.8262</v>
      </c>
    </row>
    <row r="4574" customFormat="false" ht="15" hidden="false" customHeight="false" outlineLevel="0" collapsed="false">
      <c r="B4574" s="36" t="n">
        <v>45729</v>
      </c>
      <c r="C4574" s="37" t="n">
        <v>5.8125</v>
      </c>
    </row>
    <row r="4575" customFormat="false" ht="15" hidden="false" customHeight="false" outlineLevel="0" collapsed="false">
      <c r="B4575" s="36" t="n">
        <v>45730</v>
      </c>
      <c r="C4575" s="37" t="n">
        <v>5.7413</v>
      </c>
    </row>
    <row r="4576" customFormat="false" ht="15" hidden="false" customHeight="false" outlineLevel="0" collapsed="false">
      <c r="B4576" s="36" t="n">
        <v>45733</v>
      </c>
      <c r="C4576" s="37" t="n">
        <v>5.7076</v>
      </c>
    </row>
    <row r="4577" customFormat="false" ht="15" hidden="false" customHeight="false" outlineLevel="0" collapsed="false">
      <c r="B4577" s="36" t="n">
        <v>45734</v>
      </c>
      <c r="C4577" s="37" t="n">
        <v>5.6846</v>
      </c>
    </row>
    <row r="4578" customFormat="false" ht="15" hidden="false" customHeight="false" outlineLevel="0" collapsed="false">
      <c r="B4578" s="36" t="n">
        <v>45735</v>
      </c>
      <c r="C4578" s="37" t="n">
        <v>5.6651</v>
      </c>
    </row>
    <row r="4579" customFormat="false" ht="15" hidden="false" customHeight="false" outlineLevel="0" collapsed="false">
      <c r="B4579" s="36" t="n">
        <v>45736</v>
      </c>
      <c r="C4579" s="37" t="n">
        <v>5.6622</v>
      </c>
    </row>
    <row r="4580" customFormat="false" ht="15" hidden="false" customHeight="false" outlineLevel="0" collapsed="false">
      <c r="B4580" s="36" t="n">
        <v>45737</v>
      </c>
      <c r="C4580" s="37" t="n">
        <v>5.7235</v>
      </c>
    </row>
    <row r="4581" customFormat="false" ht="15" hidden="false" customHeight="false" outlineLevel="0" collapsed="false">
      <c r="B4581" s="36" t="n">
        <v>45740</v>
      </c>
      <c r="C4581" s="37" t="n">
        <v>5.7397</v>
      </c>
    </row>
    <row r="4582" customFormat="false" ht="15" hidden="false" customHeight="false" outlineLevel="0" collapsed="false">
      <c r="B4582" s="36" t="n">
        <v>45741</v>
      </c>
      <c r="C4582" s="37" t="n">
        <v>5.6986</v>
      </c>
    </row>
    <row r="4583" customFormat="false" ht="15" hidden="false" customHeight="false" outlineLevel="0" collapsed="false">
      <c r="B4583" s="36" t="n">
        <v>45742</v>
      </c>
      <c r="C4583" s="37" t="n">
        <v>5.7292</v>
      </c>
    </row>
    <row r="4584" customFormat="false" ht="15" hidden="false" customHeight="false" outlineLevel="0" collapsed="false">
      <c r="B4584" s="36" t="n">
        <v>45743</v>
      </c>
      <c r="C4584" s="37" t="n">
        <v>5.7468</v>
      </c>
    </row>
    <row r="4585" customFormat="false" ht="15" hidden="false" customHeight="false" outlineLevel="0" collapsed="false">
      <c r="B4585" s="36" t="n">
        <v>45744</v>
      </c>
      <c r="C4585" s="37" t="n">
        <v>5.7654</v>
      </c>
    </row>
    <row r="4586" customFormat="false" ht="15" hidden="false" customHeight="false" outlineLevel="0" collapsed="false">
      <c r="B4586" s="36" t="n">
        <v>45747</v>
      </c>
      <c r="C4586" s="37" t="n">
        <v>5.7416</v>
      </c>
    </row>
    <row r="4587" customFormat="false" ht="15" hidden="false" customHeight="false" outlineLevel="0" collapsed="false">
      <c r="B4587" s="36" t="n">
        <v>45748</v>
      </c>
      <c r="C4587" s="37" t="n">
        <v>5.7045</v>
      </c>
    </row>
    <row r="4588" customFormat="false" ht="15" hidden="false" customHeight="false" outlineLevel="0" collapsed="false">
      <c r="B4588" s="36" t="n">
        <v>45749</v>
      </c>
      <c r="C4588" s="37" t="n">
        <v>5.6918</v>
      </c>
    </row>
    <row r="4589" customFormat="false" ht="15" hidden="false" customHeight="false" outlineLevel="0" collapsed="false">
      <c r="B4589" s="36" t="n">
        <v>45750</v>
      </c>
      <c r="C4589" s="37" t="n">
        <v>5.6062</v>
      </c>
    </row>
    <row r="4590" customFormat="false" ht="15" hidden="false" customHeight="false" outlineLevel="0" collapsed="false">
      <c r="B4590" s="36" t="n">
        <v>45751</v>
      </c>
      <c r="C4590" s="37" t="n">
        <v>5.7771</v>
      </c>
    </row>
    <row r="4591" customFormat="false" ht="15" hidden="false" customHeight="false" outlineLevel="0" collapsed="false">
      <c r="B4591" s="36" t="n">
        <v>45754</v>
      </c>
      <c r="C4591" s="37" t="n">
        <v>5.8871</v>
      </c>
    </row>
    <row r="4592" customFormat="false" ht="15" hidden="false" customHeight="false" outlineLevel="0" collapsed="false">
      <c r="B4592" s="36" t="n">
        <v>45755</v>
      </c>
      <c r="C4592" s="37" t="n">
        <v>5.9362</v>
      </c>
    </row>
    <row r="4593" customFormat="false" ht="15" hidden="false" customHeight="false" outlineLevel="0" collapsed="false">
      <c r="B4593" s="36" t="n">
        <v>45756</v>
      </c>
      <c r="C4593" s="37" t="n">
        <v>6.0599</v>
      </c>
    </row>
    <row r="4594" customFormat="false" ht="15" hidden="false" customHeight="false" outlineLevel="0" collapsed="false">
      <c r="B4594" s="36" t="n">
        <v>45757</v>
      </c>
      <c r="C4594" s="37" t="n">
        <v>5.9109</v>
      </c>
    </row>
    <row r="4595" customFormat="false" ht="15" hidden="false" customHeight="false" outlineLevel="0" collapsed="false">
      <c r="B4595" s="36" t="n">
        <v>45758</v>
      </c>
      <c r="C4595" s="37" t="n">
        <v>5.8731</v>
      </c>
    </row>
    <row r="4596" customFormat="false" ht="15" hidden="false" customHeight="false" outlineLevel="0" collapsed="false">
      <c r="B4596" s="36" t="n">
        <v>45761</v>
      </c>
      <c r="C4596" s="37" t="n">
        <v>5.8419</v>
      </c>
    </row>
    <row r="4597" customFormat="false" ht="15" hidden="false" customHeight="false" outlineLevel="0" collapsed="false">
      <c r="B4597" s="36" t="n">
        <v>45762</v>
      </c>
      <c r="C4597" s="37" t="n">
        <v>5.8701</v>
      </c>
    </row>
    <row r="4598" customFormat="false" ht="15" hidden="false" customHeight="false" outlineLevel="0" collapsed="false">
      <c r="B4598" s="36" t="n">
        <v>45763</v>
      </c>
      <c r="C4598" s="37" t="n">
        <v>5.8802</v>
      </c>
    </row>
    <row r="4599" customFormat="false" ht="15" hidden="false" customHeight="false" outlineLevel="0" collapsed="false">
      <c r="B4599" s="36" t="n">
        <v>45764</v>
      </c>
      <c r="C4599" s="37" t="n">
        <v>5.8553</v>
      </c>
    </row>
    <row r="4600" customFormat="false" ht="15" hidden="false" customHeight="false" outlineLevel="0" collapsed="false">
      <c r="B4600" s="36" t="n">
        <v>45769</v>
      </c>
      <c r="C4600" s="37" t="n">
        <v>5.749</v>
      </c>
    </row>
    <row r="4601" customFormat="false" ht="15" hidden="false" customHeight="false" outlineLevel="0" collapsed="false">
      <c r="B4601" s="36" t="n">
        <v>45770</v>
      </c>
      <c r="C4601" s="37" t="n">
        <v>5.6874</v>
      </c>
    </row>
    <row r="4602" customFormat="false" ht="15" hidden="false" customHeight="false" outlineLevel="0" collapsed="false">
      <c r="B4602" s="36" t="n">
        <v>45771</v>
      </c>
      <c r="C4602" s="37" t="n">
        <v>5.6732</v>
      </c>
    </row>
    <row r="4603" customFormat="false" ht="15" hidden="false" customHeight="false" outlineLevel="0" collapsed="false">
      <c r="B4603" s="36" t="n">
        <v>45772</v>
      </c>
      <c r="C4603" s="37" t="n">
        <v>5.684</v>
      </c>
    </row>
    <row r="4604" customFormat="false" ht="15" hidden="false" customHeight="false" outlineLevel="0" collapsed="false">
      <c r="B4604" s="36" t="n">
        <v>45775</v>
      </c>
      <c r="C4604" s="37" t="n">
        <v>5.6675</v>
      </c>
    </row>
    <row r="4605" customFormat="false" ht="15" hidden="false" customHeight="false" outlineLevel="0" collapsed="false">
      <c r="B4605" s="36" t="n">
        <v>45776</v>
      </c>
      <c r="C4605" s="37" t="n">
        <v>5.6461</v>
      </c>
    </row>
    <row r="4606" customFormat="false" ht="15" hidden="false" customHeight="false" outlineLevel="0" collapsed="false">
      <c r="B4606" s="36" t="n">
        <v>45777</v>
      </c>
      <c r="C4606" s="37" t="n">
        <v>5.6602</v>
      </c>
    </row>
    <row r="4607" customFormat="false" ht="15" hidden="false" customHeight="false" outlineLevel="0" collapsed="false">
      <c r="B4607" s="36" t="n">
        <v>45779</v>
      </c>
      <c r="C4607" s="37" t="n">
        <v>5.6388</v>
      </c>
    </row>
    <row r="4608" customFormat="false" ht="15" hidden="false" customHeight="false" outlineLevel="0" collapsed="false">
      <c r="B4608" s="36" t="n">
        <v>45782</v>
      </c>
      <c r="C4608" s="37" t="n">
        <v>5.6514</v>
      </c>
    </row>
    <row r="4609" customFormat="false" ht="15" hidden="false" customHeight="false" outlineLevel="0" collapsed="false">
      <c r="B4609" s="36" t="n">
        <v>45783</v>
      </c>
      <c r="C4609" s="37" t="n">
        <v>5.7204</v>
      </c>
    </row>
    <row r="4610" customFormat="false" ht="15" hidden="false" customHeight="false" outlineLevel="0" collapsed="false">
      <c r="B4610" s="36" t="n">
        <v>45784</v>
      </c>
      <c r="C4610" s="37" t="n">
        <v>5.7368</v>
      </c>
    </row>
    <row r="4611" customFormat="false" ht="15" hidden="false" customHeight="false" outlineLevel="0" collapsed="false">
      <c r="B4611" s="36" t="n">
        <v>45785</v>
      </c>
      <c r="C4611" s="37" t="n">
        <v>5.6854</v>
      </c>
    </row>
    <row r="4612" customFormat="false" ht="15" hidden="false" customHeight="false" outlineLevel="0" collapsed="false">
      <c r="B4612" s="36" t="n">
        <v>45786</v>
      </c>
      <c r="C4612" s="37" t="n">
        <v>5.6505</v>
      </c>
    </row>
    <row r="4613" customFormat="false" ht="15" hidden="false" customHeight="false" outlineLevel="0" collapsed="false">
      <c r="B4613" s="36" t="n">
        <v>45789</v>
      </c>
      <c r="C4613" s="37" t="n">
        <v>5.6816</v>
      </c>
    </row>
    <row r="4614" customFormat="false" ht="15" hidden="false" customHeight="false" outlineLevel="0" collapsed="false">
      <c r="B4614" s="36" t="n">
        <v>45790</v>
      </c>
      <c r="C4614" s="37" t="n">
        <v>5.6256</v>
      </c>
    </row>
    <row r="4615" customFormat="false" ht="15" hidden="false" customHeight="false" outlineLevel="0" collapsed="false">
      <c r="B4615" s="36" t="n">
        <v>45791</v>
      </c>
      <c r="C4615" s="37" t="n">
        <v>5.6094</v>
      </c>
    </row>
    <row r="4616" customFormat="false" ht="15" hidden="false" customHeight="false" outlineLevel="0" collapsed="false">
      <c r="B4616" s="36" t="n">
        <v>45792</v>
      </c>
      <c r="C4616" s="37" t="n">
        <v>5.6322</v>
      </c>
    </row>
    <row r="4617" customFormat="false" ht="15" hidden="false" customHeight="false" outlineLevel="0" collapsed="false">
      <c r="B4617" s="36" t="n">
        <v>45793</v>
      </c>
      <c r="C4617" s="37" t="n">
        <v>5.6919</v>
      </c>
    </row>
    <row r="4618" customFormat="false" ht="15" hidden="false" customHeight="false" outlineLevel="0" collapsed="false">
      <c r="B4618" s="36" t="n">
        <v>45796</v>
      </c>
      <c r="C4618" s="37" t="n">
        <v>5.6585</v>
      </c>
    </row>
    <row r="4619" customFormat="false" ht="15" hidden="false" customHeight="false" outlineLevel="0" collapsed="false">
      <c r="B4619" s="36" t="n">
        <v>45797</v>
      </c>
      <c r="C4619" s="37" t="n">
        <v>5.6614</v>
      </c>
    </row>
    <row r="4620" customFormat="false" ht="15" hidden="false" customHeight="false" outlineLevel="0" collapsed="false">
      <c r="B4620" s="36" t="n">
        <v>45798</v>
      </c>
      <c r="C4620" s="37" t="n">
        <v>5.6565</v>
      </c>
    </row>
    <row r="4621" customFormat="false" ht="15" hidden="false" customHeight="false" outlineLevel="0" collapsed="false">
      <c r="B4621" s="36" t="n">
        <v>45799</v>
      </c>
      <c r="C4621" s="37" t="n">
        <v>5.6384</v>
      </c>
    </row>
    <row r="4622" customFormat="false" ht="15" hidden="false" customHeight="false" outlineLevel="0" collapsed="false">
      <c r="B4622" s="36" t="n">
        <v>45800</v>
      </c>
      <c r="C4622" s="37" t="n">
        <v>5.6926</v>
      </c>
    </row>
    <row r="4623" customFormat="false" ht="15" hidden="false" customHeight="false" outlineLevel="0" collapsed="false">
      <c r="B4623" s="36" t="n">
        <v>45803</v>
      </c>
      <c r="C4623" s="37" t="n">
        <v>5.6613</v>
      </c>
    </row>
    <row r="4624" customFormat="false" ht="15" hidden="false" customHeight="false" outlineLevel="0" collapsed="false">
      <c r="B4624" s="36" t="n">
        <v>45804</v>
      </c>
      <c r="C4624" s="37" t="n">
        <v>5.6533</v>
      </c>
    </row>
    <row r="4625" customFormat="false" ht="15" hidden="false" customHeight="false" outlineLevel="0" collapsed="false">
      <c r="B4625" s="36" t="n">
        <v>45805</v>
      </c>
      <c r="C4625" s="37" t="n">
        <v>5.693</v>
      </c>
    </row>
    <row r="4626" customFormat="false" ht="15" hidden="false" customHeight="false" outlineLevel="0" collapsed="false">
      <c r="B4626" s="36" t="n">
        <v>45806</v>
      </c>
      <c r="C4626" s="37" t="n">
        <v>5.6553</v>
      </c>
    </row>
    <row r="4627" customFormat="false" ht="15" hidden="false" customHeight="false" outlineLevel="0" collapsed="false">
      <c r="B4627" s="36" t="n">
        <v>45807</v>
      </c>
      <c r="C4627" s="37" t="n">
        <v>5.7081</v>
      </c>
    </row>
    <row r="4628" customFormat="false" ht="15" hidden="false" customHeight="false" outlineLevel="0" collapsed="false">
      <c r="B4628" s="36" t="n">
        <v>45810</v>
      </c>
      <c r="C4628" s="37" t="n">
        <v>5.6931</v>
      </c>
    </row>
    <row r="4629" customFormat="false" ht="15" hidden="false" customHeight="false" outlineLevel="0" collapsed="false">
      <c r="B4629" s="36" t="n">
        <v>45811</v>
      </c>
      <c r="C4629" s="37" t="n">
        <v>5.6688</v>
      </c>
    </row>
    <row r="4630" customFormat="false" ht="15" hidden="false" customHeight="false" outlineLevel="0" collapsed="false">
      <c r="B4630" s="36" t="n">
        <v>45812</v>
      </c>
      <c r="C4630" s="37" t="n">
        <v>5.6326</v>
      </c>
    </row>
    <row r="4631" customFormat="false" ht="15" hidden="false" customHeight="false" outlineLevel="0" collapsed="false">
      <c r="B4631" s="36" t="n">
        <v>45813</v>
      </c>
      <c r="C4631" s="37" t="n">
        <v>5.5963</v>
      </c>
    </row>
    <row r="4632" customFormat="false" ht="15" hidden="false" customHeight="false" outlineLevel="0" collapsed="false">
      <c r="B4632" s="36" t="n">
        <v>45814</v>
      </c>
      <c r="C4632" s="37" t="n">
        <v>5.5941</v>
      </c>
    </row>
    <row r="4633" customFormat="false" ht="15" hidden="false" customHeight="false" outlineLevel="0" collapsed="false">
      <c r="B4633" s="36" t="n">
        <v>45817</v>
      </c>
      <c r="C4633" s="37" t="n">
        <v>5.5754</v>
      </c>
    </row>
    <row r="4634" customFormat="false" ht="15" hidden="false" customHeight="false" outlineLevel="0" collapsed="false">
      <c r="B4634" s="36" t="n">
        <v>45818</v>
      </c>
      <c r="C4634" s="37" t="n">
        <v>5.5551</v>
      </c>
    </row>
    <row r="4635" customFormat="false" ht="15" hidden="false" customHeight="false" outlineLevel="0" collapsed="false">
      <c r="B4635" s="36" t="n">
        <v>45819</v>
      </c>
      <c r="C4635" s="37" t="n">
        <v>5.5384</v>
      </c>
    </row>
    <row r="4636" customFormat="false" ht="15" hidden="false" customHeight="false" outlineLevel="0" collapsed="false">
      <c r="B4636" s="36" t="n">
        <v>45820</v>
      </c>
      <c r="C4636" s="37" t="n">
        <v>5.5382</v>
      </c>
    </row>
    <row r="4637" customFormat="false" ht="15" hidden="false" customHeight="false" outlineLevel="0" collapsed="false">
      <c r="B4637" s="36" t="n">
        <v>45821</v>
      </c>
      <c r="C4637" s="37" t="n">
        <v>5.5646</v>
      </c>
    </row>
    <row r="4638" customFormat="false" ht="15" hidden="false" customHeight="false" outlineLevel="0" collapsed="false">
      <c r="B4638" s="36" t="n">
        <v>45824</v>
      </c>
      <c r="C4638" s="37" t="n">
        <v>5.5117</v>
      </c>
    </row>
    <row r="4639" customFormat="false" ht="15" hidden="false" customHeight="false" outlineLevel="0" collapsed="false">
      <c r="B4639" s="36" t="n">
        <v>45825</v>
      </c>
      <c r="C4639" s="37" t="n">
        <v>5.4767</v>
      </c>
    </row>
    <row r="4640" customFormat="false" ht="15" hidden="false" customHeight="false" outlineLevel="0" collapsed="false">
      <c r="B4640" s="36" t="n">
        <v>45826</v>
      </c>
      <c r="C4640" s="37" t="n">
        <v>5.4873</v>
      </c>
    </row>
    <row r="4641" customFormat="false" ht="15" hidden="false" customHeight="false" outlineLevel="0" collapsed="false">
      <c r="B4641" s="36" t="n">
        <v>45828</v>
      </c>
      <c r="C4641" s="37" t="n">
        <v>5.4951</v>
      </c>
    </row>
    <row r="4642" customFormat="false" ht="15" hidden="false" customHeight="false" outlineLevel="0" collapsed="false">
      <c r="B4642" s="36" t="n">
        <v>45831</v>
      </c>
      <c r="C4642" s="37" t="n">
        <v>5.5207</v>
      </c>
    </row>
    <row r="4643" customFormat="false" ht="15" hidden="false" customHeight="false" outlineLevel="0" collapsed="false">
      <c r="B4643" s="36" t="n">
        <v>45832</v>
      </c>
      <c r="C4643" s="37" t="n">
        <v>5.4932</v>
      </c>
    </row>
    <row r="4644" customFormat="false" ht="15" hidden="false" customHeight="false" outlineLevel="0" collapsed="false">
      <c r="B4644" s="36" t="n">
        <v>45833</v>
      </c>
      <c r="C4644" s="37" t="n">
        <v>5.5421</v>
      </c>
    </row>
    <row r="4645" customFormat="false" ht="15" hidden="false" customHeight="false" outlineLevel="0" collapsed="false">
      <c r="B4645" s="36" t="n">
        <v>45834</v>
      </c>
      <c r="C4645" s="37" t="n">
        <v>5.5139</v>
      </c>
    </row>
    <row r="4646" customFormat="false" ht="15" hidden="false" customHeight="false" outlineLevel="0" collapsed="false">
      <c r="B4646" s="36" t="n">
        <v>45835</v>
      </c>
      <c r="C4646" s="37" t="n">
        <v>5.4753</v>
      </c>
    </row>
    <row r="4647" customFormat="false" ht="15" hidden="false" customHeight="false" outlineLevel="0" collapsed="false">
      <c r="B4647" s="36" t="n">
        <v>45838</v>
      </c>
      <c r="C4647" s="37" t="n">
        <v>5.4565</v>
      </c>
    </row>
    <row r="4648" customFormat="false" ht="15" hidden="false" customHeight="false" outlineLevel="0" collapsed="false">
      <c r="B4648" s="36" t="n">
        <v>45839</v>
      </c>
      <c r="C4648" s="37" t="n">
        <v>5.4505</v>
      </c>
    </row>
    <row r="4649" customFormat="false" ht="15" hidden="false" customHeight="false" outlineLevel="0" collapsed="false">
      <c r="B4649" s="36" t="n">
        <v>45840</v>
      </c>
      <c r="C4649" s="37" t="n">
        <v>5.4506</v>
      </c>
    </row>
    <row r="4650" customFormat="false" ht="15" hidden="false" customHeight="false" outlineLevel="0" collapsed="false">
      <c r="B4650" s="36" t="n">
        <v>45841</v>
      </c>
      <c r="C4650" s="37" t="n">
        <v>5.4202</v>
      </c>
    </row>
    <row r="4651" customFormat="false" ht="15" hidden="false" customHeight="false" outlineLevel="0" collapsed="false">
      <c r="B4651" s="36" t="n">
        <v>45842</v>
      </c>
      <c r="C4651" s="37" t="n">
        <v>5.4084</v>
      </c>
    </row>
    <row r="4652" customFormat="false" ht="15" hidden="false" customHeight="false" outlineLevel="0" collapsed="false">
      <c r="B4652" s="36" t="n">
        <v>45845</v>
      </c>
      <c r="C4652" s="37" t="n">
        <v>5.4546</v>
      </c>
    </row>
    <row r="4653" customFormat="false" ht="15" hidden="false" customHeight="false" outlineLevel="0" collapsed="false">
      <c r="B4653" s="36" t="n">
        <v>45846</v>
      </c>
      <c r="C4653" s="37" t="n">
        <v>5.4565</v>
      </c>
    </row>
    <row r="4654" customFormat="false" ht="15" hidden="false" customHeight="false" outlineLevel="0" collapsed="false">
      <c r="B4654" s="36" t="n">
        <v>45847</v>
      </c>
      <c r="C4654" s="37" t="n">
        <v>5.462</v>
      </c>
    </row>
    <row r="4655" customFormat="false" ht="15" hidden="false" customHeight="false" outlineLevel="0" collapsed="false">
      <c r="B4655" s="36" t="n">
        <v>45848</v>
      </c>
      <c r="C4655" s="37" t="n">
        <v>5.5427</v>
      </c>
    </row>
    <row r="4656" customFormat="false" ht="15" hidden="false" customHeight="false" outlineLevel="0" collapsed="false">
      <c r="B4656" s="36" t="n">
        <v>45849</v>
      </c>
      <c r="C4656" s="37" t="n">
        <v>5.5716</v>
      </c>
    </row>
    <row r="4657" customFormat="false" ht="15" hidden="false" customHeight="false" outlineLevel="0" collapsed="false">
      <c r="B4657" s="36" t="n">
        <v>45852</v>
      </c>
      <c r="C4657" s="37" t="n">
        <v>5.5589</v>
      </c>
    </row>
    <row r="4658" customFormat="false" ht="15" hidden="false" customHeight="false" outlineLevel="0" collapsed="false">
      <c r="B4658" s="36" t="n">
        <v>45853</v>
      </c>
      <c r="C4658" s="37" t="n">
        <v>5.5569</v>
      </c>
    </row>
    <row r="4659" customFormat="false" ht="15" hidden="false" customHeight="false" outlineLevel="0" collapsed="false">
      <c r="B4659" s="36" t="n">
        <v>45854</v>
      </c>
      <c r="C4659" s="37" t="n">
        <v>5.5716</v>
      </c>
    </row>
    <row r="4660" customFormat="false" ht="15" hidden="false" customHeight="false" outlineLevel="0" collapsed="false">
      <c r="B4660" s="36" t="n">
        <v>45855</v>
      </c>
      <c r="C4660" s="37" t="n">
        <v>5.5731</v>
      </c>
    </row>
    <row r="4661" customFormat="false" ht="15" hidden="false" customHeight="false" outlineLevel="0" collapsed="false">
      <c r="B4661" s="36" t="n">
        <v>45856</v>
      </c>
      <c r="C4661" s="37" t="n">
        <v>5.546</v>
      </c>
    </row>
    <row r="4662" customFormat="false" ht="15" hidden="false" customHeight="false" outlineLevel="0" collapsed="false">
      <c r="B4662" s="36" t="n">
        <v>45859</v>
      </c>
      <c r="C4662" s="37" t="n">
        <v>5.5619</v>
      </c>
    </row>
    <row r="4663" customFormat="false" ht="15" hidden="false" customHeight="false" outlineLevel="0" collapsed="false">
      <c r="B4663" s="36" t="n">
        <v>45860</v>
      </c>
      <c r="C4663" s="37" t="n">
        <v>5.5703</v>
      </c>
    </row>
    <row r="4664" customFormat="false" ht="15" hidden="false" customHeight="false" outlineLevel="0" collapsed="false">
      <c r="B4664" s="36" t="n">
        <v>45861</v>
      </c>
      <c r="C4664" s="37" t="n">
        <v>5.5531</v>
      </c>
    </row>
    <row r="4665" customFormat="false" ht="15" hidden="false" customHeight="false" outlineLevel="0" collapsed="false">
      <c r="B4665" s="36" t="n">
        <v>45862</v>
      </c>
      <c r="C4665" s="37" t="n">
        <v>5.5233</v>
      </c>
    </row>
    <row r="4666" customFormat="false" ht="15" hidden="false" customHeight="false" outlineLevel="0" collapsed="false">
      <c r="B4666" s="36" t="n">
        <v>45863</v>
      </c>
      <c r="C4666" s="37" t="n">
        <v>5.542</v>
      </c>
    </row>
    <row r="4667" customFormat="false" ht="15" hidden="false" customHeight="false" outlineLevel="0" collapsed="false">
      <c r="B4667" s="36" t="n">
        <v>45866</v>
      </c>
      <c r="C4667" s="37" t="n">
        <v>5.5871</v>
      </c>
    </row>
    <row r="4668" customFormat="false" ht="15" hidden="false" customHeight="false" outlineLevel="0" collapsed="false">
      <c r="B4668" s="36" t="n">
        <v>45867</v>
      </c>
      <c r="C4668" s="37" t="n">
        <v>5.5758</v>
      </c>
    </row>
    <row r="4669" customFormat="false" ht="15" hidden="false" customHeight="false" outlineLevel="0" collapsed="false">
      <c r="B4669" s="36" t="n">
        <v>45868</v>
      </c>
      <c r="C4669" s="37" t="n">
        <v>5.6028</v>
      </c>
    </row>
    <row r="4670" customFormat="false" ht="15" hidden="false" customHeight="false" outlineLevel="0" collapsed="false">
      <c r="B4670" s="36" t="n">
        <v>45869</v>
      </c>
      <c r="C4670" s="37" t="n">
        <v>5.6015</v>
      </c>
    </row>
    <row r="4671" customFormat="false" ht="15" hidden="false" customHeight="false" outlineLevel="0" collapsed="false">
      <c r="B4671" s="36" t="n">
        <v>45870</v>
      </c>
      <c r="C4671" s="37" t="n">
        <v>5.543</v>
      </c>
    </row>
    <row r="4672" customFormat="false" ht="15" hidden="false" customHeight="false" outlineLevel="0" collapsed="false">
      <c r="B4672" s="36" t="n">
        <v>45873</v>
      </c>
      <c r="C4672" s="37" t="n">
        <v>5.5107</v>
      </c>
    </row>
    <row r="4673" customFormat="false" ht="15" hidden="false" customHeight="false" outlineLevel="0" collapsed="false">
      <c r="B4673" s="36" t="n">
        <v>45874</v>
      </c>
      <c r="C4673" s="37" t="n">
        <v>5.5113</v>
      </c>
    </row>
    <row r="4674" customFormat="false" ht="15" hidden="false" customHeight="false" outlineLevel="0" collapsed="false">
      <c r="B4674" s="36" t="n">
        <v>45875</v>
      </c>
      <c r="C4674" s="37" t="n">
        <v>5.4796</v>
      </c>
    </row>
    <row r="4675" customFormat="false" ht="15" hidden="false" customHeight="false" outlineLevel="0" collapsed="false">
      <c r="B4675" s="36" t="n">
        <v>45876</v>
      </c>
      <c r="C4675" s="37" t="n">
        <v>5.4632</v>
      </c>
    </row>
    <row r="4676" customFormat="false" ht="15" hidden="false" customHeight="false" outlineLevel="0" collapsed="false">
      <c r="B4676" s="36" t="n">
        <v>45877</v>
      </c>
      <c r="C4676" s="37" t="n">
        <v>5.4248</v>
      </c>
    </row>
    <row r="4677" customFormat="false" ht="15" hidden="false" customHeight="false" outlineLevel="0" collapsed="false">
      <c r="B4677" s="36" t="n">
        <v>45880</v>
      </c>
      <c r="C4677" s="37" t="n">
        <v>5.4467</v>
      </c>
    </row>
    <row r="4678" customFormat="false" ht="15" hidden="false" customHeight="false" outlineLevel="0" collapsed="false">
      <c r="B4678" s="36" t="n">
        <v>45881</v>
      </c>
      <c r="C4678" s="37" t="n">
        <v>5.4046</v>
      </c>
    </row>
    <row r="4679" customFormat="false" ht="15" hidden="false" customHeight="false" outlineLevel="0" collapsed="false">
      <c r="B4679" s="36" t="n">
        <v>45882</v>
      </c>
      <c r="C4679" s="37" t="n">
        <v>5.3922</v>
      </c>
    </row>
    <row r="4680" customFormat="false" ht="15" hidden="false" customHeight="false" outlineLevel="0" collapsed="false">
      <c r="B4680" s="36" t="n">
        <v>45883</v>
      </c>
      <c r="C4680" s="37" t="n">
        <v>5.4089</v>
      </c>
    </row>
    <row r="4681" customFormat="false" ht="15" hidden="false" customHeight="false" outlineLevel="0" collapsed="false">
      <c r="B4681" s="36" t="n">
        <v>45884</v>
      </c>
      <c r="C4681" s="37" t="n">
        <v>5.3922</v>
      </c>
    </row>
    <row r="4682" customFormat="false" ht="15" hidden="false" customHeight="false" outlineLevel="0" collapsed="false">
      <c r="B4682" s="36" t="n">
        <v>45887</v>
      </c>
      <c r="C4682" s="37" t="n">
        <v>5.4149</v>
      </c>
    </row>
    <row r="4683" customFormat="false" ht="15" hidden="false" customHeight="false" outlineLevel="0" collapsed="false">
      <c r="B4683" s="36" t="n">
        <v>45888</v>
      </c>
      <c r="C4683" s="37" t="n">
        <v>5.471</v>
      </c>
    </row>
    <row r="4684" customFormat="false" ht="15" hidden="false" customHeight="false" outlineLevel="0" collapsed="false">
      <c r="B4684" s="36" t="n">
        <v>45889</v>
      </c>
      <c r="C4684" s="37" t="n">
        <v>5.472</v>
      </c>
    </row>
    <row r="4685" customFormat="false" ht="15" hidden="false" customHeight="false" outlineLevel="0" collapsed="false">
      <c r="B4685" s="36" t="n">
        <v>45890</v>
      </c>
      <c r="C4685" s="37" t="n">
        <v>5.4822</v>
      </c>
    </row>
    <row r="4686" customFormat="false" ht="15" hidden="false" customHeight="false" outlineLevel="0" collapsed="false">
      <c r="B4686" s="36" t="n">
        <v>45891</v>
      </c>
      <c r="C4686" s="37" t="n">
        <v>5.4386</v>
      </c>
    </row>
    <row r="4687" customFormat="false" ht="15" hidden="false" customHeight="false" outlineLevel="0" collapsed="false">
      <c r="B4687" s="36" t="n">
        <v>45894</v>
      </c>
      <c r="C4687" s="37" t="n">
        <v>5.4168</v>
      </c>
    </row>
    <row r="4688" customFormat="false" ht="15" hidden="false" customHeight="false" outlineLevel="0" collapsed="false">
      <c r="B4688" s="36" t="n">
        <v>45895</v>
      </c>
      <c r="C4688" s="37" t="n">
        <v>5.4212</v>
      </c>
    </row>
    <row r="4689" customFormat="false" ht="15" hidden="false" customHeight="false" outlineLevel="0" collapsed="false">
      <c r="B4689" s="36" t="n">
        <v>45896</v>
      </c>
      <c r="C4689" s="37" t="n">
        <v>5.4422</v>
      </c>
    </row>
    <row r="4690" customFormat="false" ht="15" hidden="false" customHeight="false" outlineLevel="0" collapsed="false">
      <c r="B4690" s="36" t="n">
        <v>45897</v>
      </c>
      <c r="C4690" s="37" t="n">
        <v>5.4109</v>
      </c>
    </row>
    <row r="4691" customFormat="false" ht="15" hidden="false" customHeight="false" outlineLevel="0" collapsed="false">
      <c r="B4691" s="36" t="n">
        <v>45898</v>
      </c>
      <c r="C4691" s="37" t="n">
        <v>5.4258</v>
      </c>
    </row>
    <row r="4692" customFormat="false" ht="15" hidden="false" customHeight="false" outlineLevel="0" collapsed="false">
      <c r="B4692" s="36" t="n">
        <v>45901</v>
      </c>
      <c r="C4692" s="37" t="n">
        <v>5.4372</v>
      </c>
    </row>
    <row r="4693" customFormat="false" ht="15" hidden="false" customHeight="false" outlineLevel="0" collapsed="false">
      <c r="B4693" s="36" t="n">
        <v>45902</v>
      </c>
      <c r="C4693" s="37" t="n">
        <v>5.4674</v>
      </c>
    </row>
    <row r="4694" customFormat="false" ht="15" hidden="false" customHeight="false" outlineLevel="0" collapsed="false">
      <c r="B4694" s="36" t="n">
        <v>45903</v>
      </c>
      <c r="C4694" s="37" t="n">
        <v>5.4479</v>
      </c>
    </row>
    <row r="4695" customFormat="false" ht="15" hidden="false" customHeight="false" outlineLevel="0" collapsed="false">
      <c r="B4695" s="36" t="n">
        <v>45904</v>
      </c>
      <c r="C4695" s="37" t="n">
        <v>5.4581</v>
      </c>
    </row>
    <row r="4696" customFormat="false" ht="15" hidden="false" customHeight="false" outlineLevel="0" collapsed="false">
      <c r="B4696" s="36" t="n">
        <v>45905</v>
      </c>
      <c r="C4696" s="37" t="n">
        <v>5.3962</v>
      </c>
    </row>
    <row r="4697" customFormat="false" ht="15" hidden="false" customHeight="false" outlineLevel="0" collapsed="false">
      <c r="B4697" s="36" t="n">
        <v>45908</v>
      </c>
      <c r="C4697" s="37" t="n">
        <v>5.4272</v>
      </c>
    </row>
    <row r="4698" customFormat="false" ht="15" hidden="false" customHeight="false" outlineLevel="0" collapsed="false">
      <c r="B4698" s="36" t="n">
        <v>45909</v>
      </c>
      <c r="C4698" s="37" t="n">
        <v>5.4272</v>
      </c>
    </row>
    <row r="4699" customFormat="false" ht="15" hidden="false" customHeight="false" outlineLevel="0" collapsed="false">
      <c r="B4699" s="36" t="n">
        <v>45910</v>
      </c>
      <c r="C4699" s="37" t="n">
        <v>5.4117</v>
      </c>
    </row>
    <row r="4700" customFormat="false" ht="15" hidden="false" customHeight="false" outlineLevel="0" collapsed="false">
      <c r="B4700" s="36" t="n">
        <v>45911</v>
      </c>
      <c r="C4700" s="37" t="n">
        <v>5.3852</v>
      </c>
    </row>
    <row r="4701" customFormat="false" ht="15" hidden="false" customHeight="false" outlineLevel="0" collapsed="false">
      <c r="B4701" s="36" t="n">
        <v>45912</v>
      </c>
      <c r="C4701" s="37" t="n">
        <v>5.3671</v>
      </c>
    </row>
    <row r="4702" customFormat="false" ht="15" hidden="false" customHeight="false" outlineLevel="0" collapsed="false">
      <c r="B4702" s="36" t="n">
        <v>45915</v>
      </c>
      <c r="C4702" s="37" t="n">
        <v>5.3202</v>
      </c>
    </row>
    <row r="4703" customFormat="false" ht="15" hidden="false" customHeight="false" outlineLevel="0" collapsed="false">
      <c r="B4703" s="36" t="n">
        <v>45916</v>
      </c>
      <c r="C4703" s="37" t="n">
        <v>5.309</v>
      </c>
    </row>
    <row r="4704" customFormat="false" ht="15" hidden="false" customHeight="false" outlineLevel="0" collapsed="false">
      <c r="B4704" s="36" t="n">
        <v>45917</v>
      </c>
      <c r="C4704" s="37" t="n">
        <v>5.3005</v>
      </c>
    </row>
    <row r="4705" customFormat="false" ht="15" hidden="false" customHeight="false" outlineLevel="0" collapsed="false">
      <c r="B4705" s="36" t="n">
        <v>45918</v>
      </c>
      <c r="C4705" s="37" t="n">
        <v>5.3004</v>
      </c>
    </row>
    <row r="4706" customFormat="false" ht="15" hidden="false" customHeight="false" outlineLevel="0" collapsed="false">
      <c r="B4706" s="36" t="n">
        <v>45919</v>
      </c>
      <c r="C4706" s="37" t="n">
        <v>5.327</v>
      </c>
    </row>
    <row r="4707" customFormat="false" ht="15" hidden="false" customHeight="false" outlineLevel="0" collapsed="false">
      <c r="B4707" s="36" t="n">
        <v>45922</v>
      </c>
      <c r="C4707" s="37" t="n">
        <v>5.3451</v>
      </c>
    </row>
    <row r="4708" customFormat="false" ht="15" hidden="false" customHeight="false" outlineLevel="0" collapsed="false">
      <c r="B4708" s="36" t="n">
        <v>45923</v>
      </c>
      <c r="C4708" s="37" t="n">
        <v>5.3057</v>
      </c>
    </row>
    <row r="4709" customFormat="false" ht="15" hidden="false" customHeight="false" outlineLevel="0" collapsed="false">
      <c r="B4709" s="36" t="n">
        <v>45924</v>
      </c>
      <c r="C4709" s="37" t="n">
        <v>5.3106</v>
      </c>
    </row>
    <row r="4710" customFormat="false" ht="15" hidden="false" customHeight="false" outlineLevel="0" collapsed="false">
      <c r="B4710" s="36" t="n">
        <v>45925</v>
      </c>
      <c r="C4710" s="37" t="n">
        <v>5.3419</v>
      </c>
    </row>
    <row r="4711" customFormat="false" ht="15" hidden="false" customHeight="false" outlineLevel="0" collapsed="false">
      <c r="B4711" s="36" t="n">
        <v>45926</v>
      </c>
      <c r="C4711" s="37" t="n">
        <v>5.3439</v>
      </c>
    </row>
    <row r="4712" customFormat="false" ht="15" hidden="false" customHeight="false" outlineLevel="0" collapsed="false">
      <c r="B4712" s="36" t="n">
        <v>45929</v>
      </c>
      <c r="C4712" s="37" t="n">
        <v>5.3223</v>
      </c>
    </row>
    <row r="4713" customFormat="false" ht="15" hidden="false" customHeight="false" outlineLevel="0" collapsed="false">
      <c r="B4713" s="36" t="n">
        <v>45930</v>
      </c>
      <c r="C4713" s="37" t="n">
        <v>5.318</v>
      </c>
    </row>
    <row r="4714" customFormat="false" ht="15" hidden="false" customHeight="false" outlineLevel="0" collapsed="false">
      <c r="B4714" s="36" t="n">
        <v>45931</v>
      </c>
      <c r="C4714" s="37" t="n">
        <v>5.3202</v>
      </c>
    </row>
    <row r="4715" customFormat="false" ht="15" hidden="false" customHeight="false" outlineLevel="0" collapsed="false">
      <c r="B4715" s="36" t="n">
        <v>45932</v>
      </c>
      <c r="C4715" s="37" t="n">
        <v>5.3443</v>
      </c>
    </row>
    <row r="4716" customFormat="false" ht="15" hidden="false" customHeight="false" outlineLevel="0" collapsed="false">
      <c r="B4716" s="36" t="n">
        <v>45933</v>
      </c>
      <c r="C4716" s="37" t="n">
        <v>5.3492</v>
      </c>
    </row>
    <row r="4717" customFormat="false" ht="15" hidden="false" customHeight="false" outlineLevel="0" collapsed="false">
      <c r="B4717" s="36" t="n">
        <v>45936</v>
      </c>
      <c r="C4717" s="37" t="n">
        <v>5.322</v>
      </c>
    </row>
    <row r="4718" customFormat="false" ht="15" hidden="false" customHeight="false" outlineLevel="0" collapsed="false">
      <c r="B4718" s="36" t="n">
        <v>45937</v>
      </c>
      <c r="C4718" s="37" t="n">
        <v>5.3357</v>
      </c>
    </row>
    <row r="4719" customFormat="false" ht="15" hidden="false" customHeight="false" outlineLevel="0" collapsed="false">
      <c r="B4719" s="36" t="n">
        <v>45938</v>
      </c>
      <c r="C4719" s="37" t="n">
        <v>5.3421</v>
      </c>
    </row>
    <row r="4720" customFormat="false" ht="15" hidden="false" customHeight="false" outlineLevel="0" collapsed="false">
      <c r="B4720" s="36" t="n">
        <v>45939</v>
      </c>
      <c r="C4720" s="37" t="n">
        <v>5.3532</v>
      </c>
    </row>
    <row r="4721" customFormat="false" ht="15" hidden="false" customHeight="false" outlineLevel="0" collapsed="false">
      <c r="B4721" s="36" t="n">
        <v>45940</v>
      </c>
      <c r="C4721" s="37" t="n">
        <v>5.444</v>
      </c>
    </row>
    <row r="4722" customFormat="false" ht="15" hidden="false" customHeight="false" outlineLevel="0" collapsed="false">
      <c r="B4722" s="36" t="n">
        <v>45943</v>
      </c>
      <c r="C4722" s="37" t="n">
        <v>5.4623</v>
      </c>
    </row>
    <row r="4723" customFormat="false" ht="15" hidden="false" customHeight="false" outlineLevel="0" collapsed="false">
      <c r="B4723" s="36" t="n">
        <v>45944</v>
      </c>
      <c r="C4723" s="37" t="n">
        <v>5.4976</v>
      </c>
    </row>
    <row r="4724" customFormat="false" ht="15" hidden="false" customHeight="false" outlineLevel="0" collapsed="false">
      <c r="B4724" s="36" t="n">
        <v>45945</v>
      </c>
      <c r="C4724" s="37" t="n">
        <v>5.4458</v>
      </c>
    </row>
    <row r="4725" customFormat="false" ht="15" hidden="false" customHeight="false" outlineLevel="0" collapsed="false">
      <c r="B4725" s="36" t="n">
        <v>45946</v>
      </c>
      <c r="C4725" s="37" t="n">
        <v>5.4348</v>
      </c>
    </row>
    <row r="4726" customFormat="false" ht="15" hidden="false" customHeight="false" outlineLevel="0" collapsed="false">
      <c r="B4726" s="36" t="n">
        <v>45947</v>
      </c>
      <c r="C4726" s="37" t="n">
        <v>5.4384</v>
      </c>
    </row>
    <row r="4727" customFormat="false" ht="15" hidden="false" customHeight="false" outlineLevel="0" collapsed="false">
      <c r="B4727" s="36" t="n">
        <v>45950</v>
      </c>
      <c r="C4727" s="37" t="n">
        <v>5.3765</v>
      </c>
    </row>
    <row r="4728" customFormat="false" ht="15" hidden="false" customHeight="false" outlineLevel="0" collapsed="false">
      <c r="B4728" s="36" t="n">
        <v>45951</v>
      </c>
      <c r="C4728" s="37" t="n">
        <v>5.3842</v>
      </c>
    </row>
    <row r="4729" customFormat="false" ht="15" hidden="false" customHeight="false" outlineLevel="0" collapsed="false">
      <c r="B4729" s="36" t="n">
        <v>45952</v>
      </c>
      <c r="C4729" s="37" t="n">
        <v>5.3892</v>
      </c>
    </row>
    <row r="4730" customFormat="false" ht="15" hidden="false" customHeight="false" outlineLevel="0" collapsed="false">
      <c r="B4730" s="36" t="n">
        <v>45953</v>
      </c>
      <c r="C4730" s="37" t="n">
        <v>5.3834</v>
      </c>
    </row>
    <row r="4731" customFormat="false" ht="15" hidden="false" customHeight="false" outlineLevel="0" collapsed="false">
      <c r="B4731" s="36" t="n">
        <v>45954</v>
      </c>
      <c r="C4731" s="37" t="n">
        <v>5.3791</v>
      </c>
    </row>
    <row r="4732" customFormat="false" ht="15" hidden="false" customHeight="false" outlineLevel="0" collapsed="false">
      <c r="B4732" s="36" t="n">
        <v>45957</v>
      </c>
      <c r="C4732" s="37" t="n">
        <v>5.3738</v>
      </c>
    </row>
    <row r="4733" customFormat="false" ht="15" hidden="false" customHeight="false" outlineLevel="0" collapsed="false">
      <c r="B4733" s="36" t="n">
        <v>45958</v>
      </c>
      <c r="C4733" s="37" t="n">
        <v>5.3684</v>
      </c>
    </row>
    <row r="4734" customFormat="false" ht="15" hidden="false" customHeight="false" outlineLevel="0" collapsed="false">
      <c r="B4734" s="36" t="n">
        <v>45959</v>
      </c>
      <c r="C4734" s="37" t="n">
        <v>5.341</v>
      </c>
    </row>
    <row r="4735" customFormat="false" ht="15" hidden="false" customHeight="false" outlineLevel="0" collapsed="false">
      <c r="B4735" s="36" t="n">
        <v>45960</v>
      </c>
      <c r="C4735" s="37" t="n">
        <v>5.3844</v>
      </c>
    </row>
    <row r="4736" customFormat="false" ht="15" hidden="false" customHeight="false" outlineLevel="0" collapsed="false">
      <c r="B4736" s="36" t="n">
        <v>45961</v>
      </c>
      <c r="C4736" s="37" t="n">
        <v>5.3837</v>
      </c>
    </row>
    <row r="4737" customFormat="false" ht="15" hidden="false" customHeight="false" outlineLevel="0" collapsed="false">
      <c r="B4737" s="36" t="n">
        <v>45964</v>
      </c>
      <c r="C4737" s="37" t="n">
        <v>5.3499</v>
      </c>
    </row>
    <row r="4738" customFormat="false" ht="15" hidden="false" customHeight="false" outlineLevel="0" collapsed="false">
      <c r="B4738" s="36" t="n">
        <v>45965</v>
      </c>
      <c r="C4738" s="37" t="n">
        <v>5.384</v>
      </c>
    </row>
    <row r="4739" customFormat="false" ht="15" hidden="false" customHeight="false" outlineLevel="0" collapsed="false">
      <c r="B4739" s="36" t="n">
        <v>45966</v>
      </c>
      <c r="C4739" s="37" t="n">
        <v>5.3792</v>
      </c>
    </row>
    <row r="4740" customFormat="false" ht="15" hidden="false" customHeight="false" outlineLevel="0" collapsed="false">
      <c r="B4740" s="36" t="n">
        <v>45967</v>
      </c>
      <c r="C4740" s="37" t="n">
        <v>5.3445</v>
      </c>
    </row>
    <row r="4741" customFormat="false" ht="15" hidden="false" customHeight="false" outlineLevel="0" collapsed="false">
      <c r="B4741" s="36" t="n">
        <v>45968</v>
      </c>
      <c r="C4741" s="37" t="n">
        <v>5.3561</v>
      </c>
    </row>
    <row r="4742" customFormat="false" ht="15" hidden="false" customHeight="false" outlineLevel="0" collapsed="false">
      <c r="B4742" s="36" t="n">
        <v>45971</v>
      </c>
      <c r="C4742" s="37" t="n">
        <v>5.3175</v>
      </c>
    </row>
    <row r="4743" customFormat="false" ht="15" hidden="false" customHeight="false" outlineLevel="0" collapsed="false">
      <c r="B4743" s="36" t="n">
        <v>45972</v>
      </c>
      <c r="C4743" s="37" t="n">
        <v>5.2723</v>
      </c>
    </row>
    <row r="4744" customFormat="false" ht="15" hidden="false" customHeight="false" outlineLevel="0" collapsed="false">
      <c r="B4744" s="36" t="n">
        <v>45973</v>
      </c>
      <c r="C4744" s="37" t="n">
        <v>5.2879</v>
      </c>
    </row>
    <row r="4745" customFormat="false" ht="15" hidden="false" customHeight="false" outlineLevel="0" collapsed="false">
      <c r="B4745" s="36" t="n">
        <v>45974</v>
      </c>
      <c r="C4745" s="37" t="n">
        <v>5.2814</v>
      </c>
    </row>
    <row r="4746" customFormat="false" ht="15" hidden="false" customHeight="false" outlineLevel="0" collapsed="false">
      <c r="B4746" s="36" t="n">
        <v>45975</v>
      </c>
      <c r="C4746" s="37" t="n">
        <v>5.2946</v>
      </c>
    </row>
    <row r="4747" customFormat="false" ht="15" hidden="false" customHeight="false" outlineLevel="0" collapsed="false">
      <c r="B4747" s="36" t="n">
        <v>45978</v>
      </c>
      <c r="C4747" s="37" t="n">
        <v>5.3102</v>
      </c>
    </row>
    <row r="4748" customFormat="false" ht="15" hidden="false" customHeight="false" outlineLevel="0" collapsed="false">
      <c r="B4748" s="36" t="n">
        <v>45979</v>
      </c>
      <c r="C4748" s="37" t="n">
        <v>5.3355</v>
      </c>
    </row>
    <row r="4749" customFormat="false" ht="15" hidden="false" customHeight="false" outlineLevel="0" collapsed="false">
      <c r="B4749" s="36" t="n">
        <v>45980</v>
      </c>
      <c r="C4749" s="37" t="n">
        <v>5.334</v>
      </c>
    </row>
    <row r="4750" customFormat="false" ht="15" hidden="false" customHeight="false" outlineLevel="0" collapsed="false">
      <c r="B4750" s="36" t="n">
        <v>45982</v>
      </c>
      <c r="C4750" s="37" t="n">
        <v>5.3896</v>
      </c>
    </row>
    <row r="4751" customFormat="false" ht="15" hidden="false" customHeight="false" outlineLevel="0" collapsed="false">
      <c r="B4751" s="36" t="n">
        <v>45985</v>
      </c>
      <c r="C4751" s="37" t="n">
        <v>5.3942</v>
      </c>
    </row>
    <row r="4752" customFormat="false" ht="15" hidden="false" customHeight="false" outlineLevel="0" collapsed="false">
      <c r="B4752" s="36" t="n">
        <v>45986</v>
      </c>
      <c r="C4752" s="37" t="n">
        <v>5.3835</v>
      </c>
    </row>
    <row r="4753" customFormat="false" ht="15" hidden="false" customHeight="false" outlineLevel="0" collapsed="false">
      <c r="B4753" s="36" t="n">
        <v>45987</v>
      </c>
      <c r="C4753" s="37" t="n">
        <v>5.3688</v>
      </c>
    </row>
    <row r="4754" customFormat="false" ht="15" hidden="false" customHeight="false" outlineLevel="0" collapsed="false">
      <c r="B4754" s="36" t="n">
        <v>45988</v>
      </c>
      <c r="C4754" s="37" t="n">
        <v>5.3484</v>
      </c>
    </row>
    <row r="4755" customFormat="false" ht="15" hidden="false" customHeight="false" outlineLevel="0" collapsed="false">
      <c r="B4755" s="36" t="n">
        <v>45989</v>
      </c>
      <c r="C4755" s="37" t="n">
        <v>5.3332</v>
      </c>
    </row>
    <row r="4756" customFormat="false" ht="15" hidden="false" customHeight="false" outlineLevel="0" collapsed="false">
      <c r="B4756" s="36" t="n">
        <v>45992</v>
      </c>
      <c r="C4756" s="37" t="n">
        <v>5.3463</v>
      </c>
    </row>
    <row r="4757" customFormat="false" ht="15" hidden="false" customHeight="false" outlineLevel="0" collapsed="false">
      <c r="B4757" s="36" t="n">
        <v>45993</v>
      </c>
      <c r="C4757" s="37" t="n">
        <v>5.3459</v>
      </c>
    </row>
    <row r="4758" customFormat="false" ht="15" hidden="false" customHeight="false" outlineLevel="0" collapsed="false">
      <c r="B4758" s="36" t="n">
        <v>45994</v>
      </c>
      <c r="C4758" s="37" t="n">
        <v>5.3108</v>
      </c>
    </row>
    <row r="4759" customFormat="false" ht="15" hidden="false" customHeight="false" outlineLevel="0" collapsed="false">
      <c r="B4759" s="36" t="n">
        <v>45995</v>
      </c>
      <c r="C4759" s="37" t="n">
        <v>5.2946</v>
      </c>
    </row>
    <row r="4760" customFormat="false" ht="15" hidden="false" customHeight="false" outlineLevel="0" collapsed="false">
      <c r="B4760" s="36" t="n">
        <v>45996</v>
      </c>
      <c r="C4760" s="37" t="n">
        <v>5.3399</v>
      </c>
    </row>
    <row r="4761" customFormat="false" ht="15" hidden="false" customHeight="false" outlineLevel="0" collapsed="false">
      <c r="B4761" s="36" t="n">
        <v>45999</v>
      </c>
      <c r="C4761" s="37" t="n">
        <v>5.4243</v>
      </c>
    </row>
    <row r="4762" customFormat="false" ht="15" hidden="false" customHeight="false" outlineLevel="0" collapsed="false">
      <c r="B4762" s="36" t="n">
        <v>46000</v>
      </c>
      <c r="C4762" s="37" t="n">
        <v>5.4564</v>
      </c>
    </row>
    <row r="4763" customFormat="false" ht="15" hidden="false" customHeight="false" outlineLevel="0" collapsed="false">
      <c r="B4763" s="36" t="n">
        <v>46001</v>
      </c>
      <c r="C4763" s="37" t="n">
        <v>5.465</v>
      </c>
    </row>
    <row r="4764" customFormat="false" ht="15" hidden="false" customHeight="false" outlineLevel="0" collapsed="false">
      <c r="B4764" s="36" t="n">
        <v>46002</v>
      </c>
      <c r="C4764" s="37" t="n">
        <v>5.4231</v>
      </c>
    </row>
    <row r="4765" customFormat="false" ht="15" hidden="false" customHeight="false" outlineLevel="0" collapsed="false">
      <c r="B4765" s="36" t="n">
        <v>46003</v>
      </c>
      <c r="C4765" s="37" t="n">
        <v>5.4005</v>
      </c>
    </row>
    <row r="4766" customFormat="false" ht="15" hidden="false" customHeight="false" outlineLevel="0" collapsed="false">
      <c r="B4766" s="36" t="n">
        <v>46006</v>
      </c>
      <c r="C4766" s="37" t="n">
        <v>5.3923</v>
      </c>
    </row>
    <row r="4767" customFormat="false" ht="15" hidden="false" customHeight="false" outlineLevel="0" collapsed="false">
      <c r="B4767" s="36" t="n">
        <v>46007</v>
      </c>
      <c r="C4767" s="37" t="n">
        <v>5.4499</v>
      </c>
    </row>
    <row r="4768" customFormat="false" ht="15" hidden="false" customHeight="false" outlineLevel="0" collapsed="false">
      <c r="B4768" s="36" t="n">
        <v>46008</v>
      </c>
      <c r="C4768" s="37" t="n">
        <v>5.5087</v>
      </c>
    </row>
    <row r="4769" customFormat="false" ht="15" hidden="false" customHeight="false" outlineLevel="0" collapsed="false">
      <c r="B4769" s="36" t="n">
        <v>46009</v>
      </c>
      <c r="C4769" s="37" t="n">
        <v>5.5277</v>
      </c>
    </row>
    <row r="4770" customFormat="false" ht="15" hidden="false" customHeight="false" outlineLevel="0" collapsed="false">
      <c r="B4770" s="36" t="n">
        <v>46010</v>
      </c>
      <c r="C4770" s="37" t="n">
        <v>5.5154</v>
      </c>
    </row>
    <row r="4771" customFormat="false" ht="15" hidden="false" customHeight="false" outlineLevel="0" collapsed="false">
      <c r="B4771" s="36" t="n">
        <v>46013</v>
      </c>
      <c r="C4771" s="37" t="n">
        <v>5.5383</v>
      </c>
    </row>
    <row r="4772" customFormat="false" ht="15" hidden="false" customHeight="false" outlineLevel="0" collapsed="false">
      <c r="B4772" s="36" t="n">
        <v>46014</v>
      </c>
      <c r="C4772" s="37" t="n">
        <v>5.5637</v>
      </c>
    </row>
    <row r="4773" customFormat="false" ht="15" hidden="false" customHeight="false" outlineLevel="0" collapsed="false">
      <c r="B4773" s="36" t="n">
        <v>46015</v>
      </c>
      <c r="C4773" s="37" t="n">
        <v>5.5342</v>
      </c>
    </row>
    <row r="4774" customFormat="false" ht="15" hidden="false" customHeight="false" outlineLevel="0" collapsed="false">
      <c r="B4774" s="36" t="n">
        <v>46017</v>
      </c>
      <c r="C4774" s="37" t="n">
        <v>5.5407</v>
      </c>
    </row>
    <row r="4775" customFormat="false" ht="15" hidden="false" customHeight="false" outlineLevel="0" collapsed="false">
      <c r="B4775" s="36" t="n">
        <v>46020</v>
      </c>
      <c r="C4775" s="37" t="n">
        <v>5.5733</v>
      </c>
    </row>
    <row r="4776" customFormat="false" ht="15" hidden="false" customHeight="false" outlineLevel="0" collapsed="false">
      <c r="B4776" s="36" t="n">
        <v>46021</v>
      </c>
      <c r="C4776" s="37" t="n">
        <v>5.5018</v>
      </c>
    </row>
    <row r="4777" customFormat="false" ht="15" hidden="false" customHeight="false" outlineLevel="0" collapsed="false">
      <c r="B4777" s="36" t="n">
        <v>46022</v>
      </c>
      <c r="C4777" s="37" t="n">
        <v>5.5018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1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13" min="5" style="1" width="12.5"/>
    <col collapsed="false" customWidth="true" hidden="false" outlineLevel="0" max="14" min="14" style="1" width="13"/>
    <col collapsed="false" customWidth="true" hidden="false" outlineLevel="0" max="22" min="15" style="1" width="12.5"/>
  </cols>
  <sheetData>
    <row r="1" customFormat="false" ht="19.7" hidden="false" customHeight="false" outlineLevel="0" collapsed="false">
      <c r="A1" s="2" t="s">
        <v>89</v>
      </c>
    </row>
    <row r="2" customFormat="false" ht="15" hidden="false" customHeight="false" outlineLevel="0" collapsed="false">
      <c r="A2" s="3" t="s">
        <v>90</v>
      </c>
    </row>
    <row r="3" customFormat="false" ht="15" hidden="false" customHeight="false" outlineLevel="0" collapsed="false">
      <c r="A3" s="3" t="s">
        <v>91</v>
      </c>
    </row>
    <row r="4" customFormat="false" ht="15" hidden="false" customHeight="false" outlineLevel="0" collapsed="false">
      <c r="A4" s="3" t="s">
        <v>92</v>
      </c>
    </row>
    <row r="5" customFormat="false" ht="15" hidden="false" customHeight="false" outlineLevel="0" collapsed="false">
      <c r="A5" s="3" t="s">
        <v>93</v>
      </c>
    </row>
    <row r="6" customFormat="false" ht="15" hidden="false" customHeight="false" outlineLevel="0" collapsed="false">
      <c r="A6" s="3" t="s">
        <v>94</v>
      </c>
    </row>
    <row r="7" customFormat="false" ht="15" hidden="false" customHeight="false" outlineLevel="0" collapsed="false">
      <c r="A7" s="3" t="s">
        <v>95</v>
      </c>
    </row>
    <row r="10" customFormat="false" ht="15" hidden="false" customHeight="false" outlineLevel="0" collapsed="false">
      <c r="A10" s="38" t="s">
        <v>96</v>
      </c>
      <c r="B10" s="39"/>
      <c r="C10" s="39"/>
      <c r="D10" s="39"/>
      <c r="E10" s="38" t="s">
        <v>97</v>
      </c>
      <c r="F10" s="39"/>
      <c r="G10" s="39"/>
      <c r="H10" s="39"/>
      <c r="I10" s="39"/>
      <c r="J10" s="39"/>
      <c r="K10" s="39"/>
      <c r="L10" s="39"/>
      <c r="M10" s="39"/>
      <c r="N10" s="39"/>
      <c r="O10" s="38" t="s">
        <v>98</v>
      </c>
      <c r="P10" s="39"/>
      <c r="Q10" s="39"/>
      <c r="R10" s="39"/>
      <c r="S10" s="39"/>
      <c r="T10" s="39"/>
      <c r="U10" s="39"/>
      <c r="V10" s="39"/>
    </row>
    <row r="11" customFormat="false" ht="31.5" hidden="false" customHeight="true" outlineLevel="0" collapsed="false">
      <c r="A11" s="12" t="s">
        <v>12</v>
      </c>
      <c r="B11" s="12" t="s">
        <v>99</v>
      </c>
      <c r="C11" s="12" t="s">
        <v>100</v>
      </c>
      <c r="D11" s="12"/>
      <c r="E11" s="6" t="n">
        <v>2009</v>
      </c>
      <c r="F11" s="7" t="n">
        <f aca="false">E11+1</f>
        <v>2010</v>
      </c>
      <c r="G11" s="7" t="n">
        <f aca="false">F11+1</f>
        <v>2011</v>
      </c>
      <c r="H11" s="7" t="n">
        <f aca="false">G11+1</f>
        <v>2012</v>
      </c>
      <c r="I11" s="7" t="n">
        <f aca="false">H11+1</f>
        <v>2013</v>
      </c>
      <c r="J11" s="7" t="n">
        <f aca="false">I11+1</f>
        <v>2014</v>
      </c>
      <c r="K11" s="7" t="n">
        <f aca="false">J11+1</f>
        <v>2015</v>
      </c>
      <c r="L11" s="7" t="s">
        <v>101</v>
      </c>
      <c r="M11" s="7" t="s">
        <v>102</v>
      </c>
      <c r="O11" s="7" t="n">
        <f aca="false">E11-1</f>
        <v>2008</v>
      </c>
      <c r="P11" s="7" t="n">
        <f aca="false">O11+1</f>
        <v>2009</v>
      </c>
      <c r="Q11" s="7" t="n">
        <f aca="false">P11+1</f>
        <v>2010</v>
      </c>
      <c r="R11" s="7" t="n">
        <f aca="false">Q11+1</f>
        <v>2011</v>
      </c>
      <c r="S11" s="7" t="n">
        <f aca="false">R11+1</f>
        <v>2012</v>
      </c>
      <c r="T11" s="7" t="n">
        <f aca="false">S11+1</f>
        <v>2013</v>
      </c>
      <c r="U11" s="7" t="n">
        <f aca="false">T11+1</f>
        <v>2014</v>
      </c>
      <c r="V11" s="7" t="n">
        <f aca="false">U11+1</f>
        <v>2015</v>
      </c>
    </row>
    <row r="12" customFormat="false" ht="15" hidden="false" customHeight="false" outlineLevel="0" collapsed="false">
      <c r="A12" s="4" t="s">
        <v>103</v>
      </c>
      <c r="B12" s="8" t="n">
        <f aca="false">COUNT(E12:K12)</f>
        <v>7</v>
      </c>
      <c r="C12" s="40" t="n">
        <f aca="false">K16</f>
        <v>3401.84</v>
      </c>
      <c r="D12" s="41" t="s">
        <v>104</v>
      </c>
      <c r="E12" s="13" t="n">
        <f aca="false">IF(E14="","",E14+E13)</f>
        <v>0.323725093093284</v>
      </c>
      <c r="F12" s="13" t="n">
        <f aca="false">IF(F14="","",F14+F13)</f>
        <v>0.0247813370815453</v>
      </c>
      <c r="G12" s="13" t="n">
        <f aca="false">IF(G14="","",G14+G13)</f>
        <v>0.213207518006317</v>
      </c>
      <c r="H12" s="13" t="n">
        <f aca="false">IF(H14="","",H14+H13)</f>
        <v>0.177230937860776</v>
      </c>
      <c r="I12" s="13" t="n">
        <f aca="false">IF(I14="","",I14+I13)</f>
        <v>0.183781290207623</v>
      </c>
      <c r="J12" s="13" t="n">
        <f aca="false">IF(J14="","",J14+J13)</f>
        <v>0.217738772966181</v>
      </c>
      <c r="K12" s="13" t="n">
        <f aca="false">IF(K14="","",K14+K13)</f>
        <v>0.0915179531266537</v>
      </c>
      <c r="L12" s="13" t="n">
        <f aca="false">V12/O12-1</f>
        <v>2.04847233548067</v>
      </c>
      <c r="M12" s="13" t="n">
        <f aca="false">IF($B12=0,"",(V12/O12)^(1/$B12)-1)</f>
        <v>0.172612739981499</v>
      </c>
      <c r="O12" s="42" t="n">
        <v>100</v>
      </c>
      <c r="P12" s="40" t="n">
        <f aca="false">IF(E12="",O12,O12*(1+E12))</f>
        <v>132.372509309328</v>
      </c>
      <c r="Q12" s="40" t="n">
        <f aca="false">IF(F12="",P12,P12*(1+F12))</f>
        <v>135.652877082853</v>
      </c>
      <c r="R12" s="40" t="n">
        <f aca="false">IF(G12="",Q12,Q12*(1+G12))</f>
        <v>164.575090316104</v>
      </c>
      <c r="S12" s="40" t="n">
        <f aca="false">IF(H12="",R12,R12*(1+H12))</f>
        <v>193.742887921349</v>
      </c>
      <c r="T12" s="40" t="n">
        <f aca="false">IF(I12="",S12,S12*(1+I12))</f>
        <v>229.349205832086</v>
      </c>
      <c r="U12" s="40" t="n">
        <f aca="false">IF(J12="",T12,T12*(1+J12))</f>
        <v>279.287420490732</v>
      </c>
      <c r="V12" s="40" t="n">
        <f aca="false">IF(K12="",U12,U12*(1+K12))</f>
        <v>304.847233548067</v>
      </c>
    </row>
    <row r="13" customFormat="false" ht="15" hidden="false" customHeight="false" outlineLevel="0" collapsed="false">
      <c r="D13" s="41" t="s">
        <v>105</v>
      </c>
      <c r="E13" s="13" t="n">
        <f aca="false">IF(SUMIFS($J$120:$J$239,$B$120:$B$239,E$11)=0,"",SUMIFS($K$120:$K$239,$B$120:$B$239,E$11)/SUMIFS($J$120:$J$239,$B$120:$B$239,E$11))</f>
        <v>0.300784199291331</v>
      </c>
      <c r="F13" s="13" t="n">
        <f aca="false">IF(SUMIFS($J$120:$J$239,$B$120:$B$239,F$11)=0,"",SUMIFS($K$120:$K$239,$B$120:$B$239,F$11)/SUMIFS($J$120:$J$239,$B$120:$B$239,F$11))</f>
        <v>0.00354060715282795</v>
      </c>
      <c r="G13" s="13" t="n">
        <f aca="false">IF(SUMIFS($J$120:$J$239,$B$120:$B$239,G$11)=0,"",SUMIFS($K$120:$K$239,$B$120:$B$239,G$11)/SUMIFS($J$120:$J$239,$B$120:$B$239,G$11))</f>
        <v>0.193492575337663</v>
      </c>
      <c r="H13" s="13" t="n">
        <f aca="false">IF(SUMIFS($J$120:$J$239,$B$120:$B$239,H$11)=0,"",SUMIFS($K$120:$K$239,$B$120:$B$239,H$11)/SUMIFS($J$120:$J$239,$B$120:$B$239,H$11))</f>
        <v>0.146737989925869</v>
      </c>
      <c r="I13" s="13" t="n">
        <f aca="false">IF(SUMIFS($J$120:$J$239,$B$120:$B$239,I$11)=0,"",SUMIFS($K$120:$K$239,$B$120:$B$239,I$11)/SUMIFS($J$120:$J$239,$B$120:$B$239,I$11))</f>
        <v>0.158732726777826</v>
      </c>
      <c r="J13" s="13" t="n">
        <f aca="false">IF(SUMIFS($J$120:$J$239,$B$120:$B$239,J$11)=0,"",SUMIFS($K$120:$K$239,$B$120:$B$239,J$11)/SUMIFS($J$120:$J$239,$B$120:$B$239,J$11))</f>
        <v>0.19282359595813</v>
      </c>
      <c r="K13" s="13" t="n">
        <f aca="false">IF(SUMIFS($J$120:$J$239,$B$120:$B$239,K$11)=0,"",SUMIFS($K$120:$K$239,$B$120:$B$239,K$11)/SUMIFS($J$120:$J$239,$B$120:$B$239,K$11))</f>
        <v>0.0676206484162637</v>
      </c>
      <c r="L13" s="13" t="n">
        <f aca="false">V13/O13-1</f>
        <v>1.63633493537799</v>
      </c>
      <c r="M13" s="13" t="n">
        <f aca="false">IF($B12=0,"",(V13/O13)^(1/$B12)-1)</f>
        <v>0.148531579019001</v>
      </c>
      <c r="O13" s="42" t="n">
        <v>100</v>
      </c>
      <c r="P13" s="40" t="n">
        <f aca="false">IF(E13="",O13,O13*(1+E13))</f>
        <v>130.078419929133</v>
      </c>
      <c r="Q13" s="40" t="n">
        <f aca="false">IF(F13="",P13,P13*(1+F13))</f>
        <v>130.538976513163</v>
      </c>
      <c r="R13" s="40" t="n">
        <f aca="false">IF(G13="",Q13,Q13*(1+G13))</f>
        <v>155.797299260637</v>
      </c>
      <c r="S13" s="40" t="n">
        <f aca="false">IF(H13="",R13,R13*(1+H13))</f>
        <v>178.658681790022</v>
      </c>
      <c r="T13" s="40" t="n">
        <f aca="false">IF(I13="",S13,S13*(1+I13))</f>
        <v>207.017661513085</v>
      </c>
      <c r="U13" s="40" t="n">
        <f aca="false">IF(J13="",T13,T13*(1+J13))</f>
        <v>246.93555143288</v>
      </c>
      <c r="V13" s="40" t="n">
        <f aca="false">IF(K13="",U13,U13*(1+K13))</f>
        <v>263.633493537799</v>
      </c>
    </row>
    <row r="14" customFormat="false" ht="15" hidden="false" customHeight="false" outlineLevel="0" collapsed="false">
      <c r="D14" s="41" t="s">
        <v>106</v>
      </c>
      <c r="E14" s="13" t="n">
        <f aca="false">IF(SUMIFS($J$120:$J$239,$B$120:$B$239,E$11)=0,"",SUMIFS($F$120:$F$239,$B$120:$B$239,E$11,$C$120:$C$239,1)/SUMIFS($J$120:$J$239,$B$120:$B$239,E$11))</f>
        <v>0.0229408938019528</v>
      </c>
      <c r="F14" s="13" t="n">
        <f aca="false">IF(SUMIFS($J$120:$J$239,$B$120:$B$239,F$11)=0,"",SUMIFS($F$120:$F$239,$B$120:$B$239,F$11,$C$120:$C$239,1)/SUMIFS($J$120:$J$239,$B$120:$B$239,F$11))</f>
        <v>0.0212407299287174</v>
      </c>
      <c r="G14" s="13" t="n">
        <f aca="false">IF(SUMIFS($J$120:$J$239,$B$120:$B$239,G$11)=0,"",SUMIFS($F$120:$F$239,$B$120:$B$239,G$11,$C$120:$C$239,1)/SUMIFS($J$120:$J$239,$B$120:$B$239,G$11))</f>
        <v>0.0197149426686543</v>
      </c>
      <c r="H14" s="13" t="n">
        <f aca="false">IF(SUMIFS($J$120:$J$239,$B$120:$B$239,H$11)=0,"",SUMIFS($F$120:$F$239,$B$120:$B$239,H$11,$C$120:$C$239,1)/SUMIFS($J$120:$J$239,$B$120:$B$239,H$11))</f>
        <v>0.0304929479349072</v>
      </c>
      <c r="I14" s="13" t="n">
        <f aca="false">IF(SUMIFS($J$120:$J$239,$B$120:$B$239,I$11)=0,"",SUMIFS($F$120:$F$239,$B$120:$B$239,I$11,$C$120:$C$239,1)/SUMIFS($J$120:$J$239,$B$120:$B$239,I$11))</f>
        <v>0.025048563429797</v>
      </c>
      <c r="J14" s="13" t="n">
        <f aca="false">IF(SUMIFS($J$120:$J$239,$B$120:$B$239,J$11)=0,"",SUMIFS($F$120:$F$239,$B$120:$B$239,J$11,$C$120:$C$239,1)/SUMIFS($J$120:$J$239,$B$120:$B$239,J$11))</f>
        <v>0.0249151770080507</v>
      </c>
      <c r="K14" s="13" t="n">
        <f aca="false">IF(SUMIFS($J$120:$J$239,$B$120:$B$239,K$11)=0,"",SUMIFS($F$120:$F$239,$B$120:$B$239,K$11,$C$120:$C$239,1)/SUMIFS($J$120:$J$239,$B$120:$B$239,K$11))</f>
        <v>0.02389730471039</v>
      </c>
      <c r="L14" s="13" t="n">
        <f aca="false">V14/O14-1</f>
        <v>0.180840502140202</v>
      </c>
      <c r="M14" s="13" t="n">
        <f aca="false">IF($B12=0,"",(V14/O14)^(1/$B12)-1)</f>
        <v>0.0240308358175201</v>
      </c>
      <c r="O14" s="42" t="n">
        <v>100</v>
      </c>
      <c r="P14" s="40" t="n">
        <f aca="false">IF(E14="",O14,O14*(1+E14))</f>
        <v>102.294089380195</v>
      </c>
      <c r="Q14" s="40" t="n">
        <f aca="false">IF(F14="",P14,P14*(1+F14))</f>
        <v>104.466890506024</v>
      </c>
      <c r="R14" s="40" t="n">
        <f aca="false">IF(G14="",Q14,Q14*(1+G14))</f>
        <v>106.526449263123</v>
      </c>
      <c r="S14" s="40" t="n">
        <f aca="false">IF(H14="",R14,R14*(1+H14))</f>
        <v>109.774754734194</v>
      </c>
      <c r="T14" s="40" t="n">
        <f aca="false">IF(I14="",S14,S14*(1+I14))</f>
        <v>112.524454641144</v>
      </c>
      <c r="U14" s="40" t="n">
        <f aca="false">IF(J14="",T14,T14*(1+J14))</f>
        <v>115.328021346262</v>
      </c>
      <c r="V14" s="40" t="n">
        <f aca="false">IF(K14="",U14,U14*(1+K14))</f>
        <v>118.08405021402</v>
      </c>
    </row>
    <row r="15" customFormat="false" ht="15" hidden="false" customHeight="false" outlineLevel="0" collapsed="false">
      <c r="D15" s="41" t="s">
        <v>107</v>
      </c>
      <c r="E15" s="10" t="n">
        <f aca="false">COUNTIFS($B$120:$B$239,E$11,$E$120:$E$239,"&gt;0")</f>
        <v>11</v>
      </c>
      <c r="F15" s="10" t="n">
        <f aca="false">COUNTIFS($B$120:$B$239,F$11,$E$120:$E$239,"&gt;0")</f>
        <v>11</v>
      </c>
      <c r="G15" s="10" t="n">
        <f aca="false">COUNTIFS($B$120:$B$239,G$11,$E$120:$E$239,"&gt;0")</f>
        <v>10</v>
      </c>
      <c r="H15" s="10" t="n">
        <f aca="false">COUNTIFS($B$120:$B$239,H$11,$E$120:$E$239,"&gt;0")</f>
        <v>14</v>
      </c>
      <c r="I15" s="10" t="n">
        <f aca="false">COUNTIFS($B$120:$B$239,I$11,$E$120:$E$239,"&gt;0")</f>
        <v>14</v>
      </c>
      <c r="J15" s="10" t="n">
        <f aca="false">COUNTIFS($B$120:$B$239,J$11,$E$120:$E$239,"&gt;0")</f>
        <v>13</v>
      </c>
      <c r="K15" s="10" t="n">
        <f aca="false">COUNTIFS($B$120:$B$239,K$11,$E$120:$E$239,"&gt;0")</f>
        <v>13</v>
      </c>
    </row>
    <row r="16" customFormat="false" ht="15" hidden="false" customHeight="false" outlineLevel="0" collapsed="false">
      <c r="A16" s="43"/>
      <c r="B16" s="43"/>
      <c r="C16" s="43"/>
      <c r="D16" s="44" t="s">
        <v>108</v>
      </c>
      <c r="E16" s="45" t="n">
        <f aca="false">SUMIFS($E$120:$E$239,$B$120:$B$239,E$11)/1000</f>
        <v>1495.69</v>
      </c>
      <c r="F16" s="45" t="n">
        <f aca="false">SUMIFS($E$120:$E$239,$B$120:$B$239,F$11)/1000</f>
        <v>1500.93</v>
      </c>
      <c r="G16" s="45" t="n">
        <f aca="false">SUMIFS($E$120:$E$239,$B$120:$B$239,G$11)/1000</f>
        <v>1756.15</v>
      </c>
      <c r="H16" s="45" t="n">
        <f aca="false">SUMIFS($E$120:$E$239,$B$120:$B$239,H$11)/1000</f>
        <v>2315.6</v>
      </c>
      <c r="I16" s="45" t="n">
        <f aca="false">SUMIFS($E$120:$E$239,$B$120:$B$239,I$11)/1000</f>
        <v>2678.615</v>
      </c>
      <c r="J16" s="45" t="n">
        <f aca="false">SUMIFS($E$120:$E$239,$B$120:$B$239,J$11)/1000</f>
        <v>3188.76</v>
      </c>
      <c r="K16" s="45" t="n">
        <f aca="false">SUMIFS($E$120:$E$239,$B$120:$B$239,K$11)/1000</f>
        <v>3401.84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</row>
    <row r="17" customFormat="false" ht="15" hidden="false" customHeight="false" outlineLevel="0" collapsed="false">
      <c r="A17" s="4" t="s">
        <v>19</v>
      </c>
      <c r="B17" s="8" t="n">
        <f aca="false">COUNT(E17:K17)</f>
        <v>7</v>
      </c>
      <c r="C17" s="40" t="n">
        <f aca="false">SUMIFS($E$120:$E$239,$A$120:$A$239,$A17,$B$120:$B$239,K$11)/1000</f>
        <v>290.9</v>
      </c>
      <c r="D17" s="41" t="s">
        <v>104</v>
      </c>
      <c r="E17" s="13" t="n">
        <f aca="false">IF(SUMIFS($C$120:$C$239,$A$120:$A$239,$A$17,$B$120:$B$239,E$11)=0,"",SUMIFS($N$120:$N$239,$A$120:$A$239,$A$17,$B$120:$B$239,E$11))</f>
        <v>0.142255210002239</v>
      </c>
      <c r="F17" s="13" t="n">
        <f aca="false">IF(SUMIFS($C$120:$C$239,$A$120:$A$239,$A$17,$B$120:$B$239,F$11)=0,"",SUMIFS($N$120:$N$239,$A$120:$A$239,$A$17,$B$120:$B$239,F$11))</f>
        <v>0.0771900943375752</v>
      </c>
      <c r="G17" s="13" t="n">
        <f aca="false">IF(SUMIFS($C$120:$C$239,$A$120:$A$239,$A$17,$B$120:$B$239,G$11)=0,"",SUMIFS($N$120:$N$239,$A$120:$A$239,$A$17,$B$120:$B$239,G$11))</f>
        <v>0.119146495626951</v>
      </c>
      <c r="H17" s="13" t="n">
        <f aca="false">IF(SUMIFS($C$120:$C$239,$A$120:$A$239,$A$17,$B$120:$B$239,H$11)=0,"",SUMIFS($N$120:$N$239,$A$120:$A$239,$A$17,$B$120:$B$239,H$11))</f>
        <v>0.241519151035965</v>
      </c>
      <c r="I17" s="13" t="n">
        <f aca="false">IF(SUMIFS($C$120:$C$239,$A$120:$A$239,$A$17,$B$120:$B$239,I$11)=0,"",SUMIFS($N$120:$N$239,$A$120:$A$239,$A$17,$B$120:$B$239,I$11))</f>
        <v>0.0687138833641309</v>
      </c>
      <c r="J17" s="13" t="n">
        <f aca="false">IF(SUMIFS($C$120:$C$239,$A$120:$A$239,$A$17,$B$120:$B$239,J$11)=0,"",SUMIFS($N$120:$N$239,$A$120:$A$239,$A$17,$B$120:$B$239,J$11))</f>
        <v>0.235892309049415</v>
      </c>
      <c r="K17" s="13" t="n">
        <f aca="false">IF(SUMIFS($C$120:$C$239,$A$120:$A$239,$A$17,$B$120:$B$239,K$11)=0,"",SUMIFS($N$120:$N$239,$A$120:$A$239,$A$17,$B$120:$B$239,K$11))</f>
        <v>0.110213910785845</v>
      </c>
      <c r="L17" s="13" t="n">
        <f aca="false">V17/O17-1</f>
        <v>1.50694384801844</v>
      </c>
      <c r="M17" s="13" t="n">
        <f aca="false">IF($B17=0,"",(V17/O17)^(1/$B17)-1)</f>
        <v>0.140304027070893</v>
      </c>
      <c r="O17" s="42" t="n">
        <v>100</v>
      </c>
      <c r="P17" s="40" t="n">
        <f aca="false">IF(E17="",O17,O17*(1+E17))</f>
        <v>114.225521000224</v>
      </c>
      <c r="Q17" s="40" t="n">
        <f aca="false">IF(F17="",P17,P17*(1+F17))</f>
        <v>123.04259974199</v>
      </c>
      <c r="R17" s="40" t="n">
        <f aca="false">IF(G17="",Q17,Q17*(1+G17))</f>
        <v>137.702694314078</v>
      </c>
      <c r="S17" s="40" t="n">
        <f aca="false">IF(H17="",R17,R17*(1+H17))</f>
        <v>170.960532140179</v>
      </c>
      <c r="T17" s="40" t="n">
        <f aca="false">IF(I17="",S17,S17*(1+I17))</f>
        <v>182.707894205529</v>
      </c>
      <c r="U17" s="40" t="n">
        <f aca="false">IF(J17="",T17,T17*(1+J17))</f>
        <v>225.807281251227</v>
      </c>
      <c r="V17" s="40" t="n">
        <f aca="false">IF(K17="",U17,U17*(1+K17))</f>
        <v>250.694384801844</v>
      </c>
    </row>
    <row r="18" customFormat="false" ht="15" hidden="false" customHeight="false" outlineLevel="0" collapsed="false">
      <c r="D18" s="41" t="s">
        <v>105</v>
      </c>
      <c r="E18" s="13" t="n">
        <f aca="false">IF(SUMIFS($C$120:$C$239,$A$120:$A$239,$A$17,$B$120:$B$239,E$11)=0,"",SUMIFS($M$120:$M$239,$A$120:$A$239,$A$17,$B$120:$B$239,E$11))</f>
        <v>0.103695287473521</v>
      </c>
      <c r="F18" s="13" t="n">
        <f aca="false">IF(SUMIFS($C$120:$C$239,$A$120:$A$239,$A$17,$B$120:$B$239,F$11)=0,"",SUMIFS($M$120:$M$239,$A$120:$A$239,$A$17,$B$120:$B$239,F$11))</f>
        <v>0.0387790248958389</v>
      </c>
      <c r="G18" s="13" t="n">
        <f aca="false">IF(SUMIFS($C$120:$C$239,$A$120:$A$239,$A$17,$B$120:$B$239,G$11)=0,"",SUMIFS($M$120:$M$239,$A$120:$A$239,$A$17,$B$120:$B$239,G$11))</f>
        <v>0.094489734963966</v>
      </c>
      <c r="H18" s="13" t="n">
        <f aca="false">IF(SUMIFS($C$120:$C$239,$A$120:$A$239,$A$17,$B$120:$B$239,H$11)=0,"",SUMIFS($M$120:$M$239,$A$120:$A$239,$A$17,$B$120:$B$239,H$11))</f>
        <v>0.204527278811632</v>
      </c>
      <c r="I18" s="13" t="n">
        <f aca="false">IF(SUMIFS($C$120:$C$239,$A$120:$A$239,$A$17,$B$120:$B$239,I$11)=0,"",SUMIFS($M$120:$M$239,$A$120:$A$239,$A$17,$B$120:$B$239,I$11))</f>
        <v>0.0409631416359866</v>
      </c>
      <c r="J18" s="13" t="n">
        <f aca="false">IF(SUMIFS($C$120:$C$239,$A$120:$A$239,$A$17,$B$120:$B$239,J$11)=0,"",SUMIFS($M$120:$M$239,$A$120:$A$239,$A$17,$B$120:$B$239,J$11))</f>
        <v>0.206185240558495</v>
      </c>
      <c r="K18" s="13" t="n">
        <f aca="false">IF(SUMIFS($C$120:$C$239,$A$120:$A$239,$A$17,$B$120:$B$239,K$11)=0,"",SUMIFS($M$120:$M$239,$A$120:$A$239,$A$17,$B$120:$B$239,K$11))</f>
        <v>0.0789381596523244</v>
      </c>
      <c r="L18" s="13" t="n">
        <f aca="false">V18/O18-1</f>
        <v>1.04760701250897</v>
      </c>
      <c r="M18" s="13" t="n">
        <f aca="false">IF($B17=0,"",(V18/O18)^(1/$B17)-1)</f>
        <v>0.107806224907571</v>
      </c>
      <c r="O18" s="42" t="n">
        <v>100</v>
      </c>
      <c r="P18" s="40" t="n">
        <f aca="false">IF(E18="",O18,O18*(1+E18))</f>
        <v>110.369528747352</v>
      </c>
      <c r="Q18" s="40" t="n">
        <f aca="false">IF(F18="",P18,P18*(1+F18))</f>
        <v>114.649551450388</v>
      </c>
      <c r="R18" s="40" t="n">
        <f aca="false">IF(G18="",Q18,Q18*(1+G18))</f>
        <v>125.482757180672</v>
      </c>
      <c r="S18" s="40" t="n">
        <f aca="false">IF(H18="",R18,R18*(1+H18))</f>
        <v>151.147404044616</v>
      </c>
      <c r="T18" s="40" t="n">
        <f aca="false">IF(I18="",S18,S18*(1+I18))</f>
        <v>157.338876564407</v>
      </c>
      <c r="U18" s="40" t="n">
        <f aca="false">IF(J18="",T18,T18*(1+J18))</f>
        <v>189.779830678043</v>
      </c>
      <c r="V18" s="40" t="n">
        <f aca="false">IF(K18="",U18,U18*(1+K18))</f>
        <v>204.760701250897</v>
      </c>
    </row>
    <row r="19" customFormat="false" ht="15" hidden="false" customHeight="false" outlineLevel="0" collapsed="false">
      <c r="A19" s="43"/>
      <c r="B19" s="43"/>
      <c r="C19" s="43"/>
      <c r="D19" s="44" t="s">
        <v>106</v>
      </c>
      <c r="E19" s="46" t="n">
        <f aca="false">IF(SUMIFS($C$120:$C$239,$A$120:$A$239,$A$17,$B$120:$B$239,E$11)=0,"",SUMIFS($L$120:$L$239,$A$120:$A$239,$A$17,$B$120:$B$239,E$11))</f>
        <v>0.0385599225287184</v>
      </c>
      <c r="F19" s="46" t="n">
        <f aca="false">IF(SUMIFS($C$120:$C$239,$A$120:$A$239,$A$17,$B$120:$B$239,F$11)=0,"",SUMIFS($L$120:$L$239,$A$120:$A$239,$A$17,$B$120:$B$239,F$11))</f>
        <v>0.0384110694417364</v>
      </c>
      <c r="G19" s="46" t="n">
        <f aca="false">IF(SUMIFS($C$120:$C$239,$A$120:$A$239,$A$17,$B$120:$B$239,G$11)=0,"",SUMIFS($L$120:$L$239,$A$120:$A$239,$A$17,$B$120:$B$239,G$11))</f>
        <v>0.0246567606629848</v>
      </c>
      <c r="H19" s="46" t="n">
        <f aca="false">IF(SUMIFS($C$120:$C$239,$A$120:$A$239,$A$17,$B$120:$B$239,H$11)=0,"",SUMIFS($L$120:$L$239,$A$120:$A$239,$A$17,$B$120:$B$239,H$11))</f>
        <v>0.0369918722243334</v>
      </c>
      <c r="I19" s="46" t="n">
        <f aca="false">IF(SUMIFS($C$120:$C$239,$A$120:$A$239,$A$17,$B$120:$B$239,I$11)=0,"",SUMIFS($L$120:$L$239,$A$120:$A$239,$A$17,$B$120:$B$239,I$11))</f>
        <v>0.0277507417281443</v>
      </c>
      <c r="J19" s="46" t="n">
        <f aca="false">IF(SUMIFS($C$120:$C$239,$A$120:$A$239,$A$17,$B$120:$B$239,J$11)=0,"",SUMIFS($L$120:$L$239,$A$120:$A$239,$A$17,$B$120:$B$239,J$11))</f>
        <v>0.0297070684909198</v>
      </c>
      <c r="K19" s="46" t="n">
        <f aca="false">IF(SUMIFS($C$120:$C$239,$A$120:$A$239,$A$17,$B$120:$B$239,K$11)=0,"",SUMIFS($L$120:$L$239,$A$120:$A$239,$A$17,$B$120:$B$239,K$11))</f>
        <v>0.0312757511335202</v>
      </c>
      <c r="L19" s="46" t="n">
        <f aca="false">V19/O19-1</f>
        <v>0.250636011271916</v>
      </c>
      <c r="M19" s="46" t="n">
        <f aca="false">IF($B17=0,"",(V19/O19)^(1/$B17)-1)</f>
        <v>0.0324662097721751</v>
      </c>
      <c r="N19" s="43"/>
      <c r="O19" s="47" t="n">
        <v>100</v>
      </c>
      <c r="P19" s="45" t="n">
        <f aca="false">IF(E19="",O19,O19*(1+E19))</f>
        <v>103.855992252872</v>
      </c>
      <c r="Q19" s="45" t="n">
        <f aca="false">IF(F19="",P19,P19*(1+F19))</f>
        <v>107.845211983237</v>
      </c>
      <c r="R19" s="45" t="n">
        <f aca="false">IF(G19="",Q19,Q19*(1+G19))</f>
        <v>110.504325563757</v>
      </c>
      <c r="S19" s="45" t="n">
        <f aca="false">IF(H19="",R19,R19*(1+H19))</f>
        <v>114.592087455248</v>
      </c>
      <c r="T19" s="45" t="n">
        <f aca="false">IF(I19="",S19,S19*(1+I19))</f>
        <v>117.772102878307</v>
      </c>
      <c r="U19" s="45" t="n">
        <f aca="false">IF(J19="",T19,T19*(1+J19))</f>
        <v>121.270766804833</v>
      </c>
      <c r="V19" s="45" t="n">
        <f aca="false">IF(K19="",U19,U19*(1+K19))</f>
        <v>125.063601127192</v>
      </c>
    </row>
    <row r="20" customFormat="false" ht="15" hidden="false" customHeight="false" outlineLevel="0" collapsed="false">
      <c r="A20" s="4" t="s">
        <v>20</v>
      </c>
      <c r="B20" s="8" t="n">
        <f aca="false">COUNT(E20:K20)</f>
        <v>7</v>
      </c>
      <c r="C20" s="40" t="n">
        <f aca="false">SUMIFS($E$120:$E$239,$A$120:$A$239,$A20,$B$120:$B$239,K$11)/1000</f>
        <v>473.55</v>
      </c>
      <c r="D20" s="41" t="s">
        <v>104</v>
      </c>
      <c r="E20" s="13" t="n">
        <f aca="false">IF(SUMIFS($C$120:$C$239,$A$120:$A$239,$A$20,$B$120:$B$239,E$11)=0,"",SUMIFS($N$120:$N$239,$A$120:$A$239,$A$20,$B$120:$B$239,E$11))</f>
        <v>0.161344571434166</v>
      </c>
      <c r="F20" s="13" t="n">
        <f aca="false">IF(SUMIFS($C$120:$C$239,$A$120:$A$239,$A$20,$B$120:$B$239,F$11)=0,"",SUMIFS($N$120:$N$239,$A$120:$A$239,$A$20,$B$120:$B$239,F$11))</f>
        <v>0.0596458622027257</v>
      </c>
      <c r="G20" s="13" t="n">
        <f aca="false">IF(SUMIFS($C$120:$C$239,$A$120:$A$239,$A$20,$B$120:$B$239,G$11)=0,"",SUMIFS($N$120:$N$239,$A$120:$A$239,$A$20,$B$120:$B$239,G$11))</f>
        <v>0.153107988760469</v>
      </c>
      <c r="H20" s="13" t="n">
        <f aca="false">IF(SUMIFS($C$120:$C$239,$A$120:$A$239,$A$20,$B$120:$B$239,H$11)=0,"",SUMIFS($N$120:$N$239,$A$120:$A$239,$A$20,$B$120:$B$239,H$11))</f>
        <v>0.2081863548408</v>
      </c>
      <c r="I20" s="13" t="n">
        <f aca="false">IF(SUMIFS($C$120:$C$239,$A$120:$A$239,$A$20,$B$120:$B$239,I$11)=0,"",SUMIFS($N$120:$N$239,$A$120:$A$239,$A$20,$B$120:$B$239,I$11))</f>
        <v>0.0529035761310866</v>
      </c>
      <c r="J20" s="13" t="n">
        <f aca="false">IF(SUMIFS($C$120:$C$239,$A$120:$A$239,$A$20,$B$120:$B$239,J$11)=0,"",SUMIFS($N$120:$N$239,$A$120:$A$239,$A$20,$B$120:$B$239,J$11))</f>
        <v>0.405065230312946</v>
      </c>
      <c r="K20" s="13" t="n">
        <f aca="false">IF(SUMIFS($C$120:$C$239,$A$120:$A$239,$A$20,$B$120:$B$239,K$11)=0,"",SUMIFS($N$120:$N$239,$A$120:$A$239,$A$20,$B$120:$B$239,K$11))</f>
        <v>0.0746514389580272</v>
      </c>
      <c r="L20" s="13" t="n">
        <f aca="false">V20/O20-1</f>
        <v>1.72570255001112</v>
      </c>
      <c r="M20" s="13" t="n">
        <f aca="false">IF($B20=0,"",(V20/O20)^(1/$B20)-1)</f>
        <v>0.154014348398107</v>
      </c>
      <c r="O20" s="42" t="n">
        <v>100</v>
      </c>
      <c r="P20" s="40" t="n">
        <f aca="false">IF(E20="",O20,O20*(1+E20))</f>
        <v>116.134457143417</v>
      </c>
      <c r="Q20" s="40" t="n">
        <f aca="false">IF(F20="",P20,P20*(1+F20))</f>
        <v>123.061396971181</v>
      </c>
      <c r="R20" s="40" t="n">
        <f aca="false">IF(G20="",Q20,Q20*(1+G20))</f>
        <v>141.903079955492</v>
      </c>
      <c r="S20" s="40" t="n">
        <f aca="false">IF(H20="",R20,R20*(1+H20))</f>
        <v>171.445364912109</v>
      </c>
      <c r="T20" s="40" t="n">
        <f aca="false">IF(I20="",S20,S20*(1+I20))</f>
        <v>180.515437827059</v>
      </c>
      <c r="U20" s="40" t="n">
        <f aca="false">IF(J20="",T20,T20*(1+J20))</f>
        <v>253.635965225519</v>
      </c>
      <c r="V20" s="40" t="n">
        <f aca="false">IF(K20="",U20,U20*(1+K20))</f>
        <v>272.570255001112</v>
      </c>
    </row>
    <row r="21" customFormat="false" ht="15" hidden="false" customHeight="false" outlineLevel="0" collapsed="false">
      <c r="D21" s="41" t="s">
        <v>105</v>
      </c>
      <c r="E21" s="13" t="n">
        <f aca="false">IF(SUMIFS($C$120:$C$239,$A$120:$A$239,$A$20,$B$120:$B$239,E$11)=0,"",SUMIFS($M$120:$M$239,$A$120:$A$239,$A$20,$B$120:$B$239,E$11))</f>
        <v>0.132361108844495</v>
      </c>
      <c r="F21" s="13" t="n">
        <f aca="false">IF(SUMIFS($C$120:$C$239,$A$120:$A$239,$A$20,$B$120:$B$239,F$11)=0,"",SUMIFS($M$120:$M$239,$A$120:$A$239,$A$20,$B$120:$B$239,F$11))</f>
        <v>0.0302495091171564</v>
      </c>
      <c r="G21" s="13" t="n">
        <f aca="false">IF(SUMIFS($C$120:$C$239,$A$120:$A$239,$A$20,$B$120:$B$239,G$11)=0,"",SUMIFS($M$120:$M$239,$A$120:$A$239,$A$20,$B$120:$B$239,G$11))</f>
        <v>0.13405521788358</v>
      </c>
      <c r="H21" s="13" t="n">
        <f aca="false">IF(SUMIFS($C$120:$C$239,$A$120:$A$239,$A$20,$B$120:$B$239,H$11)=0,"",SUMIFS($M$120:$M$239,$A$120:$A$239,$A$20,$B$120:$B$239,H$11))</f>
        <v>0.179318390134156</v>
      </c>
      <c r="I21" s="13" t="n">
        <f aca="false">IF(SUMIFS($C$120:$C$239,$A$120:$A$239,$A$20,$B$120:$B$239,I$11)=0,"",SUMIFS($M$120:$M$239,$A$120:$A$239,$A$20,$B$120:$B$239,I$11))</f>
        <v>0.0294163343518566</v>
      </c>
      <c r="J21" s="13" t="n">
        <f aca="false">IF(SUMIFS($C$120:$C$239,$A$120:$A$239,$A$20,$B$120:$B$239,J$11)=0,"",SUMIFS($M$120:$M$239,$A$120:$A$239,$A$20,$B$120:$B$239,J$11))</f>
        <v>0.372404115423032</v>
      </c>
      <c r="K21" s="13" t="n">
        <f aca="false">IF(SUMIFS($C$120:$C$239,$A$120:$A$239,$A$20,$B$120:$B$239,K$11)=0,"",SUMIFS($M$120:$M$239,$A$120:$A$239,$A$20,$B$120:$B$239,K$11))</f>
        <v>0.0454234609534405</v>
      </c>
      <c r="L21" s="13" t="n">
        <f aca="false">V21/O21-1</f>
        <v>1.30440040227508</v>
      </c>
      <c r="M21" s="13" t="n">
        <f aca="false">IF($B20=0,"",(V21/O21)^(1/$B20)-1)</f>
        <v>0.126662895181518</v>
      </c>
      <c r="O21" s="42" t="n">
        <v>100</v>
      </c>
      <c r="P21" s="40" t="n">
        <f aca="false">IF(E21="",O21,O21*(1+E21))</f>
        <v>113.236110884449</v>
      </c>
      <c r="Q21" s="40" t="n">
        <f aca="false">IF(F21="",P21,P21*(1+F21))</f>
        <v>116.66144765304</v>
      </c>
      <c r="R21" s="40" t="n">
        <f aca="false">IF(G21="",Q21,Q21*(1+G21))</f>
        <v>132.300523436782</v>
      </c>
      <c r="S21" s="40" t="n">
        <f aca="false">IF(H21="",R21,R21*(1+H21))</f>
        <v>156.024440313372</v>
      </c>
      <c r="T21" s="40" t="n">
        <f aca="false">IF(I21="",S21,S21*(1+I21))</f>
        <v>160.614107416691</v>
      </c>
      <c r="U21" s="40" t="n">
        <f aca="false">IF(J21="",T21,T21*(1+J21))</f>
        <v>220.427462013664</v>
      </c>
      <c r="V21" s="40" t="n">
        <f aca="false">IF(K21="",U21,U21*(1+K21))</f>
        <v>230.440040227508</v>
      </c>
    </row>
    <row r="22" customFormat="false" ht="15" hidden="false" customHeight="false" outlineLevel="0" collapsed="false">
      <c r="A22" s="43"/>
      <c r="B22" s="43"/>
      <c r="C22" s="43"/>
      <c r="D22" s="44" t="s">
        <v>106</v>
      </c>
      <c r="E22" s="46" t="n">
        <f aca="false">IF(SUMIFS($C$120:$C$239,$A$120:$A$239,$A$20,$B$120:$B$239,E$11)=0,"",SUMIFS($L$120:$L$239,$A$120:$A$239,$A$20,$B$120:$B$239,E$11))</f>
        <v>0.0289834625896714</v>
      </c>
      <c r="F22" s="46" t="n">
        <f aca="false">IF(SUMIFS($C$120:$C$239,$A$120:$A$239,$A$20,$B$120:$B$239,F$11)=0,"",SUMIFS($L$120:$L$239,$A$120:$A$239,$A$20,$B$120:$B$239,F$11))</f>
        <v>0.0293963530855693</v>
      </c>
      <c r="G22" s="46" t="n">
        <f aca="false">IF(SUMIFS($C$120:$C$239,$A$120:$A$239,$A$20,$B$120:$B$239,G$11)=0,"",SUMIFS($L$120:$L$239,$A$120:$A$239,$A$20,$B$120:$B$239,G$11))</f>
        <v>0.0190527708768892</v>
      </c>
      <c r="H22" s="46" t="n">
        <f aca="false">IF(SUMIFS($C$120:$C$239,$A$120:$A$239,$A$20,$B$120:$B$239,H$11)=0,"",SUMIFS($L$120:$L$239,$A$120:$A$239,$A$20,$B$120:$B$239,H$11))</f>
        <v>0.0288679647066448</v>
      </c>
      <c r="I22" s="46" t="n">
        <f aca="false">IF(SUMIFS($C$120:$C$239,$A$120:$A$239,$A$20,$B$120:$B$239,I$11)=0,"",SUMIFS($L$120:$L$239,$A$120:$A$239,$A$20,$B$120:$B$239,I$11))</f>
        <v>0.02348724177923</v>
      </c>
      <c r="J22" s="46" t="n">
        <f aca="false">IF(SUMIFS($C$120:$C$239,$A$120:$A$239,$A$20,$B$120:$B$239,J$11)=0,"",SUMIFS($L$120:$L$239,$A$120:$A$239,$A$20,$B$120:$B$239,J$11))</f>
        <v>0.0326611148899143</v>
      </c>
      <c r="K22" s="46" t="n">
        <f aca="false">IF(SUMIFS($C$120:$C$239,$A$120:$A$239,$A$20,$B$120:$B$239,K$11)=0,"",SUMIFS($L$120:$L$239,$A$120:$A$239,$A$20,$B$120:$B$239,K$11))</f>
        <v>0.0292279780045867</v>
      </c>
      <c r="L22" s="46" t="n">
        <f aca="false">V22/O22-1</f>
        <v>0.208089695875514</v>
      </c>
      <c r="M22" s="46" t="n">
        <f aca="false">IF($B20=0,"",(V22/O22)^(1/$B20)-1)</f>
        <v>0.0273737245738768</v>
      </c>
      <c r="N22" s="43"/>
      <c r="O22" s="47" t="n">
        <v>100</v>
      </c>
      <c r="P22" s="45" t="n">
        <f aca="false">IF(E22="",O22,O22*(1+E22))</f>
        <v>102.898346258967</v>
      </c>
      <c r="Q22" s="45" t="n">
        <f aca="false">IF(F22="",P22,P22*(1+F22))</f>
        <v>105.923182377517</v>
      </c>
      <c r="R22" s="45" t="n">
        <f aca="false">IF(G22="",Q22,Q22*(1+G22))</f>
        <v>107.941312501907</v>
      </c>
      <c r="S22" s="45" t="n">
        <f aca="false">IF(H22="",R22,R22*(1+H22))</f>
        <v>111.057358501601</v>
      </c>
      <c r="T22" s="45" t="n">
        <f aca="false">IF(I22="",S22,S22*(1+I22))</f>
        <v>113.66578953209</v>
      </c>
      <c r="U22" s="45" t="n">
        <f aca="false">IF(J22="",T22,T22*(1+J22))</f>
        <v>117.378240943051</v>
      </c>
      <c r="V22" s="45" t="n">
        <f aca="false">IF(K22="",U22,U22*(1+K22))</f>
        <v>120.808969587551</v>
      </c>
    </row>
    <row r="23" customFormat="false" ht="15" hidden="false" customHeight="false" outlineLevel="0" collapsed="false">
      <c r="A23" s="4" t="s">
        <v>21</v>
      </c>
      <c r="B23" s="8" t="n">
        <f aca="false">COUNT(E23:K23)</f>
        <v>7</v>
      </c>
      <c r="C23" s="40" t="n">
        <f aca="false">SUMIFS($E$120:$E$239,$A$120:$A$239,$A23,$B$120:$B$239,K$11)/1000</f>
        <v>234.55</v>
      </c>
      <c r="D23" s="41" t="s">
        <v>104</v>
      </c>
      <c r="E23" s="13" t="n">
        <f aca="false">IF(SUMIFS($C$120:$C$239,$A$120:$A$239,$A$23,$B$120:$B$239,E$11)=0,"",SUMIFS($N$120:$N$239,$A$120:$A$239,$A$23,$B$120:$B$239,E$11))</f>
        <v>0.138826402841875</v>
      </c>
      <c r="F23" s="13" t="n">
        <f aca="false">IF(SUMIFS($C$120:$C$239,$A$120:$A$239,$A$23,$B$120:$B$239,F$11)=0,"",SUMIFS($N$120:$N$239,$A$120:$A$239,$A$23,$B$120:$B$239,F$11))</f>
        <v>0.241519441549271</v>
      </c>
      <c r="G23" s="13" t="n">
        <f aca="false">IF(SUMIFS($C$120:$C$239,$A$120:$A$239,$A$23,$B$120:$B$239,G$11)=0,"",SUMIFS($N$120:$N$239,$A$120:$A$239,$A$23,$B$120:$B$239,G$11))</f>
        <v>0.251622808840398</v>
      </c>
      <c r="H23" s="13" t="n">
        <f aca="false">IF(SUMIFS($C$120:$C$239,$A$120:$A$239,$A$23,$B$120:$B$239,H$11)=0,"",SUMIFS($N$120:$N$239,$A$120:$A$239,$A$23,$B$120:$B$239,H$11))</f>
        <v>0.204225289257674</v>
      </c>
      <c r="I23" s="13" t="n">
        <f aca="false">IF(SUMIFS($C$120:$C$239,$A$120:$A$239,$A$23,$B$120:$B$239,I$11)=0,"",SUMIFS($N$120:$N$239,$A$120:$A$239,$A$23,$B$120:$B$239,I$11))</f>
        <v>0.155341859943081</v>
      </c>
      <c r="J23" s="13" t="n">
        <f aca="false">IF(SUMIFS($C$120:$C$239,$A$120:$A$239,$A$23,$B$120:$B$239,J$11)=0,"",SUMIFS($N$120:$N$239,$A$120:$A$239,$A$23,$B$120:$B$239,J$11))</f>
        <v>0.0819686925132762</v>
      </c>
      <c r="K23" s="13" t="n">
        <f aca="false">IF(SUMIFS($C$120:$C$239,$A$120:$A$239,$A$23,$B$120:$B$239,K$11)=0,"",SUMIFS($N$120:$N$239,$A$120:$A$239,$A$23,$B$120:$B$239,K$11))</f>
        <v>0.0588712717596186</v>
      </c>
      <c r="L23" s="13" t="n">
        <f aca="false">V23/O23-1</f>
        <v>1.82072425621719</v>
      </c>
      <c r="M23" s="13" t="n">
        <f aca="false">IF($B23=0,"",(V23/O23)^(1/$B23)-1)</f>
        <v>0.159677505940945</v>
      </c>
      <c r="O23" s="42" t="n">
        <v>100</v>
      </c>
      <c r="P23" s="40" t="n">
        <f aca="false">IF(E23="",O23,O23*(1+E23))</f>
        <v>113.882640284188</v>
      </c>
      <c r="Q23" s="40" t="n">
        <f aca="false">IF(F23="",P23,P23*(1+F23))</f>
        <v>141.387511967781</v>
      </c>
      <c r="R23" s="40" t="n">
        <f aca="false">IF(G23="",Q23,Q23*(1+G23))</f>
        <v>176.963834864069</v>
      </c>
      <c r="S23" s="40" t="n">
        <f aca="false">IF(H23="",R23,R23*(1+H23))</f>
        <v>213.104325227331</v>
      </c>
      <c r="T23" s="40" t="n">
        <f aca="false">IF(I23="",S23,S23*(1+I23))</f>
        <v>246.20834747006</v>
      </c>
      <c r="U23" s="40" t="n">
        <f aca="false">IF(J23="",T23,T23*(1+J23))</f>
        <v>266.389723798035</v>
      </c>
      <c r="V23" s="40" t="n">
        <f aca="false">IF(K23="",U23,U23*(1+K23))</f>
        <v>282.072425621719</v>
      </c>
    </row>
    <row r="24" customFormat="false" ht="15" hidden="false" customHeight="false" outlineLevel="0" collapsed="false">
      <c r="D24" s="41" t="s">
        <v>105</v>
      </c>
      <c r="E24" s="13" t="n">
        <f aca="false">IF(SUMIFS($C$120:$C$239,$A$120:$A$239,$A$23,$B$120:$B$239,E$11)=0,"",SUMIFS($M$120:$M$239,$A$120:$A$239,$A$23,$B$120:$B$239,E$11))</f>
        <v>0.105524815857164</v>
      </c>
      <c r="F24" s="13" t="n">
        <f aca="false">IF(SUMIFS($C$120:$C$239,$A$120:$A$239,$A$23,$B$120:$B$239,F$11)=0,"",SUMIFS($M$120:$M$239,$A$120:$A$239,$A$23,$B$120:$B$239,F$11))</f>
        <v>0.207862357805557</v>
      </c>
      <c r="G24" s="13" t="n">
        <f aca="false">IF(SUMIFS($C$120:$C$239,$A$120:$A$239,$A$23,$B$120:$B$239,G$11)=0,"",SUMIFS($M$120:$M$239,$A$120:$A$239,$A$23,$B$120:$B$239,G$11))</f>
        <v>0.220060869811145</v>
      </c>
      <c r="H24" s="13" t="n">
        <f aca="false">IF(SUMIFS($C$120:$C$239,$A$120:$A$239,$A$23,$B$120:$B$239,H$11)=0,"",SUMIFS($M$120:$M$239,$A$120:$A$239,$A$23,$B$120:$B$239,H$11))</f>
        <v>0.145787652587328</v>
      </c>
      <c r="I24" s="13" t="n">
        <f aca="false">IF(SUMIFS($C$120:$C$239,$A$120:$A$239,$A$23,$B$120:$B$239,I$11)=0,"",SUMIFS($M$120:$M$239,$A$120:$A$239,$A$23,$B$120:$B$239,I$11))</f>
        <v>0.117304958317315</v>
      </c>
      <c r="J24" s="13" t="n">
        <f aca="false">IF(SUMIFS($C$120:$C$239,$A$120:$A$239,$A$23,$B$120:$B$239,J$11)=0,"",SUMIFS($M$120:$M$239,$A$120:$A$239,$A$23,$B$120:$B$239,J$11))</f>
        <v>0.0438304814133491</v>
      </c>
      <c r="K24" s="13" t="n">
        <f aca="false">IF(SUMIFS($C$120:$C$239,$A$120:$A$239,$A$23,$B$120:$B$239,K$11)=0,"",SUMIFS($M$120:$M$239,$A$120:$A$239,$A$23,$B$120:$B$239,K$11))</f>
        <v>0.0216254573677791</v>
      </c>
      <c r="L24" s="13" t="n">
        <f aca="false">V24/O24-1</f>
        <v>1.22415467483628</v>
      </c>
      <c r="M24" s="13" t="n">
        <f aca="false">IF($B23=0,"",(V24/O24)^(1/$B23)-1)</f>
        <v>0.120972602034307</v>
      </c>
      <c r="O24" s="42" t="n">
        <v>100</v>
      </c>
      <c r="P24" s="40" t="n">
        <f aca="false">IF(E24="",O24,O24*(1+E24))</f>
        <v>110.552481585716</v>
      </c>
      <c r="Q24" s="40" t="n">
        <f aca="false">IF(F24="",P24,P24*(1+F24))</f>
        <v>133.532181069379</v>
      </c>
      <c r="R24" s="40" t="n">
        <f aca="false">IF(G24="",Q24,Q24*(1+G24))</f>
        <v>162.917388983286</v>
      </c>
      <c r="S24" s="40" t="n">
        <f aca="false">IF(H24="",R24,R24*(1+H24))</f>
        <v>186.668732688815</v>
      </c>
      <c r="T24" s="40" t="n">
        <f aca="false">IF(I24="",S24,S24*(1+I24))</f>
        <v>208.565900596023</v>
      </c>
      <c r="U24" s="40" t="n">
        <f aca="false">IF(J24="",T24,T24*(1+J24))</f>
        <v>217.707444425555</v>
      </c>
      <c r="V24" s="40" t="n">
        <f aca="false">IF(K24="",U24,U24*(1+K24))</f>
        <v>222.415467483628</v>
      </c>
    </row>
    <row r="25" customFormat="false" ht="15" hidden="false" customHeight="false" outlineLevel="0" collapsed="false">
      <c r="A25" s="43"/>
      <c r="B25" s="43"/>
      <c r="C25" s="43"/>
      <c r="D25" s="44" t="s">
        <v>106</v>
      </c>
      <c r="E25" s="46" t="n">
        <f aca="false">IF(SUMIFS($C$120:$C$239,$A$120:$A$239,$A$23,$B$120:$B$239,E$11)=0,"",SUMIFS($L$120:$L$239,$A$120:$A$239,$A$23,$B$120:$B$239,E$11))</f>
        <v>0.0333015869847111</v>
      </c>
      <c r="F25" s="46" t="n">
        <f aca="false">IF(SUMIFS($C$120:$C$239,$A$120:$A$239,$A$23,$B$120:$B$239,F$11)=0,"",SUMIFS($L$120:$L$239,$A$120:$A$239,$A$23,$B$120:$B$239,F$11))</f>
        <v>0.0336570837437144</v>
      </c>
      <c r="G25" s="46" t="n">
        <f aca="false">IF(SUMIFS($C$120:$C$239,$A$120:$A$239,$A$23,$B$120:$B$239,G$11)=0,"",SUMIFS($L$120:$L$239,$A$120:$A$239,$A$23,$B$120:$B$239,G$11))</f>
        <v>0.0315619390292526</v>
      </c>
      <c r="H25" s="46" t="n">
        <f aca="false">IF(SUMIFS($C$120:$C$239,$A$120:$A$239,$A$23,$B$120:$B$239,H$11)=0,"",SUMIFS($L$120:$L$239,$A$120:$A$239,$A$23,$B$120:$B$239,H$11))</f>
        <v>0.0584376366703459</v>
      </c>
      <c r="I25" s="46" t="n">
        <f aca="false">IF(SUMIFS($C$120:$C$239,$A$120:$A$239,$A$23,$B$120:$B$239,I$11)=0,"",SUMIFS($L$120:$L$239,$A$120:$A$239,$A$23,$B$120:$B$239,I$11))</f>
        <v>0.0380369016257666</v>
      </c>
      <c r="J25" s="46" t="n">
        <f aca="false">IF(SUMIFS($C$120:$C$239,$A$120:$A$239,$A$23,$B$120:$B$239,J$11)=0,"",SUMIFS($L$120:$L$239,$A$120:$A$239,$A$23,$B$120:$B$239,J$11))</f>
        <v>0.0381382110999271</v>
      </c>
      <c r="K25" s="46" t="n">
        <f aca="false">IF(SUMIFS($C$120:$C$239,$A$120:$A$239,$A$23,$B$120:$B$239,K$11)=0,"",SUMIFS($L$120:$L$239,$A$120:$A$239,$A$23,$B$120:$B$239,K$11))</f>
        <v>0.0372458143918395</v>
      </c>
      <c r="L25" s="46" t="n">
        <f aca="false">V25/O25-1</f>
        <v>0.303508375887567</v>
      </c>
      <c r="M25" s="46" t="n">
        <f aca="false">IF($B23=0,"",(V25/O25)^(1/$B23)-1)</f>
        <v>0.0385916634976005</v>
      </c>
      <c r="N25" s="43"/>
      <c r="O25" s="47" t="n">
        <v>100</v>
      </c>
      <c r="P25" s="45" t="n">
        <f aca="false">IF(E25="",O25,O25*(1+E25))</f>
        <v>103.330158698471</v>
      </c>
      <c r="Q25" s="45" t="n">
        <f aca="false">IF(F25="",P25,P25*(1+F25))</f>
        <v>106.807950503037</v>
      </c>
      <c r="R25" s="45" t="n">
        <f aca="false">IF(G25="",Q25,Q25*(1+G25))</f>
        <v>110.179016524653</v>
      </c>
      <c r="S25" s="45" t="n">
        <f aca="false">IF(H25="",R25,R25*(1+H25))</f>
        <v>116.617617861017</v>
      </c>
      <c r="T25" s="45" t="n">
        <f aca="false">IF(I25="",S25,S25*(1+I25))</f>
        <v>121.053390719428</v>
      </c>
      <c r="U25" s="45" t="n">
        <f aca="false">IF(J25="",T25,T25*(1+J25))</f>
        <v>125.670150489047</v>
      </c>
      <c r="V25" s="45" t="n">
        <f aca="false">IF(K25="",U25,U25*(1+K25))</f>
        <v>130.350837588757</v>
      </c>
    </row>
    <row r="26" customFormat="false" ht="15" hidden="false" customHeight="false" outlineLevel="0" collapsed="false">
      <c r="A26" s="4" t="s">
        <v>22</v>
      </c>
      <c r="B26" s="8" t="n">
        <f aca="false">COUNT(E26:K26)</f>
        <v>7</v>
      </c>
      <c r="C26" s="40" t="n">
        <f aca="false">SUMIFS($E$120:$E$239,$A$120:$A$239,$A26,$B$120:$B$239,K$11)/1000</f>
        <v>166.43</v>
      </c>
      <c r="D26" s="41" t="s">
        <v>104</v>
      </c>
      <c r="E26" s="13" t="n">
        <f aca="false">IF(SUMIFS($C$120:$C$239,$A$120:$A$239,$A$26,$B$120:$B$239,E$11)=0,"",SUMIFS($N$120:$N$239,$A$120:$A$239,$A$26,$B$120:$B$239,E$11))</f>
        <v>0.179839676133476</v>
      </c>
      <c r="F26" s="13" t="n">
        <f aca="false">IF(SUMIFS($C$120:$C$239,$A$120:$A$239,$A$26,$B$120:$B$239,F$11)=0,"",SUMIFS($N$120:$N$239,$A$120:$A$239,$A$26,$B$120:$B$239,F$11))</f>
        <v>0.227852668947948</v>
      </c>
      <c r="G26" s="13" t="n">
        <f aca="false">IF(SUMIFS($C$120:$C$239,$A$120:$A$239,$A$26,$B$120:$B$239,G$11)=0,"",SUMIFS($N$120:$N$239,$A$120:$A$239,$A$26,$B$120:$B$239,G$11))</f>
        <v>0.474229505240528</v>
      </c>
      <c r="H26" s="13" t="n">
        <f aca="false">IF(SUMIFS($C$120:$C$239,$A$120:$A$239,$A$26,$B$120:$B$239,H$11)=0,"",SUMIFS($N$120:$N$239,$A$120:$A$239,$A$26,$B$120:$B$239,H$11))</f>
        <v>0.201442730467258</v>
      </c>
      <c r="I26" s="13" t="n">
        <f aca="false">IF(SUMIFS($C$120:$C$239,$A$120:$A$239,$A$26,$B$120:$B$239,I$11)=0,"",SUMIFS($N$120:$N$239,$A$120:$A$239,$A$26,$B$120:$B$239,I$11))</f>
        <v>-0.100992814836392</v>
      </c>
      <c r="J26" s="13" t="n">
        <f aca="false">IF(SUMIFS($C$120:$C$239,$A$120:$A$239,$A$26,$B$120:$B$239,J$11)=0,"",SUMIFS($N$120:$N$239,$A$120:$A$239,$A$26,$B$120:$B$239,J$11))</f>
        <v>0.117045454545455</v>
      </c>
      <c r="K26" s="13" t="n">
        <f aca="false">IF(SUMIFS($C$120:$C$239,$A$120:$A$239,$A$26,$B$120:$B$239,K$11)=0,"",SUMIFS($N$120:$N$239,$A$120:$A$239,$A$26,$B$120:$B$239,K$11))</f>
        <v>0.105675172303567</v>
      </c>
      <c r="L26" s="13" t="n">
        <f aca="false">V26/O26-1</f>
        <v>1.84904293680737</v>
      </c>
      <c r="M26" s="13" t="n">
        <f aca="false">IF($B26=0,"",(V26/O26)^(1/$B26)-1)</f>
        <v>0.16133362100918</v>
      </c>
      <c r="O26" s="42" t="n">
        <v>100</v>
      </c>
      <c r="P26" s="40" t="n">
        <f aca="false">IF(E26="",O26,O26*(1+E26))</f>
        <v>117.983967613348</v>
      </c>
      <c r="Q26" s="40" t="n">
        <f aca="false">IF(F26="",P26,P26*(1+F26))</f>
        <v>144.866929527117</v>
      </c>
      <c r="R26" s="40" t="n">
        <f aca="false">IF(G26="",Q26,Q26*(1+G26))</f>
        <v>213.567101842476</v>
      </c>
      <c r="S26" s="40" t="n">
        <f aca="false">IF(H26="",R26,R26*(1+H26))</f>
        <v>256.588641975604</v>
      </c>
      <c r="T26" s="40" t="n">
        <f aca="false">IF(I26="",S26,S26*(1+I26))</f>
        <v>230.67503276744</v>
      </c>
      <c r="U26" s="40" t="n">
        <f aca="false">IF(J26="",T26,T26*(1+J26))</f>
        <v>257.674496829993</v>
      </c>
      <c r="V26" s="40" t="n">
        <f aca="false">IF(K26="",U26,U26*(1+K26))</f>
        <v>284.904293680737</v>
      </c>
    </row>
    <row r="27" customFormat="false" ht="15" hidden="false" customHeight="false" outlineLevel="0" collapsed="false">
      <c r="D27" s="41" t="s">
        <v>105</v>
      </c>
      <c r="E27" s="13" t="n">
        <f aca="false">IF(SUMIFS($C$120:$C$239,$A$120:$A$239,$A$26,$B$120:$B$239,E$11)=0,"",SUMIFS($M$120:$M$239,$A$120:$A$239,$A$26,$B$120:$B$239,E$11))</f>
        <v>0.152163475689218</v>
      </c>
      <c r="F27" s="13" t="n">
        <f aca="false">IF(SUMIFS($C$120:$C$239,$A$120:$A$239,$A$26,$B$120:$B$239,F$11)=0,"",SUMIFS($M$120:$M$239,$A$120:$A$239,$A$26,$B$120:$B$239,F$11))</f>
        <v>0.19373143946817</v>
      </c>
      <c r="G27" s="13" t="n">
        <f aca="false">IF(SUMIFS($C$120:$C$239,$A$120:$A$239,$A$26,$B$120:$B$239,G$11)=0,"",SUMIFS($M$120:$M$239,$A$120:$A$239,$A$26,$B$120:$B$239,G$11))</f>
        <v>0.435310497275005</v>
      </c>
      <c r="H27" s="13" t="n">
        <f aca="false">IF(SUMIFS($C$120:$C$239,$A$120:$A$239,$A$26,$B$120:$B$239,H$11)=0,"",SUMIFS($M$120:$M$239,$A$120:$A$239,$A$26,$B$120:$B$239,H$11))</f>
        <v>0.145464227781846</v>
      </c>
      <c r="I27" s="13" t="n">
        <f aca="false">IF(SUMIFS($C$120:$C$239,$A$120:$A$239,$A$26,$B$120:$B$239,I$11)=0,"",SUMIFS($M$120:$M$239,$A$120:$A$239,$A$26,$B$120:$B$239,I$11))</f>
        <v>-0.133593067288086</v>
      </c>
      <c r="J27" s="13" t="n">
        <f aca="false">IF(SUMIFS($C$120:$C$239,$A$120:$A$239,$A$26,$B$120:$B$239,J$11)=0,"",SUMIFS($M$120:$M$239,$A$120:$A$239,$A$26,$B$120:$B$239,J$11))</f>
        <v>0.0764169472502806</v>
      </c>
      <c r="K27" s="13" t="n">
        <f aca="false">IF(SUMIFS($C$120:$C$239,$A$120:$A$239,$A$26,$B$120:$B$239,K$11)=0,"",SUMIFS($M$120:$M$239,$A$120:$A$239,$A$26,$B$120:$B$239,K$11))</f>
        <v>0.0657574996493586</v>
      </c>
      <c r="L27" s="13" t="n">
        <f aca="false">V27/O27-1</f>
        <v>1.24754797505951</v>
      </c>
      <c r="M27" s="13" t="n">
        <f aca="false">IF($B26=0,"",(V27/O27)^(1/$B26)-1)</f>
        <v>0.122649374384171</v>
      </c>
      <c r="O27" s="42" t="n">
        <v>100</v>
      </c>
      <c r="P27" s="40" t="n">
        <f aca="false">IF(E27="",O27,O27*(1+E27))</f>
        <v>115.216347568922</v>
      </c>
      <c r="Q27" s="40" t="n">
        <f aca="false">IF(F27="",P27,P27*(1+F27))</f>
        <v>137.537376433714</v>
      </c>
      <c r="R27" s="40" t="n">
        <f aca="false">IF(G27="",Q27,Q27*(1+G27))</f>
        <v>197.408840162974</v>
      </c>
      <c r="S27" s="40" t="n">
        <f aca="false">IF(H27="",R27,R27*(1+H27))</f>
        <v>226.12476465459</v>
      </c>
      <c r="T27" s="40" t="n">
        <f aca="false">IF(I27="",S27,S27*(1+I27))</f>
        <v>195.916063754587</v>
      </c>
      <c r="U27" s="40" t="n">
        <f aca="false">IF(J27="",T27,T27*(1+J27))</f>
        <v>210.887371264004</v>
      </c>
      <c r="V27" s="40" t="n">
        <f aca="false">IF(K27="",U27,U27*(1+K27))</f>
        <v>224.754797505951</v>
      </c>
    </row>
    <row r="28" customFormat="false" ht="15" hidden="false" customHeight="false" outlineLevel="0" collapsed="false">
      <c r="A28" s="43"/>
      <c r="B28" s="43"/>
      <c r="C28" s="43"/>
      <c r="D28" s="44" t="s">
        <v>106</v>
      </c>
      <c r="E28" s="46" t="n">
        <f aca="false">IF(SUMIFS($C$120:$C$239,$A$120:$A$239,$A$26,$B$120:$B$239,E$11)=0,"",SUMIFS($L$120:$L$239,$A$120:$A$239,$A$26,$B$120:$B$239,E$11))</f>
        <v>0.0276762004442579</v>
      </c>
      <c r="F28" s="46" t="n">
        <f aca="false">IF(SUMIFS($C$120:$C$239,$A$120:$A$239,$A$26,$B$120:$B$239,F$11)=0,"",SUMIFS($L$120:$L$239,$A$120:$A$239,$A$26,$B$120:$B$239,F$11))</f>
        <v>0.0341212294797775</v>
      </c>
      <c r="G28" s="46" t="n">
        <f aca="false">IF(SUMIFS($C$120:$C$239,$A$120:$A$239,$A$26,$B$120:$B$239,G$11)=0,"",SUMIFS($L$120:$L$239,$A$120:$A$239,$A$26,$B$120:$B$239,G$11))</f>
        <v>0.0389190079655229</v>
      </c>
      <c r="H28" s="46" t="n">
        <f aca="false">IF(SUMIFS($C$120:$C$239,$A$120:$A$239,$A$26,$B$120:$B$239,H$11)=0,"",SUMIFS($L$120:$L$239,$A$120:$A$239,$A$26,$B$120:$B$239,H$11))</f>
        <v>0.0559785026854126</v>
      </c>
      <c r="I28" s="46" t="n">
        <f aca="false">IF(SUMIFS($C$120:$C$239,$A$120:$A$239,$A$26,$B$120:$B$239,I$11)=0,"",SUMIFS($L$120:$L$239,$A$120:$A$239,$A$26,$B$120:$B$239,I$11))</f>
        <v>0.0326002524516943</v>
      </c>
      <c r="J28" s="46" t="n">
        <f aca="false">IF(SUMIFS($C$120:$C$239,$A$120:$A$239,$A$26,$B$120:$B$239,J$11)=0,"",SUMIFS($L$120:$L$239,$A$120:$A$239,$A$26,$B$120:$B$239,J$11))</f>
        <v>0.040628507295174</v>
      </c>
      <c r="K28" s="46" t="n">
        <f aca="false">IF(SUMIFS($C$120:$C$239,$A$120:$A$239,$A$26,$B$120:$B$239,K$11)=0,"",SUMIFS($L$120:$L$239,$A$120:$A$239,$A$26,$B$120:$B$239,K$11))</f>
        <v>0.0399176726542088</v>
      </c>
      <c r="L28" s="46" t="n">
        <f aca="false">V28/O28-1</f>
        <v>0.302841028239213</v>
      </c>
      <c r="M28" s="46" t="n">
        <f aca="false">IF($B26=0,"",(V28/O28)^(1/$B26)-1)</f>
        <v>0.0385156868004579</v>
      </c>
      <c r="N28" s="43"/>
      <c r="O28" s="47" t="n">
        <v>100</v>
      </c>
      <c r="P28" s="45" t="n">
        <f aca="false">IF(E28="",O28,O28*(1+E28))</f>
        <v>102.767620044426</v>
      </c>
      <c r="Q28" s="45" t="n">
        <f aca="false">IF(F28="",P28,P28*(1+F28))</f>
        <v>106.274177591052</v>
      </c>
      <c r="R28" s="45" t="n">
        <f aca="false">IF(G28="",Q28,Q28*(1+G28))</f>
        <v>110.410263155248</v>
      </c>
      <c r="S28" s="45" t="n">
        <f aca="false">IF(H28="",R28,R28*(1+H28))</f>
        <v>116.590864367781</v>
      </c>
      <c r="T28" s="45" t="n">
        <f aca="false">IF(I28="",S28,S28*(1+I28))</f>
        <v>120.391755979732</v>
      </c>
      <c r="U28" s="45" t="n">
        <f aca="false">IF(J28="",T28,T28*(1+J28))</f>
        <v>125.283093315833</v>
      </c>
      <c r="V28" s="45" t="n">
        <f aca="false">IF(K28="",U28,U28*(1+K28))</f>
        <v>130.284102823921</v>
      </c>
    </row>
    <row r="29" customFormat="false" ht="15" hidden="false" customHeight="false" outlineLevel="0" collapsed="false">
      <c r="A29" s="4" t="s">
        <v>23</v>
      </c>
      <c r="B29" s="8" t="n">
        <f aca="false">COUNT(E29:K29)</f>
        <v>7</v>
      </c>
      <c r="C29" s="40" t="n">
        <f aca="false">SUMIFS($E$120:$E$239,$A$120:$A$239,$A29,$B$120:$B$239,K$11)/1000</f>
        <v>222.86</v>
      </c>
      <c r="D29" s="41" t="s">
        <v>104</v>
      </c>
      <c r="E29" s="13" t="n">
        <f aca="false">IF(SUMIFS($C$120:$C$239,$A$120:$A$239,$A$29,$B$120:$B$239,E$11)=0,"",SUMIFS($N$120:$N$239,$A$120:$A$239,$A$29,$B$120:$B$239,E$11))</f>
        <v>0.609640190088255</v>
      </c>
      <c r="F29" s="13" t="n">
        <f aca="false">IF(SUMIFS($C$120:$C$239,$A$120:$A$239,$A$29,$B$120:$B$239,F$11)=0,"",SUMIFS($N$120:$N$239,$A$120:$A$239,$A$29,$B$120:$B$239,F$11))</f>
        <v>-0.132910556216145</v>
      </c>
      <c r="G29" s="13" t="n">
        <f aca="false">IF(SUMIFS($C$120:$C$239,$A$120:$A$239,$A$29,$B$120:$B$239,G$11)=0,"",SUMIFS($N$120:$N$239,$A$120:$A$239,$A$29,$B$120:$B$239,G$11))</f>
        <v>0.46341092763309</v>
      </c>
      <c r="H29" s="13" t="n">
        <f aca="false">IF(SUMIFS($C$120:$C$239,$A$120:$A$239,$A$29,$B$120:$B$239,H$11)=0,"",SUMIFS($N$120:$N$239,$A$120:$A$239,$A$29,$B$120:$B$239,H$11))</f>
        <v>0.173731643637184</v>
      </c>
      <c r="I29" s="13" t="n">
        <f aca="false">IF(SUMIFS($C$120:$C$239,$A$120:$A$239,$A$29,$B$120:$B$239,I$11)=0,"",SUMIFS($N$120:$N$239,$A$120:$A$239,$A$29,$B$120:$B$239,I$11))</f>
        <v>0.345294838621817</v>
      </c>
      <c r="J29" s="13" t="n">
        <f aca="false">IF(SUMIFS($C$120:$C$239,$A$120:$A$239,$A$29,$B$120:$B$239,J$11)=0,"",SUMIFS($N$120:$N$239,$A$120:$A$239,$A$29,$B$120:$B$239,J$11))</f>
        <v>0.143266213351718</v>
      </c>
      <c r="K29" s="13" t="n">
        <f aca="false">IF(SUMIFS($C$120:$C$239,$A$120:$A$239,$A$29,$B$120:$B$239,K$11)=0,"",SUMIFS($N$120:$N$239,$A$120:$A$239,$A$29,$B$120:$B$239,K$11))</f>
        <v>0.143842695599489</v>
      </c>
      <c r="L29" s="13" t="n">
        <f aca="false">V29/O29-1</f>
        <v>3.21753758326195</v>
      </c>
      <c r="M29" s="13" t="n">
        <f aca="false">IF($B29=0,"",(V29/O29)^(1/$B29)-1)</f>
        <v>0.22827082817287</v>
      </c>
      <c r="O29" s="42" t="n">
        <v>100</v>
      </c>
      <c r="P29" s="40" t="n">
        <f aca="false">IF(E29="",O29,O29*(1+E29))</f>
        <v>160.964019008826</v>
      </c>
      <c r="Q29" s="40" t="n">
        <f aca="false">IF(F29="",P29,P29*(1+F29))</f>
        <v>139.570201711576</v>
      </c>
      <c r="R29" s="40" t="n">
        <f aca="false">IF(G29="",Q29,Q29*(1+G29))</f>
        <v>204.248558356676</v>
      </c>
      <c r="S29" s="40" t="n">
        <f aca="false">IF(H29="",R29,R29*(1+H29))</f>
        <v>239.732996110506</v>
      </c>
      <c r="T29" s="40" t="n">
        <f aca="false">IF(I29="",S29,S29*(1+I29))</f>
        <v>322.511562314808</v>
      </c>
      <c r="U29" s="40" t="n">
        <f aca="false">IF(J29="",T29,T29*(1+J29))</f>
        <v>368.716572609797</v>
      </c>
      <c r="V29" s="40" t="n">
        <f aca="false">IF(K29="",U29,U29*(1+K29))</f>
        <v>421.753758326195</v>
      </c>
    </row>
    <row r="30" customFormat="false" ht="15" hidden="false" customHeight="false" outlineLevel="0" collapsed="false">
      <c r="D30" s="41" t="s">
        <v>105</v>
      </c>
      <c r="E30" s="13" t="n">
        <f aca="false">IF(SUMIFS($C$120:$C$239,$A$120:$A$239,$A$29,$B$120:$B$239,E$11)=0,"",SUMIFS($M$120:$M$239,$A$120:$A$239,$A$29,$B$120:$B$239,E$11))</f>
        <v>0.609640190088255</v>
      </c>
      <c r="F30" s="13" t="n">
        <f aca="false">IF(SUMIFS($C$120:$C$239,$A$120:$A$239,$A$29,$B$120:$B$239,F$11)=0,"",SUMIFS($M$120:$M$239,$A$120:$A$239,$A$29,$B$120:$B$239,F$11))</f>
        <v>-0.137719645924164</v>
      </c>
      <c r="G30" s="13" t="n">
        <f aca="false">IF(SUMIFS($C$120:$C$239,$A$120:$A$239,$A$29,$B$120:$B$239,G$11)=0,"",SUMIFS($M$120:$M$239,$A$120:$A$239,$A$29,$B$120:$B$239,G$11))</f>
        <v>0.43623547131701</v>
      </c>
      <c r="H30" s="13" t="n">
        <f aca="false">IF(SUMIFS($C$120:$C$239,$A$120:$A$239,$A$29,$B$120:$B$239,H$11)=0,"",SUMIFS($M$120:$M$239,$A$120:$A$239,$A$29,$B$120:$B$239,H$11))</f>
        <v>0.143667542741159</v>
      </c>
      <c r="I30" s="13" t="n">
        <f aca="false">IF(SUMIFS($C$120:$C$239,$A$120:$A$239,$A$29,$B$120:$B$239,I$11)=0,"",SUMIFS($M$120:$M$239,$A$120:$A$239,$A$29,$B$120:$B$239,I$11))</f>
        <v>0.323974457911541</v>
      </c>
      <c r="J30" s="13" t="n">
        <f aca="false">IF(SUMIFS($C$120:$C$239,$A$120:$A$239,$A$29,$B$120:$B$239,J$11)=0,"",SUMIFS($M$120:$M$239,$A$120:$A$239,$A$29,$B$120:$B$239,J$11))</f>
        <v>0.124757918946829</v>
      </c>
      <c r="K30" s="13" t="n">
        <f aca="false">IF(SUMIFS($C$120:$C$239,$A$120:$A$239,$A$29,$B$120:$B$239,K$11)=0,"",SUMIFS($M$120:$M$239,$A$120:$A$239,$A$29,$B$120:$B$239,K$11))</f>
        <v>0.125503413794684</v>
      </c>
      <c r="L30" s="13" t="n">
        <f aca="false">V30/O30-1</f>
        <v>2.82109843749754</v>
      </c>
      <c r="M30" s="13" t="n">
        <f aca="false">IF($B29=0,"",(V30/O30)^(1/$B29)-1)</f>
        <v>0.211071395462621</v>
      </c>
      <c r="O30" s="42" t="n">
        <v>100</v>
      </c>
      <c r="P30" s="40" t="n">
        <f aca="false">IF(E30="",O30,O30*(1+E30))</f>
        <v>160.964019008826</v>
      </c>
      <c r="Q30" s="40" t="n">
        <f aca="false">IF(F30="",P30,P30*(1+F30))</f>
        <v>138.7961113044</v>
      </c>
      <c r="R30" s="40" t="n">
        <f aca="false">IF(G30="",Q30,Q30*(1+G30))</f>
        <v>199.343898336243</v>
      </c>
      <c r="S30" s="40" t="n">
        <f aca="false">IF(H30="",R30,R30*(1+H30))</f>
        <v>227.983146370654</v>
      </c>
      <c r="T30" s="40" t="n">
        <f aca="false">IF(I30="",S30,S30*(1+I30))</f>
        <v>301.843862629054</v>
      </c>
      <c r="U30" s="40" t="n">
        <f aca="false">IF(J30="",T30,T30*(1+J30))</f>
        <v>339.501274777528</v>
      </c>
      <c r="V30" s="40" t="n">
        <f aca="false">IF(K30="",U30,U30*(1+K30))</f>
        <v>382.109843749754</v>
      </c>
    </row>
    <row r="31" customFormat="false" ht="15" hidden="false" customHeight="false" outlineLevel="0" collapsed="false">
      <c r="A31" s="43"/>
      <c r="B31" s="43"/>
      <c r="C31" s="43"/>
      <c r="D31" s="44" t="s">
        <v>106</v>
      </c>
      <c r="E31" s="46" t="n">
        <f aca="false">IF(SUMIFS($C$120:$C$239,$A$120:$A$239,$A$29,$B$120:$B$239,E$11)=0,"",SUMIFS($L$120:$L$239,$A$120:$A$239,$A$29,$B$120:$B$239,E$11))</f>
        <v>0</v>
      </c>
      <c r="F31" s="46" t="n">
        <f aca="false">IF(SUMIFS($C$120:$C$239,$A$120:$A$239,$A$29,$B$120:$B$239,F$11)=0,"",SUMIFS($L$120:$L$239,$A$120:$A$239,$A$29,$B$120:$B$239,F$11))</f>
        <v>0.00480908970801955</v>
      </c>
      <c r="G31" s="46" t="n">
        <f aca="false">IF(SUMIFS($C$120:$C$239,$A$120:$A$239,$A$29,$B$120:$B$239,G$11)=0,"",SUMIFS($L$120:$L$239,$A$120:$A$239,$A$29,$B$120:$B$239,G$11))</f>
        <v>0.0271754563160802</v>
      </c>
      <c r="H31" s="46" t="n">
        <f aca="false">IF(SUMIFS($C$120:$C$239,$A$120:$A$239,$A$29,$B$120:$B$239,H$11)=0,"",SUMIFS($L$120:$L$239,$A$120:$A$239,$A$29,$B$120:$B$239,H$11))</f>
        <v>0.0300641008960247</v>
      </c>
      <c r="I31" s="46" t="n">
        <f aca="false">IF(SUMIFS($C$120:$C$239,$A$120:$A$239,$A$29,$B$120:$B$239,I$11)=0,"",SUMIFS($L$120:$L$239,$A$120:$A$239,$A$29,$B$120:$B$239,I$11))</f>
        <v>0.0213203807102759</v>
      </c>
      <c r="J31" s="46" t="n">
        <f aca="false">IF(SUMIFS($C$120:$C$239,$A$120:$A$239,$A$29,$B$120:$B$239,J$11)=0,"",SUMIFS($L$120:$L$239,$A$120:$A$239,$A$29,$B$120:$B$239,J$11))</f>
        <v>0.0185082944048883</v>
      </c>
      <c r="K31" s="46" t="n">
        <f aca="false">IF(SUMIFS($C$120:$C$239,$A$120:$A$239,$A$29,$B$120:$B$239,K$11)=0,"",SUMIFS($L$120:$L$239,$A$120:$A$239,$A$29,$B$120:$B$239,K$11))</f>
        <v>0.0183392818048053</v>
      </c>
      <c r="L31" s="46" t="n">
        <f aca="false">V31/O31-1</f>
        <v>0.126189582687576</v>
      </c>
      <c r="M31" s="46" t="n">
        <f aca="false">IF($B29=0,"",(V31/O31)^(1/$B29)-1)</f>
        <v>0.0171220566749857</v>
      </c>
      <c r="N31" s="43"/>
      <c r="O31" s="47" t="n">
        <v>100</v>
      </c>
      <c r="P31" s="45" t="n">
        <f aca="false">IF(E31="",O31,O31*(1+E31))</f>
        <v>100</v>
      </c>
      <c r="Q31" s="45" t="n">
        <f aca="false">IF(F31="",P31,P31*(1+F31))</f>
        <v>100.480908970802</v>
      </c>
      <c r="R31" s="45" t="n">
        <f aca="false">IF(G31="",Q31,Q31*(1+G31))</f>
        <v>103.211523523138</v>
      </c>
      <c r="S31" s="45" t="n">
        <f aca="false">IF(H31="",R31,R31*(1+H31))</f>
        <v>106.31448517997</v>
      </c>
      <c r="T31" s="45" t="n">
        <f aca="false">IF(I31="",S31,S31*(1+I31))</f>
        <v>108.581150479024</v>
      </c>
      <c r="U31" s="45" t="n">
        <f aca="false">IF(J31="",T31,T31*(1+J31))</f>
        <v>110.590802378911</v>
      </c>
      <c r="V31" s="45" t="n">
        <f aca="false">IF(K31="",U31,U31*(1+K31))</f>
        <v>112.618958268758</v>
      </c>
    </row>
    <row r="32" customFormat="false" ht="15" hidden="false" customHeight="false" outlineLevel="0" collapsed="false">
      <c r="A32" s="4" t="s">
        <v>24</v>
      </c>
      <c r="B32" s="8" t="n">
        <f aca="false">COUNT(E32:K32)</f>
        <v>6</v>
      </c>
      <c r="C32" s="40" t="n">
        <f aca="false">SUMIFS($E$120:$E$239,$A$120:$A$239,$A32,$B$120:$B$239,K$11)/1000</f>
        <v>187.6</v>
      </c>
      <c r="D32" s="41" t="s">
        <v>104</v>
      </c>
      <c r="E32" s="13" t="str">
        <f aca="false">IF(SUMIFS($C$120:$C$239,$A$120:$A$239,$A$32,$B$120:$B$239,E$11)=0,"",SUMIFS($N$120:$N$239,$A$120:$A$239,$A$32,$B$120:$B$239,E$11))</f>
        <v/>
      </c>
      <c r="F32" s="13" t="n">
        <f aca="false">IF(SUMIFS($C$120:$C$239,$A$120:$A$239,$A$32,$B$120:$B$239,F$11)=0,"",SUMIFS($N$120:$N$239,$A$120:$A$239,$A$32,$B$120:$B$239,F$11))</f>
        <v>1.21461659649328</v>
      </c>
      <c r="G32" s="13" t="n">
        <f aca="false">IF(SUMIFS($C$120:$C$239,$A$120:$A$239,$A$32,$B$120:$B$239,G$11)=0,"",SUMIFS($N$120:$N$239,$A$120:$A$239,$A$32,$B$120:$B$239,G$11))</f>
        <v>0.963452916603662</v>
      </c>
      <c r="H32" s="13" t="n">
        <f aca="false">IF(SUMIFS($C$120:$C$239,$A$120:$A$239,$A$32,$B$120:$B$239,H$11)=0,"",SUMIFS($N$120:$N$239,$A$120:$A$239,$A$32,$B$120:$B$239,H$11))</f>
        <v>0.326990592086358</v>
      </c>
      <c r="I32" s="13" t="n">
        <f aca="false">IF(SUMIFS($C$120:$C$239,$A$120:$A$239,$A$32,$B$120:$B$239,I$11)=0,"",SUMIFS($N$120:$N$239,$A$120:$A$239,$A$32,$B$120:$B$239,I$11))</f>
        <v>0.793489008899369</v>
      </c>
      <c r="J32" s="13" t="n">
        <f aca="false">IF(SUMIFS($C$120:$C$239,$A$120:$A$239,$A$32,$B$120:$B$239,J$11)=0,"",SUMIFS($N$120:$N$239,$A$120:$A$239,$A$32,$B$120:$B$239,J$11))</f>
        <v>0.103429546407212</v>
      </c>
      <c r="K32" s="13" t="n">
        <f aca="false">IF(SUMIFS($C$120:$C$239,$A$120:$A$239,$A$32,$B$120:$B$239,K$11)=0,"",SUMIFS($N$120:$N$239,$A$120:$A$239,$A$32,$B$120:$B$239,K$11))</f>
        <v>0.0821991675607057</v>
      </c>
      <c r="L32" s="13" t="n">
        <f aca="false">V32/O32-1</f>
        <v>11.357693212438</v>
      </c>
      <c r="M32" s="13" t="n">
        <f aca="false">IF($B32=0,"",(V32/O32)^(1/$B32)-1)</f>
        <v>0.520511006559666</v>
      </c>
      <c r="O32" s="42" t="n">
        <v>100</v>
      </c>
      <c r="P32" s="40" t="n">
        <f aca="false">IF(E32="",O32,O32*(1+E32))</f>
        <v>100</v>
      </c>
      <c r="Q32" s="40" t="n">
        <f aca="false">IF(F32="",P32,P32*(1+F32))</f>
        <v>221.461659649328</v>
      </c>
      <c r="R32" s="40" t="n">
        <f aca="false">IF(G32="",Q32,Q32*(1+G32))</f>
        <v>434.82954155436</v>
      </c>
      <c r="S32" s="40" t="n">
        <f aca="false">IF(H32="",R32,R32*(1+H32))</f>
        <v>577.01471080386</v>
      </c>
      <c r="T32" s="40" t="n">
        <f aca="false">IF(I32="",S32,S32*(1+I32))</f>
        <v>1034.86954179997</v>
      </c>
      <c r="U32" s="40" t="n">
        <f aca="false">IF(J32="",T32,T32*(1+J32))</f>
        <v>1141.90562909898</v>
      </c>
      <c r="V32" s="40" t="n">
        <f aca="false">IF(K32="",U32,U32*(1+K32))</f>
        <v>1235.7693212438</v>
      </c>
    </row>
    <row r="33" customFormat="false" ht="15" hidden="false" customHeight="false" outlineLevel="0" collapsed="false">
      <c r="D33" s="41" t="s">
        <v>105</v>
      </c>
      <c r="E33" s="13" t="str">
        <f aca="false">IF(SUMIFS($C$120:$C$239,$A$120:$A$239,$A$32,$B$120:$B$239,E$11)=0,"",SUMIFS($M$120:$M$239,$A$120:$A$239,$A$32,$B$120:$B$239,E$11))</f>
        <v/>
      </c>
      <c r="F33" s="13" t="n">
        <f aca="false">IF(SUMIFS($C$120:$C$239,$A$120:$A$239,$A$32,$B$120:$B$239,F$11)=0,"",SUMIFS($M$120:$M$239,$A$120:$A$239,$A$32,$B$120:$B$239,F$11))</f>
        <v>1.09510961912376</v>
      </c>
      <c r="G33" s="13" t="n">
        <f aca="false">IF(SUMIFS($C$120:$C$239,$A$120:$A$239,$A$32,$B$120:$B$239,G$11)=0,"",SUMIFS($M$120:$M$239,$A$120:$A$239,$A$32,$B$120:$B$239,G$11))</f>
        <v>0.856674632556672</v>
      </c>
      <c r="H33" s="13" t="n">
        <f aca="false">IF(SUMIFS($C$120:$C$239,$A$120:$A$239,$A$32,$B$120:$B$239,H$11)=0,"",SUMIFS($M$120:$M$239,$A$120:$A$239,$A$32,$B$120:$B$239,H$11))</f>
        <v>0.2282637214358</v>
      </c>
      <c r="I33" s="13" t="n">
        <f aca="false">IF(SUMIFS($C$120:$C$239,$A$120:$A$239,$A$32,$B$120:$B$239,I$11)=0,"",SUMIFS($M$120:$M$239,$A$120:$A$239,$A$32,$B$120:$B$239,I$11))</f>
        <v>0.71930224892878</v>
      </c>
      <c r="J33" s="13" t="n">
        <f aca="false">IF(SUMIFS($C$120:$C$239,$A$120:$A$239,$A$32,$B$120:$B$239,J$11)=0,"",SUMIFS($M$120:$M$239,$A$120:$A$239,$A$32,$B$120:$B$239,J$11))</f>
        <v>0.058513056364055</v>
      </c>
      <c r="K33" s="13" t="n">
        <f aca="false">IF(SUMIFS($C$120:$C$239,$A$120:$A$239,$A$32,$B$120:$B$239,K$11)=0,"",SUMIFS($M$120:$M$239,$A$120:$A$239,$A$32,$B$120:$B$239,K$11))</f>
        <v>0.0252989647870315</v>
      </c>
      <c r="L33" s="13" t="n">
        <f aca="false">V33/O33-1</f>
        <v>7.91524224784248</v>
      </c>
      <c r="M33" s="13" t="n">
        <f aca="false">IF($B32=0,"",(V33/O33)^(1/$B32)-1)</f>
        <v>0.43997689838048</v>
      </c>
      <c r="O33" s="42" t="n">
        <v>100</v>
      </c>
      <c r="P33" s="40" t="n">
        <f aca="false">IF(E33="",O33,O33*(1+E33))</f>
        <v>100</v>
      </c>
      <c r="Q33" s="40" t="n">
        <f aca="false">IF(F33="",P33,P33*(1+F33))</f>
        <v>209.510961912376</v>
      </c>
      <c r="R33" s="40" t="n">
        <f aca="false">IF(G33="",Q33,Q33*(1+G33))</f>
        <v>388.993688225255</v>
      </c>
      <c r="S33" s="40" t="n">
        <f aca="false">IF(H33="",R33,R33*(1+H33))</f>
        <v>477.78683511459</v>
      </c>
      <c r="T33" s="40" t="n">
        <f aca="false">IF(I33="",S33,S33*(1+I33))</f>
        <v>821.459980121078</v>
      </c>
      <c r="U33" s="40" t="n">
        <f aca="false">IF(J33="",T33,T33*(1+J33))</f>
        <v>869.526114238718</v>
      </c>
      <c r="V33" s="40" t="n">
        <f aca="false">IF(K33="",U33,U33*(1+K33))</f>
        <v>891.524224784248</v>
      </c>
    </row>
    <row r="34" customFormat="false" ht="15" hidden="false" customHeight="false" outlineLevel="0" collapsed="false">
      <c r="A34" s="43"/>
      <c r="B34" s="43"/>
      <c r="C34" s="43"/>
      <c r="D34" s="44" t="s">
        <v>106</v>
      </c>
      <c r="E34" s="46" t="str">
        <f aca="false">IF(SUMIFS($C$120:$C$239,$A$120:$A$239,$A$32,$B$120:$B$239,E$11)=0,"",SUMIFS($L$120:$L$239,$A$120:$A$239,$A$32,$B$120:$B$239,E$11))</f>
        <v/>
      </c>
      <c r="F34" s="46" t="n">
        <f aca="false">IF(SUMIFS($C$120:$C$239,$A$120:$A$239,$A$32,$B$120:$B$239,F$11)=0,"",SUMIFS($L$120:$L$239,$A$120:$A$239,$A$32,$B$120:$B$239,F$11))</f>
        <v>0.119506977369518</v>
      </c>
      <c r="G34" s="46" t="n">
        <f aca="false">IF(SUMIFS($C$120:$C$239,$A$120:$A$239,$A$32,$B$120:$B$239,G$11)=0,"",SUMIFS($L$120:$L$239,$A$120:$A$239,$A$32,$B$120:$B$239,G$11))</f>
        <v>0.10677828404699</v>
      </c>
      <c r="H34" s="46" t="n">
        <f aca="false">IF(SUMIFS($C$120:$C$239,$A$120:$A$239,$A$32,$B$120:$B$239,H$11)=0,"",SUMIFS($L$120:$L$239,$A$120:$A$239,$A$32,$B$120:$B$239,H$11))</f>
        <v>0.0987268706505579</v>
      </c>
      <c r="I34" s="46" t="n">
        <f aca="false">IF(SUMIFS($C$120:$C$239,$A$120:$A$239,$A$32,$B$120:$B$239,I$11)=0,"",SUMIFS($L$120:$L$239,$A$120:$A$239,$A$32,$B$120:$B$239,I$11))</f>
        <v>0.074186759970589</v>
      </c>
      <c r="J34" s="46" t="n">
        <f aca="false">IF(SUMIFS($C$120:$C$239,$A$120:$A$239,$A$32,$B$120:$B$239,J$11)=0,"",SUMIFS($L$120:$L$239,$A$120:$A$239,$A$32,$B$120:$B$239,J$11))</f>
        <v>0.0449164900431571</v>
      </c>
      <c r="K34" s="46" t="n">
        <f aca="false">IF(SUMIFS($C$120:$C$239,$A$120:$A$239,$A$32,$B$120:$B$239,K$11)=0,"",SUMIFS($L$120:$L$239,$A$120:$A$239,$A$32,$B$120:$B$239,K$11))</f>
        <v>0.0569002027736743</v>
      </c>
      <c r="L34" s="46" t="n">
        <f aca="false">V34/O34-1</f>
        <v>0.615000046187658</v>
      </c>
      <c r="M34" s="46" t="n">
        <f aca="false">IF($B32=0,"",(V34/O34)^(1/$B32)-1)</f>
        <v>0.0831670073531186</v>
      </c>
      <c r="N34" s="43"/>
      <c r="O34" s="47" t="n">
        <v>100</v>
      </c>
      <c r="P34" s="45" t="n">
        <f aca="false">IF(E34="",O34,O34*(1+E34))</f>
        <v>100</v>
      </c>
      <c r="Q34" s="45" t="n">
        <f aca="false">IF(F34="",P34,P34*(1+F34))</f>
        <v>111.950697736952</v>
      </c>
      <c r="R34" s="45" t="n">
        <f aca="false">IF(G34="",Q34,Q34*(1+G34))</f>
        <v>123.904601139167</v>
      </c>
      <c r="S34" s="45" t="n">
        <f aca="false">IF(H34="",R34,R34*(1+H34))</f>
        <v>136.137314668842</v>
      </c>
      <c r="T34" s="45" t="n">
        <f aca="false">IF(I34="",S34,S34*(1+I34))</f>
        <v>146.23690095522</v>
      </c>
      <c r="U34" s="45" t="n">
        <f aca="false">IF(J34="",T34,T34*(1+J34))</f>
        <v>152.805349260917</v>
      </c>
      <c r="V34" s="45" t="n">
        <f aca="false">IF(K34="",U34,U34*(1+K34))</f>
        <v>161.500004618766</v>
      </c>
    </row>
    <row r="35" customFormat="false" ht="15" hidden="false" customHeight="false" outlineLevel="0" collapsed="false">
      <c r="A35" s="4" t="s">
        <v>25</v>
      </c>
      <c r="B35" s="8" t="n">
        <f aca="false">COUNT(E35:K35)</f>
        <v>7</v>
      </c>
      <c r="C35" s="40" t="n">
        <f aca="false">SUMIFS($E$120:$E$239,$A$120:$A$239,$A35,$B$120:$B$239,K$11)/1000</f>
        <v>412.09</v>
      </c>
      <c r="D35" s="41" t="s">
        <v>104</v>
      </c>
      <c r="E35" s="13" t="n">
        <f aca="false">IF(SUMIFS($C$120:$C$239,$A$120:$A$239,$A$35,$B$120:$B$239,E$11)=0,"",SUMIFS($N$120:$N$239,$A$120:$A$239,$A$35,$B$120:$B$239,E$11))</f>
        <v>0.323566960296183</v>
      </c>
      <c r="F35" s="13" t="n">
        <f aca="false">IF(SUMIFS($C$120:$C$239,$A$120:$A$239,$A$35,$B$120:$B$239,F$11)=0,"",SUMIFS($N$120:$N$239,$A$120:$A$239,$A$35,$B$120:$B$239,F$11))</f>
        <v>-0.0361707258258982</v>
      </c>
      <c r="G35" s="13" t="n">
        <f aca="false">IF(SUMIFS($C$120:$C$239,$A$120:$A$239,$A$35,$B$120:$B$239,G$11)=0,"",SUMIFS($N$120:$N$239,$A$120:$A$239,$A$35,$B$120:$B$239,G$11))</f>
        <v>0.113685263947961</v>
      </c>
      <c r="H35" s="13" t="n">
        <f aca="false">IF(SUMIFS($C$120:$C$239,$A$120:$A$239,$A$35,$B$120:$B$239,H$11)=0,"",SUMIFS($N$120:$N$239,$A$120:$A$239,$A$35,$B$120:$B$239,H$11))</f>
        <v>0.177786763714786</v>
      </c>
      <c r="I35" s="13" t="n">
        <f aca="false">IF(SUMIFS($C$120:$C$239,$A$120:$A$239,$A$35,$B$120:$B$239,I$11)=0,"",SUMIFS($N$120:$N$239,$A$120:$A$239,$A$35,$B$120:$B$239,I$11))</f>
        <v>0.164888990615702</v>
      </c>
      <c r="J35" s="13" t="n">
        <f aca="false">IF(SUMIFS($C$120:$C$239,$A$120:$A$239,$A$35,$B$120:$B$239,J$11)=0,"",SUMIFS($N$120:$N$239,$A$120:$A$239,$A$35,$B$120:$B$239,J$11))</f>
        <v>0.136844329216462</v>
      </c>
      <c r="K35" s="13" t="n">
        <f aca="false">IF(SUMIFS($C$120:$C$239,$A$120:$A$239,$A$35,$B$120:$B$239,K$11)=0,"",SUMIFS($N$120:$N$239,$A$120:$A$239,$A$35,$B$120:$B$239,K$11))</f>
        <v>0.188114801944594</v>
      </c>
      <c r="L35" s="13" t="n">
        <f aca="false">V35/O35-1</f>
        <v>1.63280758178998</v>
      </c>
      <c r="M35" s="13" t="n">
        <f aca="false">IF($B35=0,"",(V35/O35)^(1/$B35)-1)</f>
        <v>0.148311923317955</v>
      </c>
      <c r="O35" s="42" t="n">
        <v>100</v>
      </c>
      <c r="P35" s="40" t="n">
        <f aca="false">IF(E35="",O35,O35*(1+E35))</f>
        <v>132.356696029618</v>
      </c>
      <c r="Q35" s="40" t="n">
        <f aca="false">IF(F35="",P35,P35*(1+F35))</f>
        <v>127.569258266309</v>
      </c>
      <c r="R35" s="40" t="n">
        <f aca="false">IF(G35="",Q35,Q35*(1+G35))</f>
        <v>142.07200306396</v>
      </c>
      <c r="S35" s="40" t="n">
        <f aca="false">IF(H35="",R35,R35*(1+H35))</f>
        <v>167.330524703179</v>
      </c>
      <c r="T35" s="40" t="n">
        <f aca="false">IF(I35="",S35,S35*(1+I35))</f>
        <v>194.921486020682</v>
      </c>
      <c r="U35" s="40" t="n">
        <f aca="false">IF(J35="",T35,T35*(1+J35))</f>
        <v>221.595386025058</v>
      </c>
      <c r="V35" s="40" t="n">
        <f aca="false">IF(K35="",U35,U35*(1+K35))</f>
        <v>263.280758178998</v>
      </c>
    </row>
    <row r="36" customFormat="false" ht="15" hidden="false" customHeight="false" outlineLevel="0" collapsed="false">
      <c r="D36" s="41" t="s">
        <v>105</v>
      </c>
      <c r="E36" s="13" t="n">
        <f aca="false">IF(SUMIFS($C$120:$C$239,$A$120:$A$239,$A$35,$B$120:$B$239,E$11)=0,"",SUMIFS($M$120:$M$239,$A$120:$A$239,$A$35,$B$120:$B$239,E$11))</f>
        <v>0.323566960296183</v>
      </c>
      <c r="F36" s="13" t="n">
        <f aca="false">IF(SUMIFS($C$120:$C$239,$A$120:$A$239,$A$35,$B$120:$B$239,F$11)=0,"",SUMIFS($M$120:$M$239,$A$120:$A$239,$A$35,$B$120:$B$239,F$11))</f>
        <v>-0.0361707258258982</v>
      </c>
      <c r="G36" s="13" t="n">
        <f aca="false">IF(SUMIFS($C$120:$C$239,$A$120:$A$239,$A$35,$B$120:$B$239,G$11)=0,"",SUMIFS($M$120:$M$239,$A$120:$A$239,$A$35,$B$120:$B$239,G$11))</f>
        <v>0.113685263947961</v>
      </c>
      <c r="H36" s="13" t="n">
        <f aca="false">IF(SUMIFS($C$120:$C$239,$A$120:$A$239,$A$35,$B$120:$B$239,H$11)=0,"",SUMIFS($M$120:$M$239,$A$120:$A$239,$A$35,$B$120:$B$239,H$11))</f>
        <v>0.177786763714786</v>
      </c>
      <c r="I36" s="13" t="n">
        <f aca="false">IF(SUMIFS($C$120:$C$239,$A$120:$A$239,$A$35,$B$120:$B$239,I$11)=0,"",SUMIFS($M$120:$M$239,$A$120:$A$239,$A$35,$B$120:$B$239,I$11))</f>
        <v>0.164888990615702</v>
      </c>
      <c r="J36" s="13" t="n">
        <f aca="false">IF(SUMIFS($C$120:$C$239,$A$120:$A$239,$A$35,$B$120:$B$239,J$11)=0,"",SUMIFS($M$120:$M$239,$A$120:$A$239,$A$35,$B$120:$B$239,J$11))</f>
        <v>0.136349715105548</v>
      </c>
      <c r="K36" s="13" t="n">
        <f aca="false">IF(SUMIFS($C$120:$C$239,$A$120:$A$239,$A$35,$B$120:$B$239,K$11)=0,"",SUMIFS($M$120:$M$239,$A$120:$A$239,$A$35,$B$120:$B$239,K$11))</f>
        <v>0.187656470472932</v>
      </c>
      <c r="L36" s="13" t="n">
        <f aca="false">V36/O36-1</f>
        <v>1.63064690989607</v>
      </c>
      <c r="M36" s="13" t="n">
        <f aca="false">IF($B35=0,"",(V36/O36)^(1/$B35)-1)</f>
        <v>0.148177249139063</v>
      </c>
      <c r="O36" s="42" t="n">
        <v>100</v>
      </c>
      <c r="P36" s="40" t="n">
        <f aca="false">IF(E36="",O36,O36*(1+E36))</f>
        <v>132.356696029618</v>
      </c>
      <c r="Q36" s="40" t="n">
        <f aca="false">IF(F36="",P36,P36*(1+F36))</f>
        <v>127.569258266309</v>
      </c>
      <c r="R36" s="40" t="n">
        <f aca="false">IF(G36="",Q36,Q36*(1+G36))</f>
        <v>142.07200306396</v>
      </c>
      <c r="S36" s="40" t="n">
        <f aca="false">IF(H36="",R36,R36*(1+H36))</f>
        <v>167.330524703179</v>
      </c>
      <c r="T36" s="40" t="n">
        <f aca="false">IF(I36="",S36,S36*(1+I36))</f>
        <v>194.921486020682</v>
      </c>
      <c r="U36" s="40" t="n">
        <f aca="false">IF(J36="",T36,T36*(1+J36))</f>
        <v>221.498975107552</v>
      </c>
      <c r="V36" s="40" t="n">
        <f aca="false">IF(K36="",U36,U36*(1+K36))</f>
        <v>263.064690989607</v>
      </c>
    </row>
    <row r="37" customFormat="false" ht="15" hidden="false" customHeight="false" outlineLevel="0" collapsed="false">
      <c r="A37" s="43"/>
      <c r="B37" s="43"/>
      <c r="C37" s="43"/>
      <c r="D37" s="44" t="s">
        <v>106</v>
      </c>
      <c r="E37" s="46" t="n">
        <f aca="false">IF(SUMIFS($C$120:$C$239,$A$120:$A$239,$A$35,$B$120:$B$239,E$11)=0,"",SUMIFS($L$120:$L$239,$A$120:$A$239,$A$35,$B$120:$B$239,E$11))</f>
        <v>0</v>
      </c>
      <c r="F37" s="46" t="n">
        <f aca="false">IF(SUMIFS($C$120:$C$239,$A$120:$A$239,$A$35,$B$120:$B$239,F$11)=0,"",SUMIFS($L$120:$L$239,$A$120:$A$239,$A$35,$B$120:$B$239,F$11))</f>
        <v>0</v>
      </c>
      <c r="G37" s="46" t="n">
        <f aca="false">IF(SUMIFS($C$120:$C$239,$A$120:$A$239,$A$35,$B$120:$B$239,G$11)=0,"",SUMIFS($L$120:$L$239,$A$120:$A$239,$A$35,$B$120:$B$239,G$11))</f>
        <v>0</v>
      </c>
      <c r="H37" s="46" t="n">
        <f aca="false">IF(SUMIFS($C$120:$C$239,$A$120:$A$239,$A$35,$B$120:$B$239,H$11)=0,"",SUMIFS($L$120:$L$239,$A$120:$A$239,$A$35,$B$120:$B$239,H$11))</f>
        <v>0</v>
      </c>
      <c r="I37" s="46" t="n">
        <f aca="false">IF(SUMIFS($C$120:$C$239,$A$120:$A$239,$A$35,$B$120:$B$239,I$11)=0,"",SUMIFS($L$120:$L$239,$A$120:$A$239,$A$35,$B$120:$B$239,I$11))</f>
        <v>0</v>
      </c>
      <c r="J37" s="46" t="n">
        <f aca="false">IF(SUMIFS($C$120:$C$239,$A$120:$A$239,$A$35,$B$120:$B$239,J$11)=0,"",SUMIFS($L$120:$L$239,$A$120:$A$239,$A$35,$B$120:$B$239,J$11))</f>
        <v>0.000494614110914758</v>
      </c>
      <c r="K37" s="46" t="n">
        <f aca="false">IF(SUMIFS($C$120:$C$239,$A$120:$A$239,$A$35,$B$120:$B$239,K$11)=0,"",SUMIFS($L$120:$L$239,$A$120:$A$239,$A$35,$B$120:$B$239,K$11))</f>
        <v>0.000458331471661999</v>
      </c>
      <c r="L37" s="46" t="n">
        <f aca="false">V37/O37-1</f>
        <v>0.000953172279790193</v>
      </c>
      <c r="M37" s="46" t="n">
        <f aca="false">IF($B35=0,"",(V37/O37)^(1/$B35)-1)</f>
        <v>0.000136111876602563</v>
      </c>
      <c r="N37" s="43"/>
      <c r="O37" s="47" t="n">
        <v>100</v>
      </c>
      <c r="P37" s="45" t="n">
        <f aca="false">IF(E37="",O37,O37*(1+E37))</f>
        <v>100</v>
      </c>
      <c r="Q37" s="45" t="n">
        <f aca="false">IF(F37="",P37,P37*(1+F37))</f>
        <v>100</v>
      </c>
      <c r="R37" s="45" t="n">
        <f aca="false">IF(G37="",Q37,Q37*(1+G37))</f>
        <v>100</v>
      </c>
      <c r="S37" s="45" t="n">
        <f aca="false">IF(H37="",R37,R37*(1+H37))</f>
        <v>100</v>
      </c>
      <c r="T37" s="45" t="n">
        <f aca="false">IF(I37="",S37,S37*(1+I37))</f>
        <v>100</v>
      </c>
      <c r="U37" s="45" t="n">
        <f aca="false">IF(J37="",T37,T37*(1+J37))</f>
        <v>100.049461411091</v>
      </c>
      <c r="V37" s="45" t="n">
        <f aca="false">IF(K37="",U37,U37*(1+K37))</f>
        <v>100.095317227979</v>
      </c>
    </row>
    <row r="38" customFormat="false" ht="15" hidden="false" customHeight="false" outlineLevel="0" collapsed="false">
      <c r="A38" s="4" t="s">
        <v>26</v>
      </c>
      <c r="B38" s="8" t="n">
        <f aca="false">COUNT(E38:K38)</f>
        <v>7</v>
      </c>
      <c r="C38" s="40" t="n">
        <f aca="false">SUMIFS($E$120:$E$239,$A$120:$A$239,$A38,$B$120:$B$239,K$11)/1000</f>
        <v>450.91</v>
      </c>
      <c r="D38" s="41" t="s">
        <v>104</v>
      </c>
      <c r="E38" s="13" t="n">
        <f aca="false">IF(SUMIFS($C$120:$C$239,$A$120:$A$239,$A$38,$B$120:$B$239,E$11)=0,"",SUMIFS($N$120:$N$239,$A$120:$A$239,$A$38,$B$120:$B$239,E$11))</f>
        <v>0.24713732622551</v>
      </c>
      <c r="F38" s="13" t="n">
        <f aca="false">IF(SUMIFS($C$120:$C$239,$A$120:$A$239,$A$38,$B$120:$B$239,F$11)=0,"",SUMIFS($N$120:$N$239,$A$120:$A$239,$A$38,$B$120:$B$239,F$11))</f>
        <v>-0.0470325342016684</v>
      </c>
      <c r="G38" s="13" t="n">
        <f aca="false">IF(SUMIFS($C$120:$C$239,$A$120:$A$239,$A$38,$B$120:$B$239,G$11)=0,"",SUMIFS($N$120:$N$239,$A$120:$A$239,$A$38,$B$120:$B$239,G$11))</f>
        <v>0.168128714880621</v>
      </c>
      <c r="H38" s="13" t="n">
        <f aca="false">IF(SUMIFS($C$120:$C$239,$A$120:$A$239,$A$38,$B$120:$B$239,H$11)=0,"",SUMIFS($N$120:$N$239,$A$120:$A$239,$A$38,$B$120:$B$239,H$11))</f>
        <v>0.0736912358676024</v>
      </c>
      <c r="I38" s="13" t="n">
        <f aca="false">IF(SUMIFS($C$120:$C$239,$A$120:$A$239,$A$38,$B$120:$B$239,I$11)=0,"",SUMIFS($N$120:$N$239,$A$120:$A$239,$A$38,$B$120:$B$239,I$11))</f>
        <v>0.058349330897162</v>
      </c>
      <c r="J38" s="13" t="n">
        <f aca="false">IF(SUMIFS($C$120:$C$239,$A$120:$A$239,$A$38,$B$120:$B$239,J$11)=0,"",SUMIFS($N$120:$N$239,$A$120:$A$239,$A$38,$B$120:$B$239,J$11))</f>
        <v>0.471068473569917</v>
      </c>
      <c r="K38" s="13" t="n">
        <f aca="false">IF(SUMIFS($C$120:$C$239,$A$120:$A$239,$A$38,$B$120:$B$239,K$11)=0,"",SUMIFS($N$120:$N$239,$A$120:$A$239,$A$38,$B$120:$B$239,K$11))</f>
        <v>0.116806760451166</v>
      </c>
      <c r="L38" s="13" t="n">
        <f aca="false">V38/O38-1</f>
        <v>1.59180558763638</v>
      </c>
      <c r="M38" s="13" t="n">
        <f aca="false">IF($B38=0,"",(V38/O38)^(1/$B38)-1)</f>
        <v>0.14573996000982</v>
      </c>
      <c r="O38" s="42" t="n">
        <v>100</v>
      </c>
      <c r="P38" s="40" t="n">
        <f aca="false">IF(E38="",O38,O38*(1+E38))</f>
        <v>124.713732622551</v>
      </c>
      <c r="Q38" s="40" t="n">
        <f aca="false">IF(F38="",P38,P38*(1+F38))</f>
        <v>118.848129727563</v>
      </c>
      <c r="R38" s="40" t="n">
        <f aca="false">IF(G38="",Q38,Q38*(1+G38))</f>
        <v>138.829913044624</v>
      </c>
      <c r="S38" s="40" t="n">
        <f aca="false">IF(H38="",R38,R38*(1+H38))</f>
        <v>149.060460912274</v>
      </c>
      <c r="T38" s="40" t="n">
        <f aca="false">IF(I38="",S38,S38*(1+I38))</f>
        <v>157.758039069728</v>
      </c>
      <c r="U38" s="40" t="n">
        <f aca="false">IF(J38="",T38,T38*(1+J38))</f>
        <v>232.072877727687</v>
      </c>
      <c r="V38" s="40" t="n">
        <f aca="false">IF(K38="",U38,U38*(1+K38))</f>
        <v>259.180558763638</v>
      </c>
    </row>
    <row r="39" customFormat="false" ht="15" hidden="false" customHeight="false" outlineLevel="0" collapsed="false">
      <c r="D39" s="41" t="s">
        <v>105</v>
      </c>
      <c r="E39" s="13" t="n">
        <f aca="false">IF(SUMIFS($C$120:$C$239,$A$120:$A$239,$A$38,$B$120:$B$239,E$11)=0,"",SUMIFS($M$120:$M$239,$A$120:$A$239,$A$38,$B$120:$B$239,E$11))</f>
        <v>0.214594672022321</v>
      </c>
      <c r="F39" s="13" t="n">
        <f aca="false">IF(SUMIFS($C$120:$C$239,$A$120:$A$239,$A$38,$B$120:$B$239,F$11)=0,"",SUMIFS($M$120:$M$239,$A$120:$A$239,$A$38,$B$120:$B$239,F$11))</f>
        <v>-0.0809579833562766</v>
      </c>
      <c r="G39" s="13" t="n">
        <f aca="false">IF(SUMIFS($C$120:$C$239,$A$120:$A$239,$A$38,$B$120:$B$239,G$11)=0,"",SUMIFS($M$120:$M$239,$A$120:$A$239,$A$38,$B$120:$B$239,G$11))</f>
        <v>0.14751823201415</v>
      </c>
      <c r="H39" s="13" t="n">
        <f aca="false">IF(SUMIFS($C$120:$C$239,$A$120:$A$239,$A$38,$B$120:$B$239,H$11)=0,"",SUMIFS($M$120:$M$239,$A$120:$A$239,$A$38,$B$120:$B$239,H$11))</f>
        <v>0.0400444453335128</v>
      </c>
      <c r="I39" s="13" t="n">
        <f aca="false">IF(SUMIFS($C$120:$C$239,$A$120:$A$239,$A$38,$B$120:$B$239,I$11)=0,"",SUMIFS($M$120:$M$239,$A$120:$A$239,$A$38,$B$120:$B$239,I$11))</f>
        <v>0.0280357670009415</v>
      </c>
      <c r="J39" s="13" t="n">
        <f aca="false">IF(SUMIFS($C$120:$C$239,$A$120:$A$239,$A$38,$B$120:$B$239,J$11)=0,"",SUMIFS($M$120:$M$239,$A$120:$A$239,$A$38,$B$120:$B$239,J$11))</f>
        <v>0.419026086478463</v>
      </c>
      <c r="K39" s="13" t="n">
        <f aca="false">IF(SUMIFS($C$120:$C$239,$A$120:$A$239,$A$38,$B$120:$B$239,K$11)=0,"",SUMIFS($M$120:$M$239,$A$120:$A$239,$A$38,$B$120:$B$239,K$11))</f>
        <v>0.0737329315732647</v>
      </c>
      <c r="L39" s="13" t="n">
        <f aca="false">V39/O39-1</f>
        <v>1.08676291050202</v>
      </c>
      <c r="M39" s="13" t="n">
        <f aca="false">IF($B38=0,"",(V39/O39)^(1/$B38)-1)</f>
        <v>0.110808042771833</v>
      </c>
      <c r="O39" s="42" t="n">
        <v>100</v>
      </c>
      <c r="P39" s="40" t="n">
        <f aca="false">IF(E39="",O39,O39*(1+E39))</f>
        <v>121.459467202232</v>
      </c>
      <c r="Q39" s="40" t="n">
        <f aca="false">IF(F39="",P39,P39*(1+F39))</f>
        <v>111.626353678012</v>
      </c>
      <c r="R39" s="40" t="n">
        <f aca="false">IF(G39="",Q39,Q39*(1+G39))</f>
        <v>128.093276018778</v>
      </c>
      <c r="S39" s="40" t="n">
        <f aca="false">IF(H39="",R39,R39*(1+H39))</f>
        <v>133.222700207903</v>
      </c>
      <c r="T39" s="40" t="n">
        <f aca="false">IF(I39="",S39,S39*(1+I39))</f>
        <v>136.957700790168</v>
      </c>
      <c r="U39" s="40" t="n">
        <f aca="false">IF(J39="",T39,T39*(1+J39))</f>
        <v>194.34655016536</v>
      </c>
      <c r="V39" s="40" t="n">
        <f aca="false">IF(K39="",U39,U39*(1+K39))</f>
        <v>208.676291050202</v>
      </c>
    </row>
    <row r="40" customFormat="false" ht="15" hidden="false" customHeight="false" outlineLevel="0" collapsed="false">
      <c r="A40" s="43"/>
      <c r="B40" s="43"/>
      <c r="C40" s="43"/>
      <c r="D40" s="44" t="s">
        <v>106</v>
      </c>
      <c r="E40" s="46" t="n">
        <f aca="false">IF(SUMIFS($C$120:$C$239,$A$120:$A$239,$A$38,$B$120:$B$239,E$11)=0,"",SUMIFS($L$120:$L$239,$A$120:$A$239,$A$38,$B$120:$B$239,E$11))</f>
        <v>0.0325426542031888</v>
      </c>
      <c r="F40" s="46" t="n">
        <f aca="false">IF(SUMIFS($C$120:$C$239,$A$120:$A$239,$A$38,$B$120:$B$239,F$11)=0,"",SUMIFS($L$120:$L$239,$A$120:$A$239,$A$38,$B$120:$B$239,F$11))</f>
        <v>0.0339254491546082</v>
      </c>
      <c r="G40" s="46" t="n">
        <f aca="false">IF(SUMIFS($C$120:$C$239,$A$120:$A$239,$A$38,$B$120:$B$239,G$11)=0,"",SUMIFS($L$120:$L$239,$A$120:$A$239,$A$38,$B$120:$B$239,G$11))</f>
        <v>0.0206104828664715</v>
      </c>
      <c r="H40" s="46" t="n">
        <f aca="false">IF(SUMIFS($C$120:$C$239,$A$120:$A$239,$A$38,$B$120:$B$239,H$11)=0,"",SUMIFS($L$120:$L$239,$A$120:$A$239,$A$38,$B$120:$B$239,H$11))</f>
        <v>0.0336467905340896</v>
      </c>
      <c r="I40" s="46" t="n">
        <f aca="false">IF(SUMIFS($C$120:$C$239,$A$120:$A$239,$A$38,$B$120:$B$239,I$11)=0,"",SUMIFS($L$120:$L$239,$A$120:$A$239,$A$38,$B$120:$B$239,I$11))</f>
        <v>0.0303135638962205</v>
      </c>
      <c r="J40" s="46" t="n">
        <f aca="false">IF(SUMIFS($C$120:$C$239,$A$120:$A$239,$A$38,$B$120:$B$239,J$11)=0,"",SUMIFS($L$120:$L$239,$A$120:$A$239,$A$38,$B$120:$B$239,J$11))</f>
        <v>0.0520423870914539</v>
      </c>
      <c r="K40" s="46" t="n">
        <f aca="false">IF(SUMIFS($C$120:$C$239,$A$120:$A$239,$A$38,$B$120:$B$239,K$11)=0,"",SUMIFS($L$120:$L$239,$A$120:$A$239,$A$38,$B$120:$B$239,K$11))</f>
        <v>0.0430738288779016</v>
      </c>
      <c r="L40" s="46" t="n">
        <f aca="false">V40/O40-1</f>
        <v>0.273348016161138</v>
      </c>
      <c r="M40" s="46" t="n">
        <f aca="false">IF($B38=0,"",(V40/O40)^(1/$B38)-1)</f>
        <v>0.0351241598187173</v>
      </c>
      <c r="N40" s="43"/>
      <c r="O40" s="47" t="n">
        <v>100</v>
      </c>
      <c r="P40" s="45" t="n">
        <f aca="false">IF(E40="",O40,O40*(1+E40))</f>
        <v>103.254265420319</v>
      </c>
      <c r="Q40" s="45" t="n">
        <f aca="false">IF(F40="",P40,P40*(1+F40))</f>
        <v>106.757212751832</v>
      </c>
      <c r="R40" s="45" t="n">
        <f aca="false">IF(G40="",Q40,Q40*(1+G40))</f>
        <v>108.957530456126</v>
      </c>
      <c r="S40" s="45" t="n">
        <f aca="false">IF(H40="",R40,R40*(1+H40))</f>
        <v>112.623601660495</v>
      </c>
      <c r="T40" s="45" t="n">
        <f aca="false">IF(I40="",S40,S40*(1+I40))</f>
        <v>116.037624405653</v>
      </c>
      <c r="U40" s="45" t="n">
        <f aca="false">IF(J40="",T40,T40*(1+J40))</f>
        <v>122.076499372145</v>
      </c>
      <c r="V40" s="45" t="n">
        <f aca="false">IF(K40="",U40,U40*(1+K40))</f>
        <v>127.334801616114</v>
      </c>
    </row>
    <row r="41" customFormat="false" ht="15" hidden="false" customHeight="false" outlineLevel="0" collapsed="false">
      <c r="A41" s="4" t="s">
        <v>27</v>
      </c>
      <c r="B41" s="8" t="n">
        <f aca="false">COUNT(E41:K41)</f>
        <v>2</v>
      </c>
      <c r="C41" s="40" t="n">
        <f aca="false">SUMIFS($E$120:$E$239,$A$120:$A$239,$A41,$B$120:$B$239,K$11)/1000</f>
        <v>0</v>
      </c>
      <c r="D41" s="41" t="s">
        <v>104</v>
      </c>
      <c r="E41" s="13" t="str">
        <f aca="false">IF(SUMIFS($C$120:$C$239,$A$120:$A$239,$A$41,$B$120:$B$239,E$11)=0,"",SUMIFS($N$120:$N$239,$A$120:$A$239,$A$41,$B$120:$B$239,E$11))</f>
        <v/>
      </c>
      <c r="F41" s="13" t="str">
        <f aca="false">IF(SUMIFS($C$120:$C$239,$A$120:$A$239,$A$41,$B$120:$B$239,F$11)=0,"",SUMIFS($N$120:$N$239,$A$120:$A$239,$A$41,$B$120:$B$239,F$11))</f>
        <v/>
      </c>
      <c r="G41" s="13" t="str">
        <f aca="false">IF(SUMIFS($C$120:$C$239,$A$120:$A$239,$A$41,$B$120:$B$239,G$11)=0,"",SUMIFS($N$120:$N$239,$A$120:$A$239,$A$41,$B$120:$B$239,G$11))</f>
        <v/>
      </c>
      <c r="H41" s="13" t="str">
        <f aca="false">IF(SUMIFS($C$120:$C$239,$A$120:$A$239,$A$41,$B$120:$B$239,H$11)=0,"",SUMIFS($N$120:$N$239,$A$120:$A$239,$A$41,$B$120:$B$239,H$11))</f>
        <v/>
      </c>
      <c r="I41" s="13" t="n">
        <f aca="false">IF(SUMIFS($C$120:$C$239,$A$120:$A$239,$A$41,$B$120:$B$239,I$11)=0,"",SUMIFS($N$120:$N$239,$A$120:$A$239,$A$41,$B$120:$B$239,I$11))</f>
        <v>0.0544924566731306</v>
      </c>
      <c r="J41" s="13" t="n">
        <f aca="false">IF(SUMIFS($C$120:$C$239,$A$120:$A$239,$A$41,$B$120:$B$239,J$11)=0,"",SUMIFS($N$120:$N$239,$A$120:$A$239,$A$41,$B$120:$B$239,J$11))</f>
        <v>-1</v>
      </c>
      <c r="K41" s="13" t="str">
        <f aca="false">IF(SUMIFS($C$120:$C$239,$A$120:$A$239,$A$41,$B$120:$B$239,K$11)=0,"",SUMIFS($N$120:$N$239,$A$120:$A$239,$A$41,$B$120:$B$239,K$11))</f>
        <v/>
      </c>
      <c r="L41" s="13" t="n">
        <f aca="false">V41/O41-1</f>
        <v>-1</v>
      </c>
      <c r="M41" s="13" t="n">
        <f aca="false">IF($B41=0,"",(V41/O41)^(1/$B41)-1)</f>
        <v>-1</v>
      </c>
      <c r="O41" s="42" t="n">
        <v>100</v>
      </c>
      <c r="P41" s="40" t="n">
        <f aca="false">IF(E41="",O41,O41*(1+E41))</f>
        <v>100</v>
      </c>
      <c r="Q41" s="40" t="n">
        <f aca="false">IF(F41="",P41,P41*(1+F41))</f>
        <v>100</v>
      </c>
      <c r="R41" s="40" t="n">
        <f aca="false">IF(G41="",Q41,Q41*(1+G41))</f>
        <v>100</v>
      </c>
      <c r="S41" s="40" t="n">
        <f aca="false">IF(H41="",R41,R41*(1+H41))</f>
        <v>100</v>
      </c>
      <c r="T41" s="40" t="n">
        <f aca="false">IF(I41="",S41,S41*(1+I41))</f>
        <v>105.449245667313</v>
      </c>
      <c r="U41" s="40" t="n">
        <f aca="false">IF(J41="",T41,T41*(1+J41))</f>
        <v>0</v>
      </c>
      <c r="V41" s="40" t="n">
        <f aca="false">IF(K41="",U41,U41*(1+K41))</f>
        <v>0</v>
      </c>
    </row>
    <row r="42" customFormat="false" ht="15" hidden="false" customHeight="false" outlineLevel="0" collapsed="false">
      <c r="D42" s="41" t="s">
        <v>105</v>
      </c>
      <c r="E42" s="13" t="str">
        <f aca="false">IF(SUMIFS($C$120:$C$239,$A$120:$A$239,$A$41,$B$120:$B$239,E$11)=0,"",SUMIFS($M$120:$M$239,$A$120:$A$239,$A$41,$B$120:$B$239,E$11))</f>
        <v/>
      </c>
      <c r="F42" s="13" t="str">
        <f aca="false">IF(SUMIFS($C$120:$C$239,$A$120:$A$239,$A$41,$B$120:$B$239,F$11)=0,"",SUMIFS($M$120:$M$239,$A$120:$A$239,$A$41,$B$120:$B$239,F$11))</f>
        <v/>
      </c>
      <c r="G42" s="13" t="str">
        <f aca="false">IF(SUMIFS($C$120:$C$239,$A$120:$A$239,$A$41,$B$120:$B$239,G$11)=0,"",SUMIFS($M$120:$M$239,$A$120:$A$239,$A$41,$B$120:$B$239,G$11))</f>
        <v/>
      </c>
      <c r="H42" s="13" t="str">
        <f aca="false">IF(SUMIFS($C$120:$C$239,$A$120:$A$239,$A$41,$B$120:$B$239,H$11)=0,"",SUMIFS($M$120:$M$239,$A$120:$A$239,$A$41,$B$120:$B$239,H$11))</f>
        <v/>
      </c>
      <c r="I42" s="13" t="n">
        <f aca="false">IF(SUMIFS($C$120:$C$239,$A$120:$A$239,$A$41,$B$120:$B$239,I$11)=0,"",SUMIFS($M$120:$M$239,$A$120:$A$239,$A$41,$B$120:$B$239,I$11))</f>
        <v>0.0250509189808886</v>
      </c>
      <c r="J42" s="13" t="n">
        <f aca="false">IF(SUMIFS($C$120:$C$239,$A$120:$A$239,$A$41,$B$120:$B$239,J$11)=0,"",SUMIFS($M$120:$M$239,$A$120:$A$239,$A$41,$B$120:$B$239,J$11))</f>
        <v>-1</v>
      </c>
      <c r="K42" s="13" t="str">
        <f aca="false">IF(SUMIFS($C$120:$C$239,$A$120:$A$239,$A$41,$B$120:$B$239,K$11)=0,"",SUMIFS($M$120:$M$239,$A$120:$A$239,$A$41,$B$120:$B$239,K$11))</f>
        <v/>
      </c>
      <c r="L42" s="13" t="n">
        <f aca="false">V42/O42-1</f>
        <v>-1</v>
      </c>
      <c r="M42" s="13" t="n">
        <f aca="false">IF($B41=0,"",(V42/O42)^(1/$B41)-1)</f>
        <v>-1</v>
      </c>
      <c r="O42" s="42" t="n">
        <v>100</v>
      </c>
      <c r="P42" s="40" t="n">
        <f aca="false">IF(E42="",O42,O42*(1+E42))</f>
        <v>100</v>
      </c>
      <c r="Q42" s="40" t="n">
        <f aca="false">IF(F42="",P42,P42*(1+F42))</f>
        <v>100</v>
      </c>
      <c r="R42" s="40" t="n">
        <f aca="false">IF(G42="",Q42,Q42*(1+G42))</f>
        <v>100</v>
      </c>
      <c r="S42" s="40" t="n">
        <f aca="false">IF(H42="",R42,R42*(1+H42))</f>
        <v>100</v>
      </c>
      <c r="T42" s="40" t="n">
        <f aca="false">IF(I42="",S42,S42*(1+I42))</f>
        <v>102.505091898089</v>
      </c>
      <c r="U42" s="40" t="n">
        <f aca="false">IF(J42="",T42,T42*(1+J42))</f>
        <v>0</v>
      </c>
      <c r="V42" s="40" t="n">
        <f aca="false">IF(K42="",U42,U42*(1+K42))</f>
        <v>0</v>
      </c>
    </row>
    <row r="43" customFormat="false" ht="15" hidden="false" customHeight="false" outlineLevel="0" collapsed="false">
      <c r="A43" s="43"/>
      <c r="B43" s="43"/>
      <c r="C43" s="43"/>
      <c r="D43" s="44" t="s">
        <v>106</v>
      </c>
      <c r="E43" s="46" t="str">
        <f aca="false">IF(SUMIFS($C$120:$C$239,$A$120:$A$239,$A$41,$B$120:$B$239,E$11)=0,"",SUMIFS($L$120:$L$239,$A$120:$A$239,$A$41,$B$120:$B$239,E$11))</f>
        <v/>
      </c>
      <c r="F43" s="46" t="str">
        <f aca="false">IF(SUMIFS($C$120:$C$239,$A$120:$A$239,$A$41,$B$120:$B$239,F$11)=0,"",SUMIFS($L$120:$L$239,$A$120:$A$239,$A$41,$B$120:$B$239,F$11))</f>
        <v/>
      </c>
      <c r="G43" s="46" t="str">
        <f aca="false">IF(SUMIFS($C$120:$C$239,$A$120:$A$239,$A$41,$B$120:$B$239,G$11)=0,"",SUMIFS($L$120:$L$239,$A$120:$A$239,$A$41,$B$120:$B$239,G$11))</f>
        <v/>
      </c>
      <c r="H43" s="46" t="str">
        <f aca="false">IF(SUMIFS($C$120:$C$239,$A$120:$A$239,$A$41,$B$120:$B$239,H$11)=0,"",SUMIFS($L$120:$L$239,$A$120:$A$239,$A$41,$B$120:$B$239,H$11))</f>
        <v/>
      </c>
      <c r="I43" s="46" t="n">
        <f aca="false">IF(SUMIFS($C$120:$C$239,$A$120:$A$239,$A$41,$B$120:$B$239,I$11)=0,"",SUMIFS($L$120:$L$239,$A$120:$A$239,$A$41,$B$120:$B$239,I$11))</f>
        <v>0.029441537692242</v>
      </c>
      <c r="J43" s="46" t="n">
        <f aca="false">IF(SUMIFS($C$120:$C$239,$A$120:$A$239,$A$41,$B$120:$B$239,J$11)=0,"",SUMIFS($L$120:$L$239,$A$120:$A$239,$A$41,$B$120:$B$239,J$11))</f>
        <v>0</v>
      </c>
      <c r="K43" s="46" t="str">
        <f aca="false">IF(SUMIFS($C$120:$C$239,$A$120:$A$239,$A$41,$B$120:$B$239,K$11)=0,"",SUMIFS($L$120:$L$239,$A$120:$A$239,$A$41,$B$120:$B$239,K$11))</f>
        <v/>
      </c>
      <c r="L43" s="46" t="n">
        <f aca="false">V43/O43-1</f>
        <v>0.0294415376922421</v>
      </c>
      <c r="M43" s="46" t="n">
        <f aca="false">IF($B41=0,"",(V43/O43)^(1/$B41)-1)</f>
        <v>0.0146139845735629</v>
      </c>
      <c r="N43" s="43"/>
      <c r="O43" s="47" t="n">
        <v>100</v>
      </c>
      <c r="P43" s="45" t="n">
        <f aca="false">IF(E43="",O43,O43*(1+E43))</f>
        <v>100</v>
      </c>
      <c r="Q43" s="45" t="n">
        <f aca="false">IF(F43="",P43,P43*(1+F43))</f>
        <v>100</v>
      </c>
      <c r="R43" s="45" t="n">
        <f aca="false">IF(G43="",Q43,Q43*(1+G43))</f>
        <v>100</v>
      </c>
      <c r="S43" s="45" t="n">
        <f aca="false">IF(H43="",R43,R43*(1+H43))</f>
        <v>100</v>
      </c>
      <c r="T43" s="45" t="n">
        <f aca="false">IF(I43="",S43,S43*(1+I43))</f>
        <v>102.944153769224</v>
      </c>
      <c r="U43" s="45" t="n">
        <f aca="false">IF(J43="",T43,T43*(1+J43))</f>
        <v>102.944153769224</v>
      </c>
      <c r="V43" s="45" t="n">
        <f aca="false">IF(K43="",U43,U43*(1+K43))</f>
        <v>102.944153769224</v>
      </c>
    </row>
    <row r="44" customFormat="false" ht="15" hidden="false" customHeight="false" outlineLevel="0" collapsed="false">
      <c r="A44" s="4" t="s">
        <v>28</v>
      </c>
      <c r="B44" s="8" t="n">
        <f aca="false">COUNT(E44:K44)</f>
        <v>3</v>
      </c>
      <c r="C44" s="40" t="n">
        <f aca="false">SUMIFS($E$120:$E$239,$A$120:$A$239,$A44,$B$120:$B$239,K$11)/1000</f>
        <v>234.99</v>
      </c>
      <c r="D44" s="41" t="s">
        <v>104</v>
      </c>
      <c r="E44" s="13" t="str">
        <f aca="false">IF(SUMIFS($C$120:$C$239,$A$120:$A$239,$A$44,$B$120:$B$239,E$11)=0,"",SUMIFS($N$120:$N$239,$A$120:$A$239,$A$44,$B$120:$B$239,E$11))</f>
        <v/>
      </c>
      <c r="F44" s="13" t="str">
        <f aca="false">IF(SUMIFS($C$120:$C$239,$A$120:$A$239,$A$44,$B$120:$B$239,F$11)=0,"",SUMIFS($N$120:$N$239,$A$120:$A$239,$A$44,$B$120:$B$239,F$11))</f>
        <v/>
      </c>
      <c r="G44" s="13" t="str">
        <f aca="false">IF(SUMIFS($C$120:$C$239,$A$120:$A$239,$A$44,$B$120:$B$239,G$11)=0,"",SUMIFS($N$120:$N$239,$A$120:$A$239,$A$44,$B$120:$B$239,G$11))</f>
        <v/>
      </c>
      <c r="H44" s="13" t="str">
        <f aca="false">IF(SUMIFS($C$120:$C$239,$A$120:$A$239,$A$44,$B$120:$B$239,H$11)=0,"",SUMIFS($N$120:$N$239,$A$120:$A$239,$A$44,$B$120:$B$239,H$11))</f>
        <v/>
      </c>
      <c r="I44" s="13" t="n">
        <f aca="false">IF(SUMIFS($C$120:$C$239,$A$120:$A$239,$A$44,$B$120:$B$239,I$11)=0,"",SUMIFS($N$120:$N$239,$A$120:$A$239,$A$44,$B$120:$B$239,I$11))</f>
        <v>0.494138736439619</v>
      </c>
      <c r="J44" s="13" t="n">
        <f aca="false">IF(SUMIFS($C$120:$C$239,$A$120:$A$239,$A$44,$B$120:$B$239,J$11)=0,"",SUMIFS($N$120:$N$239,$A$120:$A$239,$A$44,$B$120:$B$239,J$11))</f>
        <v>0.353161391471262</v>
      </c>
      <c r="K44" s="13" t="n">
        <f aca="false">IF(SUMIFS($C$120:$C$239,$A$120:$A$239,$A$44,$B$120:$B$239,K$11)=0,"",SUMIFS($N$120:$N$239,$A$120:$A$239,$A$44,$B$120:$B$239,K$11))</f>
        <v>0.0422106862664865</v>
      </c>
      <c r="L44" s="13" t="n">
        <f aca="false">V44/O44-1</f>
        <v>1.107152875201</v>
      </c>
      <c r="M44" s="13" t="n">
        <f aca="false">IF($B44=0,"",(V44/O44)^(1/$B44)-1)</f>
        <v>0.282031457485068</v>
      </c>
      <c r="O44" s="42" t="n">
        <v>100</v>
      </c>
      <c r="P44" s="40" t="n">
        <f aca="false">IF(E44="",O44,O44*(1+E44))</f>
        <v>100</v>
      </c>
      <c r="Q44" s="40" t="n">
        <f aca="false">IF(F44="",P44,P44*(1+F44))</f>
        <v>100</v>
      </c>
      <c r="R44" s="40" t="n">
        <f aca="false">IF(G44="",Q44,Q44*(1+G44))</f>
        <v>100</v>
      </c>
      <c r="S44" s="40" t="n">
        <f aca="false">IF(H44="",R44,R44*(1+H44))</f>
        <v>100</v>
      </c>
      <c r="T44" s="40" t="n">
        <f aca="false">IF(I44="",S44,S44*(1+I44))</f>
        <v>149.413873643962</v>
      </c>
      <c r="U44" s="40" t="n">
        <f aca="false">IF(J44="",T44,T44*(1+J44))</f>
        <v>202.181085165175</v>
      </c>
      <c r="V44" s="40" t="n">
        <f aca="false">IF(K44="",U44,U44*(1+K44))</f>
        <v>210.7152875201</v>
      </c>
    </row>
    <row r="45" customFormat="false" ht="15" hidden="false" customHeight="false" outlineLevel="0" collapsed="false">
      <c r="D45" s="41" t="s">
        <v>105</v>
      </c>
      <c r="E45" s="13" t="str">
        <f aca="false">IF(SUMIFS($C$120:$C$239,$A$120:$A$239,$A$44,$B$120:$B$239,E$11)=0,"",SUMIFS($M$120:$M$239,$A$120:$A$239,$A$44,$B$120:$B$239,E$11))</f>
        <v/>
      </c>
      <c r="F45" s="13" t="str">
        <f aca="false">IF(SUMIFS($C$120:$C$239,$A$120:$A$239,$A$44,$B$120:$B$239,F$11)=0,"",SUMIFS($M$120:$M$239,$A$120:$A$239,$A$44,$B$120:$B$239,F$11))</f>
        <v/>
      </c>
      <c r="G45" s="13" t="str">
        <f aca="false">IF(SUMIFS($C$120:$C$239,$A$120:$A$239,$A$44,$B$120:$B$239,G$11)=0,"",SUMIFS($M$120:$M$239,$A$120:$A$239,$A$44,$B$120:$B$239,G$11))</f>
        <v/>
      </c>
      <c r="H45" s="13" t="str">
        <f aca="false">IF(SUMIFS($C$120:$C$239,$A$120:$A$239,$A$44,$B$120:$B$239,H$11)=0,"",SUMIFS($M$120:$M$239,$A$120:$A$239,$A$44,$B$120:$B$239,H$11))</f>
        <v/>
      </c>
      <c r="I45" s="13" t="n">
        <f aca="false">IF(SUMIFS($C$120:$C$239,$A$120:$A$239,$A$44,$B$120:$B$239,I$11)=0,"",SUMIFS($M$120:$M$239,$A$120:$A$239,$A$44,$B$120:$B$239,I$11))</f>
        <v>0.474314199048952</v>
      </c>
      <c r="J45" s="13" t="n">
        <f aca="false">IF(SUMIFS($C$120:$C$239,$A$120:$A$239,$A$44,$B$120:$B$239,J$11)=0,"",SUMIFS($M$120:$M$239,$A$120:$A$239,$A$44,$B$120:$B$239,J$11))</f>
        <v>0.349244860671056</v>
      </c>
      <c r="K45" s="13" t="n">
        <f aca="false">IF(SUMIFS($C$120:$C$239,$A$120:$A$239,$A$44,$B$120:$B$239,K$11)=0,"",SUMIFS($M$120:$M$239,$A$120:$A$239,$A$44,$B$120:$B$239,K$11))</f>
        <v>0.0368270764167365</v>
      </c>
      <c r="L45" s="13" t="n">
        <f aca="false">V45/O45-1</f>
        <v>1.06246767628707</v>
      </c>
      <c r="M45" s="13" t="n">
        <f aca="false">IF($B44=0,"",(V45/O45)^(1/$B44)-1)</f>
        <v>0.272904192650087</v>
      </c>
      <c r="O45" s="42" t="n">
        <v>100</v>
      </c>
      <c r="P45" s="40" t="n">
        <f aca="false">IF(E45="",O45,O45*(1+E45))</f>
        <v>100</v>
      </c>
      <c r="Q45" s="40" t="n">
        <f aca="false">IF(F45="",P45,P45*(1+F45))</f>
        <v>100</v>
      </c>
      <c r="R45" s="40" t="n">
        <f aca="false">IF(G45="",Q45,Q45*(1+G45))</f>
        <v>100</v>
      </c>
      <c r="S45" s="40" t="n">
        <f aca="false">IF(H45="",R45,R45*(1+H45))</f>
        <v>100</v>
      </c>
      <c r="T45" s="40" t="n">
        <f aca="false">IF(I45="",S45,S45*(1+I45))</f>
        <v>147.431419904895</v>
      </c>
      <c r="U45" s="40" t="n">
        <f aca="false">IF(J45="",T45,T45*(1+J45))</f>
        <v>198.921085608116</v>
      </c>
      <c r="V45" s="40" t="n">
        <f aca="false">IF(K45="",U45,U45*(1+K45))</f>
        <v>206.246767628707</v>
      </c>
    </row>
    <row r="46" customFormat="false" ht="15" hidden="false" customHeight="false" outlineLevel="0" collapsed="false">
      <c r="A46" s="43"/>
      <c r="B46" s="43"/>
      <c r="C46" s="43"/>
      <c r="D46" s="44" t="s">
        <v>106</v>
      </c>
      <c r="E46" s="46" t="str">
        <f aca="false">IF(SUMIFS($C$120:$C$239,$A$120:$A$239,$A$44,$B$120:$B$239,E$11)=0,"",SUMIFS($L$120:$L$239,$A$120:$A$239,$A$44,$B$120:$B$239,E$11))</f>
        <v/>
      </c>
      <c r="F46" s="46" t="str">
        <f aca="false">IF(SUMIFS($C$120:$C$239,$A$120:$A$239,$A$44,$B$120:$B$239,F$11)=0,"",SUMIFS($L$120:$L$239,$A$120:$A$239,$A$44,$B$120:$B$239,F$11))</f>
        <v/>
      </c>
      <c r="G46" s="46" t="str">
        <f aca="false">IF(SUMIFS($C$120:$C$239,$A$120:$A$239,$A$44,$B$120:$B$239,G$11)=0,"",SUMIFS($L$120:$L$239,$A$120:$A$239,$A$44,$B$120:$B$239,G$11))</f>
        <v/>
      </c>
      <c r="H46" s="46" t="str">
        <f aca="false">IF(SUMIFS($C$120:$C$239,$A$120:$A$239,$A$44,$B$120:$B$239,H$11)=0,"",SUMIFS($L$120:$L$239,$A$120:$A$239,$A$44,$B$120:$B$239,H$11))</f>
        <v/>
      </c>
      <c r="I46" s="46" t="n">
        <f aca="false">IF(SUMIFS($C$120:$C$239,$A$120:$A$239,$A$44,$B$120:$B$239,I$11)=0,"",SUMIFS($L$120:$L$239,$A$120:$A$239,$A$44,$B$120:$B$239,I$11))</f>
        <v>0.019824537390667</v>
      </c>
      <c r="J46" s="46" t="n">
        <f aca="false">IF(SUMIFS($C$120:$C$239,$A$120:$A$239,$A$44,$B$120:$B$239,J$11)=0,"",SUMIFS($L$120:$L$239,$A$120:$A$239,$A$44,$B$120:$B$239,J$11))</f>
        <v>0.00391653080020626</v>
      </c>
      <c r="K46" s="46" t="n">
        <f aca="false">IF(SUMIFS($C$120:$C$239,$A$120:$A$239,$A$44,$B$120:$B$239,K$11)=0,"",SUMIFS($L$120:$L$239,$A$120:$A$239,$A$44,$B$120:$B$239,K$11))</f>
        <v>0.00538360984974995</v>
      </c>
      <c r="L46" s="46" t="n">
        <f aca="false">V46/O46-1</f>
        <v>0.0293305521023033</v>
      </c>
      <c r="M46" s="46" t="n">
        <f aca="false">IF($B44=0,"",(V46/O46)^(1/$B44)-1)</f>
        <v>0.0096827916387785</v>
      </c>
      <c r="N46" s="43"/>
      <c r="O46" s="47" t="n">
        <v>100</v>
      </c>
      <c r="P46" s="45" t="n">
        <f aca="false">IF(E46="",O46,O46*(1+E46))</f>
        <v>100</v>
      </c>
      <c r="Q46" s="45" t="n">
        <f aca="false">IF(F46="",P46,P46*(1+F46))</f>
        <v>100</v>
      </c>
      <c r="R46" s="45" t="n">
        <f aca="false">IF(G46="",Q46,Q46*(1+G46))</f>
        <v>100</v>
      </c>
      <c r="S46" s="45" t="n">
        <f aca="false">IF(H46="",R46,R46*(1+H46))</f>
        <v>100</v>
      </c>
      <c r="T46" s="45" t="n">
        <f aca="false">IF(I46="",S46,S46*(1+I46))</f>
        <v>101.982453739067</v>
      </c>
      <c r="U46" s="45" t="n">
        <f aca="false">IF(J46="",T46,T46*(1+J46))</f>
        <v>102.381871160216</v>
      </c>
      <c r="V46" s="45" t="n">
        <f aca="false">IF(K46="",U46,U46*(1+K46))</f>
        <v>102.93305521023</v>
      </c>
    </row>
    <row r="47" customFormat="false" ht="15" hidden="false" customHeight="false" outlineLevel="0" collapsed="false">
      <c r="A47" s="4" t="s">
        <v>29</v>
      </c>
      <c r="B47" s="8" t="n">
        <f aca="false">COUNT(E47:K47)</f>
        <v>3</v>
      </c>
      <c r="C47" s="40" t="n">
        <f aca="false">SUMIFS($E$120:$E$239,$A$120:$A$239,$A47,$B$120:$B$239,K$11)/1000</f>
        <v>175.03</v>
      </c>
      <c r="D47" s="41" t="s">
        <v>104</v>
      </c>
      <c r="E47" s="13" t="str">
        <f aca="false">IF(SUMIFS($C$120:$C$239,$A$120:$A$239,$A$47,$B$120:$B$239,E$11)=0,"",SUMIFS($N$120:$N$239,$A$120:$A$239,$A$47,$B$120:$B$239,E$11))</f>
        <v/>
      </c>
      <c r="F47" s="13" t="str">
        <f aca="false">IF(SUMIFS($C$120:$C$239,$A$120:$A$239,$A$47,$B$120:$B$239,F$11)=0,"",SUMIFS($N$120:$N$239,$A$120:$A$239,$A$47,$B$120:$B$239,F$11))</f>
        <v/>
      </c>
      <c r="G47" s="13" t="str">
        <f aca="false">IF(SUMIFS($C$120:$C$239,$A$120:$A$239,$A$47,$B$120:$B$239,G$11)=0,"",SUMIFS($N$120:$N$239,$A$120:$A$239,$A$47,$B$120:$B$239,G$11))</f>
        <v/>
      </c>
      <c r="H47" s="13" t="str">
        <f aca="false">IF(SUMIFS($C$120:$C$239,$A$120:$A$239,$A$47,$B$120:$B$239,H$11)=0,"",SUMIFS($N$120:$N$239,$A$120:$A$239,$A$47,$B$120:$B$239,H$11))</f>
        <v/>
      </c>
      <c r="I47" s="13" t="n">
        <f aca="false">IF(SUMIFS($C$120:$C$239,$A$120:$A$239,$A$47,$B$120:$B$239,I$11)=0,"",SUMIFS($N$120:$N$239,$A$120:$A$239,$A$47,$B$120:$B$239,I$11))</f>
        <v>1.05632872691696</v>
      </c>
      <c r="J47" s="13" t="n">
        <f aca="false">IF(SUMIFS($C$120:$C$239,$A$120:$A$239,$A$47,$B$120:$B$239,J$11)=0,"",SUMIFS($N$120:$N$239,$A$120:$A$239,$A$47,$B$120:$B$239,J$11))</f>
        <v>0.0635753470838824</v>
      </c>
      <c r="K47" s="13" t="n">
        <f aca="false">IF(SUMIFS($C$120:$C$239,$A$120:$A$239,$A$47,$B$120:$B$239,K$11)=0,"",SUMIFS($N$120:$N$239,$A$120:$A$239,$A$47,$B$120:$B$239,K$11))</f>
        <v>0.0600764576981707</v>
      </c>
      <c r="L47" s="13" t="n">
        <f aca="false">V47/O47-1</f>
        <v>1.31845138943083</v>
      </c>
      <c r="M47" s="13" t="n">
        <f aca="false">IF($B47=0,"",(V47/O47)^(1/$B47)-1)</f>
        <v>0.323526571817626</v>
      </c>
      <c r="O47" s="42" t="n">
        <v>100</v>
      </c>
      <c r="P47" s="40" t="n">
        <f aca="false">IF(E47="",O47,O47*(1+E47))</f>
        <v>100</v>
      </c>
      <c r="Q47" s="40" t="n">
        <f aca="false">IF(F47="",P47,P47*(1+F47))</f>
        <v>100</v>
      </c>
      <c r="R47" s="40" t="n">
        <f aca="false">IF(G47="",Q47,Q47*(1+G47))</f>
        <v>100</v>
      </c>
      <c r="S47" s="40" t="n">
        <f aca="false">IF(H47="",R47,R47*(1+H47))</f>
        <v>100</v>
      </c>
      <c r="T47" s="40" t="n">
        <f aca="false">IF(I47="",S47,S47*(1+I47))</f>
        <v>205.632872691696</v>
      </c>
      <c r="U47" s="40" t="n">
        <f aca="false">IF(J47="",T47,T47*(1+J47))</f>
        <v>218.706053944927</v>
      </c>
      <c r="V47" s="40" t="n">
        <f aca="false">IF(K47="",U47,U47*(1+K47))</f>
        <v>231.845138943083</v>
      </c>
    </row>
    <row r="48" customFormat="false" ht="15" hidden="false" customHeight="false" outlineLevel="0" collapsed="false">
      <c r="D48" s="41" t="s">
        <v>105</v>
      </c>
      <c r="E48" s="13" t="str">
        <f aca="false">IF(SUMIFS($C$120:$C$239,$A$120:$A$239,$A$47,$B$120:$B$239,E$11)=0,"",SUMIFS($M$120:$M$239,$A$120:$A$239,$A$47,$B$120:$B$239,E$11))</f>
        <v/>
      </c>
      <c r="F48" s="13" t="str">
        <f aca="false">IF(SUMIFS($C$120:$C$239,$A$120:$A$239,$A$47,$B$120:$B$239,F$11)=0,"",SUMIFS($M$120:$M$239,$A$120:$A$239,$A$47,$B$120:$B$239,F$11))</f>
        <v/>
      </c>
      <c r="G48" s="13" t="str">
        <f aca="false">IF(SUMIFS($C$120:$C$239,$A$120:$A$239,$A$47,$B$120:$B$239,G$11)=0,"",SUMIFS($M$120:$M$239,$A$120:$A$239,$A$47,$B$120:$B$239,G$11))</f>
        <v/>
      </c>
      <c r="H48" s="13" t="str">
        <f aca="false">IF(SUMIFS($C$120:$C$239,$A$120:$A$239,$A$47,$B$120:$B$239,H$11)=0,"",SUMIFS($M$120:$M$239,$A$120:$A$239,$A$47,$B$120:$B$239,H$11))</f>
        <v/>
      </c>
      <c r="I48" s="13" t="n">
        <f aca="false">IF(SUMIFS($C$120:$C$239,$A$120:$A$239,$A$47,$B$120:$B$239,I$11)=0,"",SUMIFS($M$120:$M$239,$A$120:$A$239,$A$47,$B$120:$B$239,I$11))</f>
        <v>0.997260609025315</v>
      </c>
      <c r="J48" s="13" t="n">
        <f aca="false">IF(SUMIFS($C$120:$C$239,$A$120:$A$239,$A$47,$B$120:$B$239,J$11)=0,"",SUMIFS($M$120:$M$239,$A$120:$A$239,$A$47,$B$120:$B$239,J$11))</f>
        <v>0.0318734867755678</v>
      </c>
      <c r="K48" s="13" t="n">
        <f aca="false">IF(SUMIFS($C$120:$C$239,$A$120:$A$239,$A$47,$B$120:$B$239,K$11)=0,"",SUMIFS($M$120:$M$239,$A$120:$A$239,$A$47,$B$120:$B$239,K$11))</f>
        <v>0.0244081078506098</v>
      </c>
      <c r="L48" s="13" t="n">
        <f aca="false">V48/O48-1</f>
        <v>1.11122343282278</v>
      </c>
      <c r="M48" s="13" t="n">
        <f aca="false">IF($B47=0,"",(V48/O48)^(1/$B47)-1)</f>
        <v>0.282856461087093</v>
      </c>
      <c r="O48" s="42" t="n">
        <v>100</v>
      </c>
      <c r="P48" s="40" t="n">
        <f aca="false">IF(E48="",O48,O48*(1+E48))</f>
        <v>100</v>
      </c>
      <c r="Q48" s="40" t="n">
        <f aca="false">IF(F48="",P48,P48*(1+F48))</f>
        <v>100</v>
      </c>
      <c r="R48" s="40" t="n">
        <f aca="false">IF(G48="",Q48,Q48*(1+G48))</f>
        <v>100</v>
      </c>
      <c r="S48" s="40" t="n">
        <f aca="false">IF(H48="",R48,R48*(1+H48))</f>
        <v>100</v>
      </c>
      <c r="T48" s="40" t="n">
        <f aca="false">IF(I48="",S48,S48*(1+I48))</f>
        <v>199.726060902532</v>
      </c>
      <c r="U48" s="40" t="n">
        <f aca="false">IF(J48="",T48,T48*(1+J48))</f>
        <v>206.092026863445</v>
      </c>
      <c r="V48" s="40" t="n">
        <f aca="false">IF(K48="",U48,U48*(1+K48))</f>
        <v>211.122343282278</v>
      </c>
    </row>
    <row r="49" customFormat="false" ht="15" hidden="false" customHeight="false" outlineLevel="0" collapsed="false">
      <c r="A49" s="43"/>
      <c r="B49" s="43"/>
      <c r="C49" s="43"/>
      <c r="D49" s="44" t="s">
        <v>106</v>
      </c>
      <c r="E49" s="46" t="str">
        <f aca="false">IF(SUMIFS($C$120:$C$239,$A$120:$A$239,$A$47,$B$120:$B$239,E$11)=0,"",SUMIFS($L$120:$L$239,$A$120:$A$239,$A$47,$B$120:$B$239,E$11))</f>
        <v/>
      </c>
      <c r="F49" s="46" t="str">
        <f aca="false">IF(SUMIFS($C$120:$C$239,$A$120:$A$239,$A$47,$B$120:$B$239,F$11)=0,"",SUMIFS($L$120:$L$239,$A$120:$A$239,$A$47,$B$120:$B$239,F$11))</f>
        <v/>
      </c>
      <c r="G49" s="46" t="str">
        <f aca="false">IF(SUMIFS($C$120:$C$239,$A$120:$A$239,$A$47,$B$120:$B$239,G$11)=0,"",SUMIFS($L$120:$L$239,$A$120:$A$239,$A$47,$B$120:$B$239,G$11))</f>
        <v/>
      </c>
      <c r="H49" s="46" t="str">
        <f aca="false">IF(SUMIFS($C$120:$C$239,$A$120:$A$239,$A$47,$B$120:$B$239,H$11)=0,"",SUMIFS($L$120:$L$239,$A$120:$A$239,$A$47,$B$120:$B$239,H$11))</f>
        <v/>
      </c>
      <c r="I49" s="46" t="n">
        <f aca="false">IF(SUMIFS($C$120:$C$239,$A$120:$A$239,$A$47,$B$120:$B$239,I$11)=0,"",SUMIFS($L$120:$L$239,$A$120:$A$239,$A$47,$B$120:$B$239,I$11))</f>
        <v>0.0590681178916473</v>
      </c>
      <c r="J49" s="46" t="n">
        <f aca="false">IF(SUMIFS($C$120:$C$239,$A$120:$A$239,$A$47,$B$120:$B$239,J$11)=0,"",SUMIFS($L$120:$L$239,$A$120:$A$239,$A$47,$B$120:$B$239,J$11))</f>
        <v>0.0317018603083147</v>
      </c>
      <c r="K49" s="46" t="n">
        <f aca="false">IF(SUMIFS($C$120:$C$239,$A$120:$A$239,$A$47,$B$120:$B$239,K$11)=0,"",SUMIFS($L$120:$L$239,$A$120:$A$239,$A$47,$B$120:$B$239,K$11))</f>
        <v>0.035668349847561</v>
      </c>
      <c r="L49" s="46" t="n">
        <f aca="false">V49/O49-1</f>
        <v>0.131615304061818</v>
      </c>
      <c r="M49" s="46" t="n">
        <f aca="false">IF($B47=0,"",(V49/O49)^(1/$B47)-1)</f>
        <v>0.0420765045826548</v>
      </c>
      <c r="N49" s="43"/>
      <c r="O49" s="47" t="n">
        <v>100</v>
      </c>
      <c r="P49" s="45" t="n">
        <f aca="false">IF(E49="",O49,O49*(1+E49))</f>
        <v>100</v>
      </c>
      <c r="Q49" s="45" t="n">
        <f aca="false">IF(F49="",P49,P49*(1+F49))</f>
        <v>100</v>
      </c>
      <c r="R49" s="45" t="n">
        <f aca="false">IF(G49="",Q49,Q49*(1+G49))</f>
        <v>100</v>
      </c>
      <c r="S49" s="45" t="n">
        <f aca="false">IF(H49="",R49,R49*(1+H49))</f>
        <v>100</v>
      </c>
      <c r="T49" s="45" t="n">
        <f aca="false">IF(I49="",S49,S49*(1+I49))</f>
        <v>105.906811789165</v>
      </c>
      <c r="U49" s="45" t="n">
        <f aca="false">IF(J49="",T49,T49*(1+J49))</f>
        <v>109.264254742204</v>
      </c>
      <c r="V49" s="45" t="n">
        <f aca="false">IF(K49="",U49,U49*(1+K49))</f>
        <v>113.161530406182</v>
      </c>
    </row>
    <row r="50" customFormat="false" ht="15" hidden="false" customHeight="false" outlineLevel="0" collapsed="false">
      <c r="A50" s="4" t="s">
        <v>30</v>
      </c>
      <c r="B50" s="8" t="n">
        <f aca="false">COUNT(E50:K50)</f>
        <v>7</v>
      </c>
      <c r="C50" s="40" t="n">
        <f aca="false">SUMIFS($E$120:$E$239,$A$120:$A$239,$A50,$B$120:$B$239,K$11)/1000</f>
        <v>315.87</v>
      </c>
      <c r="D50" s="41" t="s">
        <v>104</v>
      </c>
      <c r="E50" s="13" t="n">
        <f aca="false">IF(SUMIFS($C$120:$C$239,$A$120:$A$239,$A$50,$B$120:$B$239,E$11)=0,"",SUMIFS($N$120:$N$239,$A$120:$A$239,$A$50,$B$120:$B$239,E$11))</f>
        <v>1.1477691740413</v>
      </c>
      <c r="F50" s="13" t="n">
        <f aca="false">IF(SUMIFS($C$120:$C$239,$A$120:$A$239,$A$50,$B$120:$B$239,F$11)=0,"",SUMIFS($N$120:$N$239,$A$120:$A$239,$A$50,$B$120:$B$239,F$11))</f>
        <v>-0.141379458345852</v>
      </c>
      <c r="G50" s="13" t="n">
        <f aca="false">IF(SUMIFS($C$120:$C$239,$A$120:$A$239,$A$50,$B$120:$B$239,G$11)=0,"",SUMIFS($N$120:$N$239,$A$120:$A$239,$A$50,$B$120:$B$239,G$11))</f>
        <v>0.0961759560109973</v>
      </c>
      <c r="H50" s="13" t="n">
        <f aca="false">IF(SUMIFS($C$120:$C$239,$A$120:$A$239,$A$50,$B$120:$B$239,H$11)=0,"",SUMIFS($N$120:$N$239,$A$120:$A$239,$A$50,$B$120:$B$239,H$11))</f>
        <v>0.162934926353231</v>
      </c>
      <c r="I50" s="13" t="n">
        <f aca="false">IF(SUMIFS($C$120:$C$239,$A$120:$A$239,$A$50,$B$120:$B$239,I$11)=0,"",SUMIFS($N$120:$N$239,$A$120:$A$239,$A$50,$B$120:$B$239,I$11))</f>
        <v>0.00669751392047683</v>
      </c>
      <c r="J50" s="13" t="n">
        <f aca="false">IF(SUMIFS($C$120:$C$239,$A$120:$A$239,$A$50,$B$120:$B$239,J$11)=0,"",SUMIFS($N$120:$N$239,$A$120:$A$239,$A$50,$B$120:$B$239,J$11))</f>
        <v>0.200659842323393</v>
      </c>
      <c r="K50" s="13" t="n">
        <f aca="false">IF(SUMIFS($C$120:$C$239,$A$120:$A$239,$A$50,$B$120:$B$239,K$11)=0,"",SUMIFS($N$120:$N$239,$A$120:$A$239,$A$50,$B$120:$B$239,K$11))</f>
        <v>0.0247434653828311</v>
      </c>
      <c r="L50" s="13" t="n">
        <f aca="false">V50/O50-1</f>
        <v>1.91178097345133</v>
      </c>
      <c r="M50" s="13" t="n">
        <f aca="false">IF($B50=0,"",(V50/O50)^(1/$B50)-1)</f>
        <v>0.164952952128958</v>
      </c>
      <c r="O50" s="42" t="n">
        <v>100</v>
      </c>
      <c r="P50" s="40" t="n">
        <f aca="false">IF(E50="",O50,O50*(1+E50))</f>
        <v>214.77691740413</v>
      </c>
      <c r="Q50" s="40" t="n">
        <f aca="false">IF(F50="",P50,P50*(1+F50))</f>
        <v>184.411873156342</v>
      </c>
      <c r="R50" s="40" t="n">
        <f aca="false">IF(G50="",Q50,Q50*(1+G50))</f>
        <v>202.147861356932</v>
      </c>
      <c r="S50" s="40" t="n">
        <f aca="false">IF(H50="",R50,R50*(1+H50))</f>
        <v>235.084808259587</v>
      </c>
      <c r="T50" s="40" t="n">
        <f aca="false">IF(I50="",S50,S50*(1+I50))</f>
        <v>236.659292035398</v>
      </c>
      <c r="U50" s="40" t="n">
        <f aca="false">IF(J50="",T50,T50*(1+J50))</f>
        <v>284.147308259587</v>
      </c>
      <c r="V50" s="40" t="n">
        <f aca="false">IF(K50="",U50,U50*(1+K50))</f>
        <v>291.178097345133</v>
      </c>
    </row>
    <row r="51" customFormat="false" ht="15" hidden="false" customHeight="false" outlineLevel="0" collapsed="false">
      <c r="D51" s="41" t="s">
        <v>105</v>
      </c>
      <c r="E51" s="13" t="n">
        <f aca="false">IF(SUMIFS($C$120:$C$239,$A$120:$A$239,$A$50,$B$120:$B$239,E$11)=0,"",SUMIFS($M$120:$M$239,$A$120:$A$239,$A$50,$B$120:$B$239,E$11))</f>
        <v>1.1477691740413</v>
      </c>
      <c r="F51" s="13" t="n">
        <f aca="false">IF(SUMIFS($C$120:$C$239,$A$120:$A$239,$A$50,$B$120:$B$239,F$11)=0,"",SUMIFS($M$120:$M$239,$A$120:$A$239,$A$50,$B$120:$B$239,F$11))</f>
        <v>-0.141379458345852</v>
      </c>
      <c r="G51" s="13" t="n">
        <f aca="false">IF(SUMIFS($C$120:$C$239,$A$120:$A$239,$A$50,$B$120:$B$239,G$11)=0,"",SUMIFS($M$120:$M$239,$A$120:$A$239,$A$50,$B$120:$B$239,G$11))</f>
        <v>0.0961759560109973</v>
      </c>
      <c r="H51" s="13" t="n">
        <f aca="false">IF(SUMIFS($C$120:$C$239,$A$120:$A$239,$A$50,$B$120:$B$239,H$11)=0,"",SUMIFS($M$120:$M$239,$A$120:$A$239,$A$50,$B$120:$B$239,H$11))</f>
        <v>0.162934926353231</v>
      </c>
      <c r="I51" s="13" t="n">
        <f aca="false">IF(SUMIFS($C$120:$C$239,$A$120:$A$239,$A$50,$B$120:$B$239,I$11)=0,"",SUMIFS($M$120:$M$239,$A$120:$A$239,$A$50,$B$120:$B$239,I$11))</f>
        <v>0.00669751392047683</v>
      </c>
      <c r="J51" s="13" t="n">
        <f aca="false">IF(SUMIFS($C$120:$C$239,$A$120:$A$239,$A$50,$B$120:$B$239,J$11)=0,"",SUMIFS($M$120:$M$239,$A$120:$A$239,$A$50,$B$120:$B$239,J$11))</f>
        <v>0.200659842323393</v>
      </c>
      <c r="K51" s="13" t="n">
        <f aca="false">IF(SUMIFS($C$120:$C$239,$A$120:$A$239,$A$50,$B$120:$B$239,K$11)=0,"",SUMIFS($M$120:$M$239,$A$120:$A$239,$A$50,$B$120:$B$239,K$11))</f>
        <v>0.0247434653828311</v>
      </c>
      <c r="L51" s="13" t="n">
        <f aca="false">V51/O51-1</f>
        <v>1.91178097345133</v>
      </c>
      <c r="M51" s="13" t="n">
        <f aca="false">IF($B50=0,"",(V51/O51)^(1/$B50)-1)</f>
        <v>0.164952952128958</v>
      </c>
      <c r="O51" s="42" t="n">
        <v>100</v>
      </c>
      <c r="P51" s="40" t="n">
        <f aca="false">IF(E51="",O51,O51*(1+E51))</f>
        <v>214.77691740413</v>
      </c>
      <c r="Q51" s="40" t="n">
        <f aca="false">IF(F51="",P51,P51*(1+F51))</f>
        <v>184.411873156342</v>
      </c>
      <c r="R51" s="40" t="n">
        <f aca="false">IF(G51="",Q51,Q51*(1+G51))</f>
        <v>202.147861356932</v>
      </c>
      <c r="S51" s="40" t="n">
        <f aca="false">IF(H51="",R51,R51*(1+H51))</f>
        <v>235.084808259587</v>
      </c>
      <c r="T51" s="40" t="n">
        <f aca="false">IF(I51="",S51,S51*(1+I51))</f>
        <v>236.659292035398</v>
      </c>
      <c r="U51" s="40" t="n">
        <f aca="false">IF(J51="",T51,T51*(1+J51))</f>
        <v>284.147308259587</v>
      </c>
      <c r="V51" s="40" t="n">
        <f aca="false">IF(K51="",U51,U51*(1+K51))</f>
        <v>291.178097345133</v>
      </c>
    </row>
    <row r="52" customFormat="false" ht="15" hidden="false" customHeight="false" outlineLevel="0" collapsed="false">
      <c r="A52" s="43"/>
      <c r="B52" s="43"/>
      <c r="C52" s="43"/>
      <c r="D52" s="44" t="s">
        <v>106</v>
      </c>
      <c r="E52" s="46" t="n">
        <f aca="false">IF(SUMIFS($C$120:$C$239,$A$120:$A$239,$A$50,$B$120:$B$239,E$11)=0,"",SUMIFS($L$120:$L$239,$A$120:$A$239,$A$50,$B$120:$B$239,E$11))</f>
        <v>0</v>
      </c>
      <c r="F52" s="46" t="n">
        <f aca="false">IF(SUMIFS($C$120:$C$239,$A$120:$A$239,$A$50,$B$120:$B$239,F$11)=0,"",SUMIFS($L$120:$L$239,$A$120:$A$239,$A$50,$B$120:$B$239,F$11))</f>
        <v>0</v>
      </c>
      <c r="G52" s="46" t="n">
        <f aca="false">IF(SUMIFS($C$120:$C$239,$A$120:$A$239,$A$50,$B$120:$B$239,G$11)=0,"",SUMIFS($L$120:$L$239,$A$120:$A$239,$A$50,$B$120:$B$239,G$11))</f>
        <v>0</v>
      </c>
      <c r="H52" s="46" t="n">
        <f aca="false">IF(SUMIFS($C$120:$C$239,$A$120:$A$239,$A$50,$B$120:$B$239,H$11)=0,"",SUMIFS($L$120:$L$239,$A$120:$A$239,$A$50,$B$120:$B$239,H$11))</f>
        <v>0</v>
      </c>
      <c r="I52" s="46" t="n">
        <f aca="false">IF(SUMIFS($C$120:$C$239,$A$120:$A$239,$A$50,$B$120:$B$239,I$11)=0,"",SUMIFS($L$120:$L$239,$A$120:$A$239,$A$50,$B$120:$B$239,I$11))</f>
        <v>0</v>
      </c>
      <c r="J52" s="46" t="n">
        <f aca="false">IF(SUMIFS($C$120:$C$239,$A$120:$A$239,$A$50,$B$120:$B$239,J$11)=0,"",SUMIFS($L$120:$L$239,$A$120:$A$239,$A$50,$B$120:$B$239,J$11))</f>
        <v>0</v>
      </c>
      <c r="K52" s="46" t="n">
        <f aca="false">IF(SUMIFS($C$120:$C$239,$A$120:$A$239,$A$50,$B$120:$B$239,K$11)=0,"",SUMIFS($L$120:$L$239,$A$120:$A$239,$A$50,$B$120:$B$239,K$11))</f>
        <v>0</v>
      </c>
      <c r="L52" s="46" t="n">
        <f aca="false">V52/O52-1</f>
        <v>0</v>
      </c>
      <c r="M52" s="46" t="n">
        <f aca="false">IF($B50=0,"",(V52/O52)^(1/$B50)-1)</f>
        <v>0</v>
      </c>
      <c r="N52" s="43"/>
      <c r="O52" s="47" t="n">
        <v>100</v>
      </c>
      <c r="P52" s="45" t="n">
        <f aca="false">IF(E52="",O52,O52*(1+E52))</f>
        <v>100</v>
      </c>
      <c r="Q52" s="45" t="n">
        <f aca="false">IF(F52="",P52,P52*(1+F52))</f>
        <v>100</v>
      </c>
      <c r="R52" s="45" t="n">
        <f aca="false">IF(G52="",Q52,Q52*(1+G52))</f>
        <v>100</v>
      </c>
      <c r="S52" s="45" t="n">
        <f aca="false">IF(H52="",R52,R52*(1+H52))</f>
        <v>100</v>
      </c>
      <c r="T52" s="45" t="n">
        <f aca="false">IF(I52="",S52,S52*(1+I52))</f>
        <v>100</v>
      </c>
      <c r="U52" s="45" t="n">
        <f aca="false">IF(J52="",T52,T52*(1+J52))</f>
        <v>100</v>
      </c>
      <c r="V52" s="45" t="n">
        <f aca="false">IF(K52="",U52,U52*(1+K52))</f>
        <v>100</v>
      </c>
    </row>
    <row r="53" customFormat="false" ht="15" hidden="false" customHeight="false" outlineLevel="0" collapsed="false">
      <c r="A53" s="4" t="s">
        <v>31</v>
      </c>
      <c r="B53" s="8" t="n">
        <f aca="false">COUNT(E53:K53)</f>
        <v>6</v>
      </c>
      <c r="C53" s="40" t="n">
        <f aca="false">SUMIFS($E$120:$E$239,$A$120:$A$239,$A53,$B$120:$B$239,K$11)/1000</f>
        <v>143.71</v>
      </c>
      <c r="D53" s="41" t="s">
        <v>104</v>
      </c>
      <c r="E53" s="13" t="str">
        <f aca="false">IF(SUMIFS($C$120:$C$239,$A$120:$A$239,$A$53,$B$120:$B$239,E$11)=0,"",SUMIFS($N$120:$N$239,$A$120:$A$239,$A$53,$B$120:$B$239,E$11))</f>
        <v/>
      </c>
      <c r="F53" s="13" t="n">
        <f aca="false">IF(SUMIFS($C$120:$C$239,$A$120:$A$239,$A$53,$B$120:$B$239,F$11)=0,"",SUMIFS($N$120:$N$239,$A$120:$A$239,$A$53,$B$120:$B$239,F$11))</f>
        <v>0.0154030806161232</v>
      </c>
      <c r="G53" s="13" t="n">
        <f aca="false">IF(SUMIFS($C$120:$C$239,$A$120:$A$239,$A$53,$B$120:$B$239,G$11)=0,"",SUMIFS($N$120:$N$239,$A$120:$A$239,$A$53,$B$120:$B$239,G$11))</f>
        <v>0.192671394799054</v>
      </c>
      <c r="H53" s="13" t="n">
        <f aca="false">IF(SUMIFS($C$120:$C$239,$A$120:$A$239,$A$53,$B$120:$B$239,H$11)=0,"",SUMIFS($N$120:$N$239,$A$120:$A$239,$A$53,$B$120:$B$239,H$11))</f>
        <v>0.0485629335976214</v>
      </c>
      <c r="I53" s="13" t="n">
        <f aca="false">IF(SUMIFS($C$120:$C$239,$A$120:$A$239,$A$53,$B$120:$B$239,I$11)=0,"",SUMIFS($N$120:$N$239,$A$120:$A$239,$A$53,$B$120:$B$239,I$11))</f>
        <v>0.405702386673074</v>
      </c>
      <c r="J53" s="13" t="n">
        <f aca="false">IF(SUMIFS($C$120:$C$239,$A$120:$A$239,$A$53,$B$120:$B$239,J$11)=0,"",SUMIFS($N$120:$N$239,$A$120:$A$239,$A$53,$B$120:$B$239,J$11))</f>
        <v>0.587050791161139</v>
      </c>
      <c r="K53" s="13" t="n">
        <f aca="false">IF(SUMIFS($C$120:$C$239,$A$120:$A$239,$A$53,$B$120:$B$239,K$11)=0,"",SUMIFS($N$120:$N$239,$A$120:$A$239,$A$53,$B$120:$B$239,K$11))</f>
        <v>0.0486902568509362</v>
      </c>
      <c r="L53" s="13" t="n">
        <f aca="false">V53/O53-1</f>
        <v>1.9708807691136</v>
      </c>
      <c r="M53" s="13" t="n">
        <f aca="false">IF($B53=0,"",(V53/O53)^(1/$B53)-1)</f>
        <v>0.198986253111293</v>
      </c>
      <c r="O53" s="42" t="n">
        <v>100</v>
      </c>
      <c r="P53" s="40" t="n">
        <f aca="false">IF(E53="",O53,O53*(1+E53))</f>
        <v>100</v>
      </c>
      <c r="Q53" s="40" t="n">
        <f aca="false">IF(F53="",P53,P53*(1+F53))</f>
        <v>101.540308061612</v>
      </c>
      <c r="R53" s="40" t="n">
        <f aca="false">IF(G53="",Q53,Q53*(1+G53))</f>
        <v>121.104220844169</v>
      </c>
      <c r="S53" s="40" t="n">
        <f aca="false">IF(H53="",R53,R53*(1+H53))</f>
        <v>126.985397079416</v>
      </c>
      <c r="T53" s="40" t="n">
        <f aca="false">IF(I53="",S53,S53*(1+I53))</f>
        <v>178.503675747163</v>
      </c>
      <c r="U53" s="40" t="n">
        <f aca="false">IF(J53="",T53,T53*(1+J53))</f>
        <v>283.294399819706</v>
      </c>
      <c r="V53" s="40" t="n">
        <f aca="false">IF(K53="",U53,U53*(1+K53))</f>
        <v>297.08807691136</v>
      </c>
    </row>
    <row r="54" customFormat="false" ht="15" hidden="false" customHeight="false" outlineLevel="0" collapsed="false">
      <c r="D54" s="41" t="s">
        <v>105</v>
      </c>
      <c r="E54" s="13" t="str">
        <f aca="false">IF(SUMIFS($C$120:$C$239,$A$120:$A$239,$A$53,$B$120:$B$239,E$11)=0,"",SUMIFS($M$120:$M$239,$A$120:$A$239,$A$53,$B$120:$B$239,E$11))</f>
        <v/>
      </c>
      <c r="F54" s="13" t="n">
        <f aca="false">IF(SUMIFS($C$120:$C$239,$A$120:$A$239,$A$53,$B$120:$B$239,F$11)=0,"",SUMIFS($M$120:$M$239,$A$120:$A$239,$A$53,$B$120:$B$239,F$11))</f>
        <v>0.0154030806161232</v>
      </c>
      <c r="G54" s="13" t="n">
        <f aca="false">IF(SUMIFS($C$120:$C$239,$A$120:$A$239,$A$53,$B$120:$B$239,G$11)=0,"",SUMIFS($M$120:$M$239,$A$120:$A$239,$A$53,$B$120:$B$239,G$11))</f>
        <v>0.192671394799054</v>
      </c>
      <c r="H54" s="13" t="n">
        <f aca="false">IF(SUMIFS($C$120:$C$239,$A$120:$A$239,$A$53,$B$120:$B$239,H$11)=0,"",SUMIFS($M$120:$M$239,$A$120:$A$239,$A$53,$B$120:$B$239,H$11))</f>
        <v>0.0485629335976214</v>
      </c>
      <c r="I54" s="13" t="n">
        <f aca="false">IF(SUMIFS($C$120:$C$239,$A$120:$A$239,$A$53,$B$120:$B$239,I$11)=0,"",SUMIFS($M$120:$M$239,$A$120:$A$239,$A$53,$B$120:$B$239,I$11))</f>
        <v>0.372064712477975</v>
      </c>
      <c r="J54" s="13" t="n">
        <f aca="false">IF(SUMIFS($C$120:$C$239,$A$120:$A$239,$A$53,$B$120:$B$239,J$11)=0,"",SUMIFS($M$120:$M$239,$A$120:$A$239,$A$53,$B$120:$B$239,J$11))</f>
        <v>0.587050791161139</v>
      </c>
      <c r="K54" s="13" t="n">
        <f aca="false">IF(SUMIFS($C$120:$C$239,$A$120:$A$239,$A$53,$B$120:$B$239,K$11)=0,"",SUMIFS($M$120:$M$239,$A$120:$A$239,$A$53,$B$120:$B$239,K$11))</f>
        <v>0.044422759017456</v>
      </c>
      <c r="L54" s="13" t="n">
        <f aca="false">V54/O54-1</f>
        <v>1.88798896366921</v>
      </c>
      <c r="M54" s="13" t="n">
        <f aca="false">IF($B53=0,"",(V54/O54)^(1/$B53)-1)</f>
        <v>0.193344735511213</v>
      </c>
      <c r="O54" s="42" t="n">
        <v>100</v>
      </c>
      <c r="P54" s="40" t="n">
        <f aca="false">IF(E54="",O54,O54*(1+E54))</f>
        <v>100</v>
      </c>
      <c r="Q54" s="40" t="n">
        <f aca="false">IF(F54="",P54,P54*(1+F54))</f>
        <v>101.540308061612</v>
      </c>
      <c r="R54" s="40" t="n">
        <f aca="false">IF(G54="",Q54,Q54*(1+G54))</f>
        <v>121.104220844169</v>
      </c>
      <c r="S54" s="40" t="n">
        <f aca="false">IF(H54="",R54,R54*(1+H54))</f>
        <v>126.985397079416</v>
      </c>
      <c r="T54" s="40" t="n">
        <f aca="false">IF(I54="",S54,S54*(1+I54))</f>
        <v>174.23218233267</v>
      </c>
      <c r="U54" s="40" t="n">
        <f aca="false">IF(J54="",T54,T54*(1+J54))</f>
        <v>276.515322816796</v>
      </c>
      <c r="V54" s="40" t="n">
        <f aca="false">IF(K54="",U54,U54*(1+K54))</f>
        <v>288.798896366921</v>
      </c>
    </row>
    <row r="55" customFormat="false" ht="15" hidden="false" customHeight="false" outlineLevel="0" collapsed="false">
      <c r="A55" s="43"/>
      <c r="B55" s="43"/>
      <c r="C55" s="43"/>
      <c r="D55" s="44" t="s">
        <v>106</v>
      </c>
      <c r="E55" s="46" t="str">
        <f aca="false">IF(SUMIFS($C$120:$C$239,$A$120:$A$239,$A$53,$B$120:$B$239,E$11)=0,"",SUMIFS($L$120:$L$239,$A$120:$A$239,$A$53,$B$120:$B$239,E$11))</f>
        <v/>
      </c>
      <c r="F55" s="46" t="n">
        <f aca="false">IF(SUMIFS($C$120:$C$239,$A$120:$A$239,$A$53,$B$120:$B$239,F$11)=0,"",SUMIFS($L$120:$L$239,$A$120:$A$239,$A$53,$B$120:$B$239,F$11))</f>
        <v>0</v>
      </c>
      <c r="G55" s="46" t="n">
        <f aca="false">IF(SUMIFS($C$120:$C$239,$A$120:$A$239,$A$53,$B$120:$B$239,G$11)=0,"",SUMIFS($L$120:$L$239,$A$120:$A$239,$A$53,$B$120:$B$239,G$11))</f>
        <v>0</v>
      </c>
      <c r="H55" s="46" t="n">
        <f aca="false">IF(SUMIFS($C$120:$C$239,$A$120:$A$239,$A$53,$B$120:$B$239,H$11)=0,"",SUMIFS($L$120:$L$239,$A$120:$A$239,$A$53,$B$120:$B$239,H$11))</f>
        <v>0</v>
      </c>
      <c r="I55" s="46" t="n">
        <f aca="false">IF(SUMIFS($C$120:$C$239,$A$120:$A$239,$A$53,$B$120:$B$239,I$11)=0,"",SUMIFS($L$120:$L$239,$A$120:$A$239,$A$53,$B$120:$B$239,I$11))</f>
        <v>0.0336376741950985</v>
      </c>
      <c r="J55" s="46" t="n">
        <f aca="false">IF(SUMIFS($C$120:$C$239,$A$120:$A$239,$A$53,$B$120:$B$239,J$11)=0,"",SUMIFS($L$120:$L$239,$A$120:$A$239,$A$53,$B$120:$B$239,J$11))</f>
        <v>0</v>
      </c>
      <c r="K55" s="46" t="n">
        <f aca="false">IF(SUMIFS($C$120:$C$239,$A$120:$A$239,$A$53,$B$120:$B$239,K$11)=0,"",SUMIFS($L$120:$L$239,$A$120:$A$239,$A$53,$B$120:$B$239,K$11))</f>
        <v>0.0042674978334802</v>
      </c>
      <c r="L55" s="46" t="n">
        <f aca="false">V55/O55-1</f>
        <v>0.0380487207303297</v>
      </c>
      <c r="M55" s="46" t="n">
        <f aca="false">IF($B53=0,"",(V55/O55)^(1/$B53)-1)</f>
        <v>0.00624319479755497</v>
      </c>
      <c r="N55" s="43"/>
      <c r="O55" s="47" t="n">
        <v>100</v>
      </c>
      <c r="P55" s="45" t="n">
        <f aca="false">IF(E55="",O55,O55*(1+E55))</f>
        <v>100</v>
      </c>
      <c r="Q55" s="45" t="n">
        <f aca="false">IF(F55="",P55,P55*(1+F55))</f>
        <v>100</v>
      </c>
      <c r="R55" s="45" t="n">
        <f aca="false">IF(G55="",Q55,Q55*(1+G55))</f>
        <v>100</v>
      </c>
      <c r="S55" s="45" t="n">
        <f aca="false">IF(H55="",R55,R55*(1+H55))</f>
        <v>100</v>
      </c>
      <c r="T55" s="45" t="n">
        <f aca="false">IF(I55="",S55,S55*(1+I55))</f>
        <v>103.36376741951</v>
      </c>
      <c r="U55" s="45" t="n">
        <f aca="false">IF(J55="",T55,T55*(1+J55))</f>
        <v>103.36376741951</v>
      </c>
      <c r="V55" s="45" t="n">
        <f aca="false">IF(K55="",U55,U55*(1+K55))</f>
        <v>103.804872073033</v>
      </c>
    </row>
    <row r="56" customFormat="false" ht="15" hidden="false" customHeight="false" outlineLevel="0" collapsed="false">
      <c r="A56" s="4" t="s">
        <v>32</v>
      </c>
      <c r="B56" s="8" t="n">
        <f aca="false">COUNT(E56:K56)</f>
        <v>3</v>
      </c>
      <c r="C56" s="40" t="n">
        <f aca="false">SUMIFS($E$120:$E$239,$A$120:$A$239,$A56,$B$120:$B$239,K$11)/1000</f>
        <v>93.35</v>
      </c>
      <c r="D56" s="41" t="s">
        <v>104</v>
      </c>
      <c r="E56" s="13" t="str">
        <f aca="false">IF(SUMIFS($C$120:$C$239,$A$120:$A$239,$A$56,$B$120:$B$239,E$11)=0,"",SUMIFS($N$120:$N$239,$A$120:$A$239,$A$56,$B$120:$B$239,E$11))</f>
        <v/>
      </c>
      <c r="F56" s="13" t="str">
        <f aca="false">IF(SUMIFS($C$120:$C$239,$A$120:$A$239,$A$56,$B$120:$B$239,F$11)=0,"",SUMIFS($N$120:$N$239,$A$120:$A$239,$A$56,$B$120:$B$239,F$11))</f>
        <v/>
      </c>
      <c r="G56" s="13" t="str">
        <f aca="false">IF(SUMIFS($C$120:$C$239,$A$120:$A$239,$A$56,$B$120:$B$239,G$11)=0,"",SUMIFS($N$120:$N$239,$A$120:$A$239,$A$56,$B$120:$B$239,G$11))</f>
        <v/>
      </c>
      <c r="H56" s="13" t="str">
        <f aca="false">IF(SUMIFS($C$120:$C$239,$A$120:$A$239,$A$56,$B$120:$B$239,H$11)=0,"",SUMIFS($N$120:$N$239,$A$120:$A$239,$A$56,$B$120:$B$239,H$11))</f>
        <v/>
      </c>
      <c r="I56" s="13" t="n">
        <f aca="false">IF(SUMIFS($C$120:$C$239,$A$120:$A$239,$A$56,$B$120:$B$239,I$11)=0,"",SUMIFS($N$120:$N$239,$A$120:$A$239,$A$56,$B$120:$B$239,I$11))</f>
        <v>0.309508857619103</v>
      </c>
      <c r="J56" s="13" t="n">
        <f aca="false">IF(SUMIFS($C$120:$C$239,$A$120:$A$239,$A$56,$B$120:$B$239,J$11)=0,"",SUMIFS($N$120:$N$239,$A$120:$A$239,$A$56,$B$120:$B$239,J$11))</f>
        <v>0.0788291304930169</v>
      </c>
      <c r="K56" s="13" t="n">
        <f aca="false">IF(SUMIFS($C$120:$C$239,$A$120:$A$239,$A$56,$B$120:$B$239,K$11)=0,"",SUMIFS($N$120:$N$239,$A$120:$A$239,$A$56,$B$120:$B$239,K$11))</f>
        <v>0.069828208625096</v>
      </c>
      <c r="L56" s="13" t="n">
        <f aca="false">V56/O56-1</f>
        <v>0.511385147483051</v>
      </c>
      <c r="M56" s="13" t="n">
        <f aca="false">IF($B56=0,"",(V56/O56)^(1/$B56)-1)</f>
        <v>0.147603110454726</v>
      </c>
      <c r="O56" s="42" t="n">
        <v>100</v>
      </c>
      <c r="P56" s="40" t="n">
        <f aca="false">IF(E56="",O56,O56*(1+E56))</f>
        <v>100</v>
      </c>
      <c r="Q56" s="40" t="n">
        <f aca="false">IF(F56="",P56,P56*(1+F56))</f>
        <v>100</v>
      </c>
      <c r="R56" s="40" t="n">
        <f aca="false">IF(G56="",Q56,Q56*(1+G56))</f>
        <v>100</v>
      </c>
      <c r="S56" s="40" t="n">
        <f aca="false">IF(H56="",R56,R56*(1+H56))</f>
        <v>100</v>
      </c>
      <c r="T56" s="40" t="n">
        <f aca="false">IF(I56="",S56,S56*(1+I56))</f>
        <v>130.95088576191</v>
      </c>
      <c r="U56" s="40" t="n">
        <f aca="false">IF(J56="",T56,T56*(1+J56))</f>
        <v>141.273630223812</v>
      </c>
      <c r="V56" s="40" t="n">
        <f aca="false">IF(K56="",U56,U56*(1+K56))</f>
        <v>151.138514748305</v>
      </c>
    </row>
    <row r="57" customFormat="false" ht="15" hidden="false" customHeight="false" outlineLevel="0" collapsed="false">
      <c r="D57" s="41" t="s">
        <v>105</v>
      </c>
      <c r="E57" s="13" t="str">
        <f aca="false">IF(SUMIFS($C$120:$C$239,$A$120:$A$239,$A$56,$B$120:$B$239,E$11)=0,"",SUMIFS($M$120:$M$239,$A$120:$A$239,$A$56,$B$120:$B$239,E$11))</f>
        <v/>
      </c>
      <c r="F57" s="13" t="str">
        <f aca="false">IF(SUMIFS($C$120:$C$239,$A$120:$A$239,$A$56,$B$120:$B$239,F$11)=0,"",SUMIFS($M$120:$M$239,$A$120:$A$239,$A$56,$B$120:$B$239,F$11))</f>
        <v/>
      </c>
      <c r="G57" s="13" t="str">
        <f aca="false">IF(SUMIFS($C$120:$C$239,$A$120:$A$239,$A$56,$B$120:$B$239,G$11)=0,"",SUMIFS($M$120:$M$239,$A$120:$A$239,$A$56,$B$120:$B$239,G$11))</f>
        <v/>
      </c>
      <c r="H57" s="13" t="str">
        <f aca="false">IF(SUMIFS($C$120:$C$239,$A$120:$A$239,$A$56,$B$120:$B$239,H$11)=0,"",SUMIFS($M$120:$M$239,$A$120:$A$239,$A$56,$B$120:$B$239,H$11))</f>
        <v/>
      </c>
      <c r="I57" s="13" t="n">
        <f aca="false">IF(SUMIFS($C$120:$C$239,$A$120:$A$239,$A$56,$B$120:$B$239,I$11)=0,"",SUMIFS($M$120:$M$239,$A$120:$A$239,$A$56,$B$120:$B$239,I$11))</f>
        <v>0.279040198472691</v>
      </c>
      <c r="J57" s="13" t="n">
        <f aca="false">IF(SUMIFS($C$120:$C$239,$A$120:$A$239,$A$56,$B$120:$B$239,J$11)=0,"",SUMIFS($M$120:$M$239,$A$120:$A$239,$A$56,$B$120:$B$239,J$11))</f>
        <v>0.0460993339583815</v>
      </c>
      <c r="K57" s="13" t="n">
        <f aca="false">IF(SUMIFS($C$120:$C$239,$A$120:$A$239,$A$56,$B$120:$B$239,K$11)=0,"",SUMIFS($M$120:$M$239,$A$120:$A$239,$A$56,$B$120:$B$239,K$11))</f>
        <v>0.069828208625096</v>
      </c>
      <c r="L57" s="13" t="n">
        <f aca="false">V57/O57-1</f>
        <v>0.431433459317129</v>
      </c>
      <c r="M57" s="13" t="n">
        <f aca="false">IF($B56=0,"",(V57/O57)^(1/$B56)-1)</f>
        <v>0.126999495147414</v>
      </c>
      <c r="O57" s="42" t="n">
        <v>100</v>
      </c>
      <c r="P57" s="40" t="n">
        <f aca="false">IF(E57="",O57,O57*(1+E57))</f>
        <v>100</v>
      </c>
      <c r="Q57" s="40" t="n">
        <f aca="false">IF(F57="",P57,P57*(1+F57))</f>
        <v>100</v>
      </c>
      <c r="R57" s="40" t="n">
        <f aca="false">IF(G57="",Q57,Q57*(1+G57))</f>
        <v>100</v>
      </c>
      <c r="S57" s="40" t="n">
        <f aca="false">IF(H57="",R57,R57*(1+H57))</f>
        <v>100</v>
      </c>
      <c r="T57" s="40" t="n">
        <f aca="false">IF(I57="",S57,S57*(1+I57))</f>
        <v>127.904019847269</v>
      </c>
      <c r="U57" s="40" t="n">
        <f aca="false">IF(J57="",T57,T57*(1+J57))</f>
        <v>133.800309972828</v>
      </c>
      <c r="V57" s="40" t="n">
        <f aca="false">IF(K57="",U57,U57*(1+K57))</f>
        <v>143.143345931713</v>
      </c>
    </row>
    <row r="58" customFormat="false" ht="15" hidden="false" customHeight="false" outlineLevel="0" collapsed="false">
      <c r="A58" s="43"/>
      <c r="B58" s="43"/>
      <c r="C58" s="43"/>
      <c r="D58" s="44" t="s">
        <v>106</v>
      </c>
      <c r="E58" s="46" t="str">
        <f aca="false">IF(SUMIFS($C$120:$C$239,$A$120:$A$239,$A$56,$B$120:$B$239,E$11)=0,"",SUMIFS($L$120:$L$239,$A$120:$A$239,$A$56,$B$120:$B$239,E$11))</f>
        <v/>
      </c>
      <c r="F58" s="46" t="str">
        <f aca="false">IF(SUMIFS($C$120:$C$239,$A$120:$A$239,$A$56,$B$120:$B$239,F$11)=0,"",SUMIFS($L$120:$L$239,$A$120:$A$239,$A$56,$B$120:$B$239,F$11))</f>
        <v/>
      </c>
      <c r="G58" s="46" t="str">
        <f aca="false">IF(SUMIFS($C$120:$C$239,$A$120:$A$239,$A$56,$B$120:$B$239,G$11)=0,"",SUMIFS($L$120:$L$239,$A$120:$A$239,$A$56,$B$120:$B$239,G$11))</f>
        <v/>
      </c>
      <c r="H58" s="46" t="str">
        <f aca="false">IF(SUMIFS($C$120:$C$239,$A$120:$A$239,$A$56,$B$120:$B$239,H$11)=0,"",SUMIFS($L$120:$L$239,$A$120:$A$239,$A$56,$B$120:$B$239,H$11))</f>
        <v/>
      </c>
      <c r="I58" s="46" t="n">
        <f aca="false">IF(SUMIFS($C$120:$C$239,$A$120:$A$239,$A$56,$B$120:$B$239,I$11)=0,"",SUMIFS($L$120:$L$239,$A$120:$A$239,$A$56,$B$120:$B$239,I$11))</f>
        <v>0.0304686591464124</v>
      </c>
      <c r="J58" s="46" t="n">
        <f aca="false">IF(SUMIFS($C$120:$C$239,$A$120:$A$239,$A$56,$B$120:$B$239,J$11)=0,"",SUMIFS($L$120:$L$239,$A$120:$A$239,$A$56,$B$120:$B$239,J$11))</f>
        <v>0.0327297965346354</v>
      </c>
      <c r="K58" s="46" t="n">
        <f aca="false">IF(SUMIFS($C$120:$C$239,$A$120:$A$239,$A$56,$B$120:$B$239,K$11)=0,"",SUMIFS($L$120:$L$239,$A$120:$A$239,$A$56,$B$120:$B$239,K$11))</f>
        <v>0</v>
      </c>
      <c r="L58" s="46" t="n">
        <f aca="false">V58/O58-1</f>
        <v>0.0641956886955928</v>
      </c>
      <c r="M58" s="46" t="n">
        <f aca="false">IF($B56=0,"",(V58/O58)^(1/$B56)-1)</f>
        <v>0.0209563274575872</v>
      </c>
      <c r="N58" s="43"/>
      <c r="O58" s="47" t="n">
        <v>100</v>
      </c>
      <c r="P58" s="45" t="n">
        <f aca="false">IF(E58="",O58,O58*(1+E58))</f>
        <v>100</v>
      </c>
      <c r="Q58" s="45" t="n">
        <f aca="false">IF(F58="",P58,P58*(1+F58))</f>
        <v>100</v>
      </c>
      <c r="R58" s="45" t="n">
        <f aca="false">IF(G58="",Q58,Q58*(1+G58))</f>
        <v>100</v>
      </c>
      <c r="S58" s="45" t="n">
        <f aca="false">IF(H58="",R58,R58*(1+H58))</f>
        <v>100</v>
      </c>
      <c r="T58" s="45" t="n">
        <f aca="false">IF(I58="",S58,S58*(1+I58))</f>
        <v>103.046865914641</v>
      </c>
      <c r="U58" s="45" t="n">
        <f aca="false">IF(J58="",T58,T58*(1+J58))</f>
        <v>106.419568869559</v>
      </c>
      <c r="V58" s="45" t="n">
        <f aca="false">IF(K58="",U58,U58*(1+K58))</f>
        <v>106.419568869559</v>
      </c>
    </row>
    <row r="59" customFormat="false" ht="15" hidden="false" customHeight="false" outlineLevel="0" collapsed="false">
      <c r="A59" s="4" t="s">
        <v>33</v>
      </c>
      <c r="B59" s="8" t="n">
        <f aca="false">COUNT(E59:K59)</f>
        <v>2</v>
      </c>
      <c r="C59" s="40" t="n">
        <f aca="false">SUMIFS($E$120:$E$239,$A$120:$A$239,$A59,$B$120:$B$239,K$11)/1000</f>
        <v>0</v>
      </c>
      <c r="D59" s="41" t="s">
        <v>104</v>
      </c>
      <c r="E59" s="13" t="n">
        <f aca="false">IF(SUMIFS($C$120:$C$239,$A$120:$A$239,$A$59,$B$120:$B$239,E$11)=0,"",SUMIFS($N$120:$N$239,$A$120:$A$239,$A$59,$B$120:$B$239,E$11))</f>
        <v>0.283755925456171</v>
      </c>
      <c r="F59" s="13" t="n">
        <f aca="false">IF(SUMIFS($C$120:$C$239,$A$120:$A$239,$A$59,$B$120:$B$239,F$11)=0,"",SUMIFS($N$120:$N$239,$A$120:$A$239,$A$59,$B$120:$B$239,F$11))</f>
        <v>0.0752177355502771</v>
      </c>
      <c r="G59" s="13" t="str">
        <f aca="false">IF(SUMIFS($C$120:$C$239,$A$120:$A$239,$A$59,$B$120:$B$239,G$11)=0,"",SUMIFS($N$120:$N$239,$A$120:$A$239,$A$59,$B$120:$B$239,G$11))</f>
        <v/>
      </c>
      <c r="H59" s="13" t="str">
        <f aca="false">IF(SUMIFS($C$120:$C$239,$A$120:$A$239,$A$59,$B$120:$B$239,H$11)=0,"",SUMIFS($N$120:$N$239,$A$120:$A$239,$A$59,$B$120:$B$239,H$11))</f>
        <v/>
      </c>
      <c r="I59" s="13" t="str">
        <f aca="false">IF(SUMIFS($C$120:$C$239,$A$120:$A$239,$A$59,$B$120:$B$239,I$11)=0,"",SUMIFS($N$120:$N$239,$A$120:$A$239,$A$59,$B$120:$B$239,I$11))</f>
        <v/>
      </c>
      <c r="J59" s="13" t="str">
        <f aca="false">IF(SUMIFS($C$120:$C$239,$A$120:$A$239,$A$59,$B$120:$B$239,J$11)=0,"",SUMIFS($N$120:$N$239,$A$120:$A$239,$A$59,$B$120:$B$239,J$11))</f>
        <v/>
      </c>
      <c r="K59" s="13" t="str">
        <f aca="false">IF(SUMIFS($C$120:$C$239,$A$120:$A$239,$A$59,$B$120:$B$239,K$11)=0,"",SUMIFS($N$120:$N$239,$A$120:$A$239,$A$59,$B$120:$B$239,K$11))</f>
        <v/>
      </c>
      <c r="L59" s="13" t="n">
        <f aca="false">V59/O59-1</f>
        <v>0.380317139168235</v>
      </c>
      <c r="M59" s="13" t="n">
        <f aca="false">IF($B59=0,"",(V59/O59)^(1/$B59)-1)</f>
        <v>0.174868988086857</v>
      </c>
      <c r="O59" s="42" t="n">
        <v>100</v>
      </c>
      <c r="P59" s="40" t="n">
        <f aca="false">IF(E59="",O59,O59*(1+E59))</f>
        <v>128.375592545617</v>
      </c>
      <c r="Q59" s="40" t="n">
        <f aca="false">IF(F59="",P59,P59*(1+F59))</f>
        <v>138.031713916823</v>
      </c>
      <c r="R59" s="40" t="n">
        <f aca="false">IF(G59="",Q59,Q59*(1+G59))</f>
        <v>138.031713916823</v>
      </c>
      <c r="S59" s="40" t="n">
        <f aca="false">IF(H59="",R59,R59*(1+H59))</f>
        <v>138.031713916823</v>
      </c>
      <c r="T59" s="40" t="n">
        <f aca="false">IF(I59="",S59,S59*(1+I59))</f>
        <v>138.031713916823</v>
      </c>
      <c r="U59" s="40" t="n">
        <f aca="false">IF(J59="",T59,T59*(1+J59))</f>
        <v>138.031713916823</v>
      </c>
      <c r="V59" s="40" t="n">
        <f aca="false">IF(K59="",U59,U59*(1+K59))</f>
        <v>138.031713916823</v>
      </c>
    </row>
    <row r="60" customFormat="false" ht="15" hidden="false" customHeight="false" outlineLevel="0" collapsed="false">
      <c r="D60" s="41" t="s">
        <v>105</v>
      </c>
      <c r="E60" s="13" t="n">
        <f aca="false">IF(SUMIFS($C$120:$C$239,$A$120:$A$239,$A$59,$B$120:$B$239,E$11)=0,"",SUMIFS($M$120:$M$239,$A$120:$A$239,$A$59,$B$120:$B$239,E$11))</f>
        <v>0.236457035532159</v>
      </c>
      <c r="F60" s="13" t="n">
        <f aca="false">IF(SUMIFS($C$120:$C$239,$A$120:$A$239,$A$59,$B$120:$B$239,F$11)=0,"",SUMIFS($M$120:$M$239,$A$120:$A$239,$A$59,$B$120:$B$239,F$11))</f>
        <v>0.0752177355502771</v>
      </c>
      <c r="G60" s="13" t="str">
        <f aca="false">IF(SUMIFS($C$120:$C$239,$A$120:$A$239,$A$59,$B$120:$B$239,G$11)=0,"",SUMIFS($M$120:$M$239,$A$120:$A$239,$A$59,$B$120:$B$239,G$11))</f>
        <v/>
      </c>
      <c r="H60" s="13" t="str">
        <f aca="false">IF(SUMIFS($C$120:$C$239,$A$120:$A$239,$A$59,$B$120:$B$239,H$11)=0,"",SUMIFS($M$120:$M$239,$A$120:$A$239,$A$59,$B$120:$B$239,H$11))</f>
        <v/>
      </c>
      <c r="I60" s="13" t="str">
        <f aca="false">IF(SUMIFS($C$120:$C$239,$A$120:$A$239,$A$59,$B$120:$B$239,I$11)=0,"",SUMIFS($M$120:$M$239,$A$120:$A$239,$A$59,$B$120:$B$239,I$11))</f>
        <v/>
      </c>
      <c r="J60" s="13" t="str">
        <f aca="false">IF(SUMIFS($C$120:$C$239,$A$120:$A$239,$A$59,$B$120:$B$239,J$11)=0,"",SUMIFS($M$120:$M$239,$A$120:$A$239,$A$59,$B$120:$B$239,J$11))</f>
        <v/>
      </c>
      <c r="K60" s="13" t="str">
        <f aca="false">IF(SUMIFS($C$120:$C$239,$A$120:$A$239,$A$59,$B$120:$B$239,K$11)=0,"",SUMIFS($M$120:$M$239,$A$120:$A$239,$A$59,$B$120:$B$239,K$11))</f>
        <v/>
      </c>
      <c r="L60" s="13" t="n">
        <f aca="false">V60/O60-1</f>
        <v>0.329460533850097</v>
      </c>
      <c r="M60" s="13" t="n">
        <f aca="false">IF($B59=0,"",(V60/O60)^(1/$B59)-1)</f>
        <v>0.153022347506802</v>
      </c>
      <c r="O60" s="42" t="n">
        <v>100</v>
      </c>
      <c r="P60" s="40" t="n">
        <f aca="false">IF(E60="",O60,O60*(1+E60))</f>
        <v>123.645703553216</v>
      </c>
      <c r="Q60" s="40" t="n">
        <f aca="false">IF(F60="",P60,P60*(1+F60))</f>
        <v>132.94605338501</v>
      </c>
      <c r="R60" s="40" t="n">
        <f aca="false">IF(G60="",Q60,Q60*(1+G60))</f>
        <v>132.94605338501</v>
      </c>
      <c r="S60" s="40" t="n">
        <f aca="false">IF(H60="",R60,R60*(1+H60))</f>
        <v>132.94605338501</v>
      </c>
      <c r="T60" s="40" t="n">
        <f aca="false">IF(I60="",S60,S60*(1+I60))</f>
        <v>132.94605338501</v>
      </c>
      <c r="U60" s="40" t="n">
        <f aca="false">IF(J60="",T60,T60*(1+J60))</f>
        <v>132.94605338501</v>
      </c>
      <c r="V60" s="40" t="n">
        <f aca="false">IF(K60="",U60,U60*(1+K60))</f>
        <v>132.94605338501</v>
      </c>
    </row>
    <row r="61" customFormat="false" ht="15" hidden="false" customHeight="false" outlineLevel="0" collapsed="false">
      <c r="A61" s="43"/>
      <c r="B61" s="43"/>
      <c r="C61" s="43"/>
      <c r="D61" s="44" t="s">
        <v>106</v>
      </c>
      <c r="E61" s="46" t="n">
        <f aca="false">IF(SUMIFS($C$120:$C$239,$A$120:$A$239,$A$59,$B$120:$B$239,E$11)=0,"",SUMIFS($L$120:$L$239,$A$120:$A$239,$A$59,$B$120:$B$239,E$11))</f>
        <v>0.047298889924012</v>
      </c>
      <c r="F61" s="46" t="n">
        <f aca="false">IF(SUMIFS($C$120:$C$239,$A$120:$A$239,$A$59,$B$120:$B$239,F$11)=0,"",SUMIFS($L$120:$L$239,$A$120:$A$239,$A$59,$B$120:$B$239,F$11))</f>
        <v>0</v>
      </c>
      <c r="G61" s="46" t="str">
        <f aca="false">IF(SUMIFS($C$120:$C$239,$A$120:$A$239,$A$59,$B$120:$B$239,G$11)=0,"",SUMIFS($L$120:$L$239,$A$120:$A$239,$A$59,$B$120:$B$239,G$11))</f>
        <v/>
      </c>
      <c r="H61" s="46" t="str">
        <f aca="false">IF(SUMIFS($C$120:$C$239,$A$120:$A$239,$A$59,$B$120:$B$239,H$11)=0,"",SUMIFS($L$120:$L$239,$A$120:$A$239,$A$59,$B$120:$B$239,H$11))</f>
        <v/>
      </c>
      <c r="I61" s="46" t="str">
        <f aca="false">IF(SUMIFS($C$120:$C$239,$A$120:$A$239,$A$59,$B$120:$B$239,I$11)=0,"",SUMIFS($L$120:$L$239,$A$120:$A$239,$A$59,$B$120:$B$239,I$11))</f>
        <v/>
      </c>
      <c r="J61" s="46" t="str">
        <f aca="false">IF(SUMIFS($C$120:$C$239,$A$120:$A$239,$A$59,$B$120:$B$239,J$11)=0,"",SUMIFS($L$120:$L$239,$A$120:$A$239,$A$59,$B$120:$B$239,J$11))</f>
        <v/>
      </c>
      <c r="K61" s="46" t="str">
        <f aca="false">IF(SUMIFS($C$120:$C$239,$A$120:$A$239,$A$59,$B$120:$B$239,K$11)=0,"",SUMIFS($L$120:$L$239,$A$120:$A$239,$A$59,$B$120:$B$239,K$11))</f>
        <v/>
      </c>
      <c r="L61" s="46" t="n">
        <f aca="false">V61/O61-1</f>
        <v>0.0472988899240119</v>
      </c>
      <c r="M61" s="46" t="n">
        <f aca="false">IF($B59=0,"",(V61/O61)^(1/$B59)-1)</f>
        <v>0.0233762211054211</v>
      </c>
      <c r="N61" s="43"/>
      <c r="O61" s="47" t="n">
        <v>100</v>
      </c>
      <c r="P61" s="45" t="n">
        <f aca="false">IF(E61="",O61,O61*(1+E61))</f>
        <v>104.729888992401</v>
      </c>
      <c r="Q61" s="45" t="n">
        <f aca="false">IF(F61="",P61,P61*(1+F61))</f>
        <v>104.729888992401</v>
      </c>
      <c r="R61" s="45" t="n">
        <f aca="false">IF(G61="",Q61,Q61*(1+G61))</f>
        <v>104.729888992401</v>
      </c>
      <c r="S61" s="45" t="n">
        <f aca="false">IF(H61="",R61,R61*(1+H61))</f>
        <v>104.729888992401</v>
      </c>
      <c r="T61" s="45" t="n">
        <f aca="false">IF(I61="",S61,S61*(1+I61))</f>
        <v>104.729888992401</v>
      </c>
      <c r="U61" s="45" t="n">
        <f aca="false">IF(J61="",T61,T61*(1+J61))</f>
        <v>104.729888992401</v>
      </c>
      <c r="V61" s="45" t="n">
        <f aca="false">IF(K61="",U61,U61*(1+K61))</f>
        <v>104.729888992401</v>
      </c>
    </row>
    <row r="64" customFormat="false" ht="15" hidden="false" customHeight="false" outlineLevel="0" collapsed="false">
      <c r="A64" s="38" t="s">
        <v>109</v>
      </c>
      <c r="B64" s="39"/>
      <c r="C64" s="39"/>
      <c r="D64" s="39"/>
      <c r="E64" s="38" t="s">
        <v>97</v>
      </c>
      <c r="F64" s="39"/>
      <c r="G64" s="39"/>
      <c r="H64" s="39"/>
      <c r="I64" s="39"/>
      <c r="J64" s="39"/>
      <c r="K64" s="39"/>
      <c r="L64" s="39"/>
      <c r="M64" s="39"/>
      <c r="N64" s="39"/>
      <c r="O64" s="38" t="s">
        <v>98</v>
      </c>
      <c r="P64" s="39"/>
      <c r="Q64" s="39"/>
      <c r="R64" s="39"/>
      <c r="S64" s="39"/>
      <c r="T64" s="39"/>
      <c r="U64" s="39"/>
      <c r="V64" s="39"/>
    </row>
    <row r="65" customFormat="false" ht="31.5" hidden="false" customHeight="true" outlineLevel="0" collapsed="false">
      <c r="A65" s="12" t="s">
        <v>12</v>
      </c>
      <c r="B65" s="12" t="s">
        <v>99</v>
      </c>
      <c r="C65" s="12" t="s">
        <v>110</v>
      </c>
      <c r="D65" s="12"/>
      <c r="E65" s="6" t="n">
        <v>2009</v>
      </c>
      <c r="F65" s="7" t="n">
        <f aca="false">E65+1</f>
        <v>2010</v>
      </c>
      <c r="G65" s="7" t="n">
        <f aca="false">F65+1</f>
        <v>2011</v>
      </c>
      <c r="H65" s="7" t="n">
        <f aca="false">G65+1</f>
        <v>2012</v>
      </c>
      <c r="I65" s="7" t="n">
        <f aca="false">H65+1</f>
        <v>2013</v>
      </c>
      <c r="J65" s="7" t="n">
        <f aca="false">I65+1</f>
        <v>2014</v>
      </c>
      <c r="K65" s="7" t="n">
        <f aca="false">J65+1</f>
        <v>2015</v>
      </c>
      <c r="L65" s="7" t="s">
        <v>101</v>
      </c>
      <c r="M65" s="7" t="s">
        <v>102</v>
      </c>
      <c r="O65" s="7" t="n">
        <f aca="false">E65-1</f>
        <v>2008</v>
      </c>
      <c r="P65" s="7" t="n">
        <f aca="false">O65+1</f>
        <v>2009</v>
      </c>
      <c r="Q65" s="7" t="n">
        <f aca="false">P65+1</f>
        <v>2010</v>
      </c>
      <c r="R65" s="7" t="n">
        <f aca="false">Q65+1</f>
        <v>2011</v>
      </c>
      <c r="S65" s="7" t="n">
        <f aca="false">R65+1</f>
        <v>2012</v>
      </c>
      <c r="T65" s="7" t="n">
        <f aca="false">S65+1</f>
        <v>2013</v>
      </c>
      <c r="U65" s="7" t="n">
        <f aca="false">T65+1</f>
        <v>2014</v>
      </c>
      <c r="V65" s="7" t="n">
        <f aca="false">U65+1</f>
        <v>2015</v>
      </c>
    </row>
    <row r="66" customFormat="false" ht="15" hidden="false" customHeight="false" outlineLevel="0" collapsed="false">
      <c r="A66" s="4" t="s">
        <v>103</v>
      </c>
      <c r="B66" s="8" t="n">
        <f aca="false">COUNT(E66:K66)</f>
        <v>7</v>
      </c>
      <c r="C66" s="40" t="n">
        <f aca="false">K70</f>
        <v>1002.48718099841</v>
      </c>
      <c r="D66" s="41" t="s">
        <v>104</v>
      </c>
      <c r="E66" s="13" t="n">
        <f aca="false">IF(E68="","",E68+E67)</f>
        <v>0.109739378924447</v>
      </c>
      <c r="F66" s="13" t="n">
        <f aca="false">IF(F68="","",F68+F67)</f>
        <v>0.196278896262784</v>
      </c>
      <c r="G66" s="13" t="n">
        <f aca="false">IF(G68="","",G68+G67)</f>
        <v>0.300750431072296</v>
      </c>
      <c r="H66" s="13" t="n">
        <f aca="false">IF(H68="","",H68+H67)</f>
        <v>-0.0696034260473684</v>
      </c>
      <c r="I66" s="13" t="n">
        <f aca="false">IF(I68="","",I68+I67)</f>
        <v>0.0556028558710479</v>
      </c>
      <c r="J66" s="13" t="n">
        <f aca="false">IF(J68="","",J68+J67)</f>
        <v>0.217002089108951</v>
      </c>
      <c r="K66" s="13" t="n">
        <f aca="false">IF(K68="","",K68+K67)</f>
        <v>-0.275537878078324</v>
      </c>
      <c r="L66" s="13" t="n">
        <f aca="false">V66/O66-1</f>
        <v>0.495281924152873</v>
      </c>
      <c r="M66" s="13" t="n">
        <f aca="false">IF($B66=0,"",(V66/O66)^(1/$B66)-1)</f>
        <v>0.0591572430302758</v>
      </c>
      <c r="O66" s="42" t="n">
        <v>100</v>
      </c>
      <c r="P66" s="40" t="n">
        <f aca="false">IF(E66="",O66,O66*(1+E66))</f>
        <v>110.973937892445</v>
      </c>
      <c r="Q66" s="40" t="n">
        <f aca="false">IF(F66="",P66,P66*(1+F66))</f>
        <v>132.755779935908</v>
      </c>
      <c r="R66" s="40" t="n">
        <f aca="false">IF(G66="",Q66,Q66*(1+G66))</f>
        <v>172.682137978972</v>
      </c>
      <c r="S66" s="40" t="n">
        <f aca="false">IF(H66="",R66,R66*(1+H66))</f>
        <v>160.662869558451</v>
      </c>
      <c r="T66" s="40" t="n">
        <f aca="false">IF(I66="",S66,S66*(1+I66))</f>
        <v>169.596183938338</v>
      </c>
      <c r="U66" s="40" t="n">
        <f aca="false">IF(J66="",T66,T66*(1+J66))</f>
        <v>206.398910157864</v>
      </c>
      <c r="V66" s="40" t="n">
        <f aca="false">IF(K66="",U66,U66*(1+K66))</f>
        <v>149.528192415287</v>
      </c>
    </row>
    <row r="67" customFormat="false" ht="15" hidden="false" customHeight="false" outlineLevel="0" collapsed="false">
      <c r="D67" s="41" t="s">
        <v>105</v>
      </c>
      <c r="E67" s="13" t="n">
        <f aca="false">IF(SUMIFS($J$244:$J$363,$B$244:$B$363,E$65)=0,"",SUMIFS($K$244:$K$363,$B$244:$B$363,E$65)/SUMIFS($J$244:$J$363,$B$244:$B$363,E$65))</f>
        <v>0.0875181887322061</v>
      </c>
      <c r="F67" s="13" t="n">
        <f aca="false">IF(SUMIFS($J$244:$J$363,$B$244:$B$363,F$65)=0,"",SUMIFS($K$244:$K$363,$B$244:$B$363,F$65)/SUMIFS($J$244:$J$363,$B$244:$B$363,F$65))</f>
        <v>0.170540024870881</v>
      </c>
      <c r="G67" s="13" t="n">
        <f aca="false">IF(SUMIFS($J$244:$J$363,$B$244:$B$363,G$65)=0,"",SUMIFS($K$244:$K$363,$B$244:$B$363,G$65)/SUMIFS($J$244:$J$363,$B$244:$B$363,G$65))</f>
        <v>0.282577065231835</v>
      </c>
      <c r="H67" s="13" t="n">
        <f aca="false">IF(SUMIFS($J$244:$J$363,$B$244:$B$363,H$65)=0,"",SUMIFS($K$244:$K$363,$B$244:$B$363,H$65)/SUMIFS($J$244:$J$363,$B$244:$B$363,H$65))</f>
        <v>-0.0935619031815883</v>
      </c>
      <c r="I67" s="13" t="n">
        <f aca="false">IF(SUMIFS($J$244:$J$363,$B$244:$B$363,I$65)=0,"",SUMIFS($K$244:$K$363,$B$244:$B$363,I$65)/SUMIFS($J$244:$J$363,$B$244:$B$363,I$65))</f>
        <v>0.0339187791418903</v>
      </c>
      <c r="J67" s="13" t="n">
        <f aca="false">IF(SUMIFS($J$244:$J$363,$B$244:$B$363,J$65)=0,"",SUMIFS($K$244:$K$363,$B$244:$B$363,J$65)/SUMIFS($J$244:$J$363,$B$244:$B$363,J$65))</f>
        <v>0.195715667058391</v>
      </c>
      <c r="K67" s="13" t="n">
        <f aca="false">IF(SUMIFS($J$244:$J$363,$B$244:$B$363,K$65)=0,"",SUMIFS($K$244:$K$363,$B$244:$B$363,K$65)/SUMIFS($J$244:$J$363,$B$244:$B$363,K$65))</f>
        <v>-0.289343601442654</v>
      </c>
      <c r="L67" s="13" t="n">
        <f aca="false">V67/O67-1</f>
        <v>0.300224758311954</v>
      </c>
      <c r="M67" s="13" t="n">
        <f aca="false">IF($B66=0,"",(V67/O67)^(1/$B66)-1)</f>
        <v>0.0382175056316798</v>
      </c>
      <c r="O67" s="42" t="n">
        <v>100</v>
      </c>
      <c r="P67" s="40" t="n">
        <f aca="false">IF(E67="",O67,O67*(1+E67))</f>
        <v>108.751818873221</v>
      </c>
      <c r="Q67" s="40" t="n">
        <f aca="false">IF(F67="",P67,P67*(1+F67))</f>
        <v>127.298356768613</v>
      </c>
      <c r="R67" s="40" t="n">
        <f aca="false">IF(G67="",Q67,Q67*(1+G67))</f>
        <v>163.269952833123</v>
      </c>
      <c r="S67" s="40" t="n">
        <f aca="false">IF(H67="",R67,R67*(1+H67))</f>
        <v>147.994105313688</v>
      </c>
      <c r="T67" s="40" t="n">
        <f aca="false">IF(I67="",S67,S67*(1+I67))</f>
        <v>153.013884686125</v>
      </c>
      <c r="U67" s="40" t="n">
        <f aca="false">IF(J67="",T67,T67*(1+J67))</f>
        <v>182.961099196665</v>
      </c>
      <c r="V67" s="40" t="n">
        <f aca="false">IF(K67="",U67,U67*(1+K67))</f>
        <v>130.022475831195</v>
      </c>
    </row>
    <row r="68" customFormat="false" ht="15" hidden="false" customHeight="false" outlineLevel="0" collapsed="false">
      <c r="D68" s="41" t="s">
        <v>106</v>
      </c>
      <c r="E68" s="13" t="n">
        <f aca="false">IF(SUMIFS($J$244:$J$363,$B$244:$B$363,E$65)=0,"",SUMIFS($F$244:$F$363,$B$244:$B$363,E$65,$C$244:$C$363,1)/SUMIFS($J$244:$J$363,$B$244:$B$363,E$65))</f>
        <v>0.0222211901922407</v>
      </c>
      <c r="F68" s="13" t="n">
        <f aca="false">IF(SUMIFS($J$244:$J$363,$B$244:$B$363,F$65)=0,"",SUMIFS($F$244:$F$363,$B$244:$B$363,F$65,$C$244:$C$363,1)/SUMIFS($J$244:$J$363,$B$244:$B$363,F$65))</f>
        <v>0.0257388713919025</v>
      </c>
      <c r="G68" s="13" t="n">
        <f aca="false">IF(SUMIFS($J$244:$J$363,$B$244:$B$363,G$65)=0,"",SUMIFS($F$244:$F$363,$B$244:$B$363,G$65,$C$244:$C$363,1)/SUMIFS($J$244:$J$363,$B$244:$B$363,G$65))</f>
        <v>0.0181733658404615</v>
      </c>
      <c r="H68" s="13" t="n">
        <f aca="false">IF(SUMIFS($J$244:$J$363,$B$244:$B$363,H$65)=0,"",SUMIFS($F$244:$F$363,$B$244:$B$363,H$65,$C$244:$C$363,1)/SUMIFS($J$244:$J$363,$B$244:$B$363,H$65))</f>
        <v>0.02395847713422</v>
      </c>
      <c r="I68" s="13" t="n">
        <f aca="false">IF(SUMIFS($J$244:$J$363,$B$244:$B$363,I$65)=0,"",SUMIFS($F$244:$F$363,$B$244:$B$363,I$65,$C$244:$C$363,1)/SUMIFS($J$244:$J$363,$B$244:$B$363,I$65))</f>
        <v>0.0216840767291576</v>
      </c>
      <c r="J68" s="13" t="n">
        <f aca="false">IF(SUMIFS($J$244:$J$363,$B$244:$B$363,J$65)=0,"",SUMIFS($F$244:$F$363,$B$244:$B$363,J$65,$C$244:$C$363,1)/SUMIFS($J$244:$J$363,$B$244:$B$363,J$65))</f>
        <v>0.0212864220505594</v>
      </c>
      <c r="K68" s="13" t="n">
        <f aca="false">IF(SUMIFS($J$244:$J$363,$B$244:$B$363,K$65)=0,"",SUMIFS($F$244:$F$363,$B$244:$B$363,K$65,$C$244:$C$363,1)/SUMIFS($J$244:$J$363,$B$244:$B$363,K$65))</f>
        <v>0.0138057233643297</v>
      </c>
      <c r="L68" s="13" t="n">
        <f aca="false">V68/O68-1</f>
        <v>0.156390972999752</v>
      </c>
      <c r="M68" s="13" t="n">
        <f aca="false">IF($B66=0,"",(V68/O68)^(1/$B66)-1)</f>
        <v>0.0209746431569544</v>
      </c>
      <c r="O68" s="42" t="n">
        <v>100</v>
      </c>
      <c r="P68" s="40" t="n">
        <f aca="false">IF(E68="",O68,O68*(1+E68))</f>
        <v>102.222119019224</v>
      </c>
      <c r="Q68" s="40" t="n">
        <f aca="false">IF(F68="",P68,P68*(1+F68))</f>
        <v>104.853200994068</v>
      </c>
      <c r="R68" s="40" t="n">
        <f aca="false">IF(G68="",Q68,Q68*(1+G68))</f>
        <v>106.758736575276</v>
      </c>
      <c r="S68" s="40" t="n">
        <f aca="false">IF(H68="",R68,R68*(1+H68))</f>
        <v>109.316513324393</v>
      </c>
      <c r="T68" s="40" t="n">
        <f aca="false">IF(I68="",S68,S68*(1+I68))</f>
        <v>111.686940987083</v>
      </c>
      <c r="U68" s="40" t="n">
        <f aca="false">IF(J68="",T68,T68*(1+J68))</f>
        <v>114.06435635047</v>
      </c>
      <c r="V68" s="40" t="n">
        <f aca="false">IF(K68="",U68,U68*(1+K68))</f>
        <v>115.639097299975</v>
      </c>
    </row>
    <row r="69" customFormat="false" ht="15" hidden="false" customHeight="false" outlineLevel="0" collapsed="false">
      <c r="D69" s="41" t="s">
        <v>107</v>
      </c>
      <c r="E69" s="10" t="n">
        <f aca="false">COUNTIFS($B$244:$B$363,E$65,$E$244:$E$363,"&gt;0")</f>
        <v>11</v>
      </c>
      <c r="F69" s="10" t="n">
        <f aca="false">COUNTIFS($B$244:$B$363,F$65,$E$244:$E$363,"&gt;0")</f>
        <v>11</v>
      </c>
      <c r="G69" s="10" t="n">
        <f aca="false">COUNTIFS($B$244:$B$363,G$65,$E$244:$E$363,"&gt;0")</f>
        <v>10</v>
      </c>
      <c r="H69" s="10" t="n">
        <f aca="false">COUNTIFS($B$244:$B$363,H$65,$E$244:$E$363,"&gt;0")</f>
        <v>14</v>
      </c>
      <c r="I69" s="10" t="n">
        <f aca="false">COUNTIFS($B$244:$B$363,I$65,$E$244:$E$363,"&gt;0")</f>
        <v>14</v>
      </c>
      <c r="J69" s="10" t="n">
        <f aca="false">COUNTIFS($B$244:$B$363,J$65,$E$244:$E$363,"&gt;0")</f>
        <v>13</v>
      </c>
      <c r="K69" s="10" t="n">
        <f aca="false">COUNTIFS($B$244:$B$363,K$65,$E$244:$E$363,"&gt;0")</f>
        <v>13</v>
      </c>
    </row>
    <row r="70" customFormat="false" ht="15" hidden="false" customHeight="false" outlineLevel="0" collapsed="false">
      <c r="A70" s="43"/>
      <c r="B70" s="43"/>
      <c r="C70" s="43"/>
      <c r="D70" s="44" t="s">
        <v>111</v>
      </c>
      <c r="E70" s="45" t="n">
        <f aca="false">SUMIFS($E$244:$E$363,$B$244:$B$363,E$65)/1000</f>
        <v>742.794000794597</v>
      </c>
      <c r="F70" s="45" t="n">
        <f aca="false">SUMIFS($E$244:$E$363,$B$244:$B$363,F$65)/1000</f>
        <v>867.860571968612</v>
      </c>
      <c r="G70" s="45" t="n">
        <f aca="false">SUMIFS($E$244:$E$363,$B$244:$B$363,G$65)/1000</f>
        <v>1090.57318512079</v>
      </c>
      <c r="H70" s="45" t="n">
        <f aca="false">SUMIFS($E$244:$E$363,$B$244:$B$363,H$65)/1000</f>
        <v>1140.2402993894</v>
      </c>
      <c r="I70" s="45" t="n">
        <f aca="false">SUMIFS($E$244:$E$363,$B$244:$B$363,I$65)/1000</f>
        <v>1178.50103392142</v>
      </c>
      <c r="J70" s="45" t="n">
        <f aca="false">SUMIFS($E$244:$E$363,$B$244:$B$363,J$65)/1000</f>
        <v>1406.7231339333</v>
      </c>
      <c r="K70" s="45" t="n">
        <f aca="false">SUMIFS($E$244:$E$363,$B$244:$B$363,K$65)/1000</f>
        <v>1002.48718099841</v>
      </c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customFormat="false" ht="15" hidden="false" customHeight="false" outlineLevel="0" collapsed="false">
      <c r="A71" s="4" t="s">
        <v>19</v>
      </c>
      <c r="B71" s="8" t="n">
        <f aca="false">COUNT(E71:K71)</f>
        <v>7</v>
      </c>
      <c r="C71" s="40" t="n">
        <f aca="false">SUMIFS($E$244:$E$363,$A$244:$A$363,$A71,$B$244:$B$363,K$65)/1000</f>
        <v>85.725231331408</v>
      </c>
      <c r="D71" s="41" t="s">
        <v>104</v>
      </c>
      <c r="E71" s="13" t="n">
        <f aca="false">IF(SUMIFS($C$244:$C$363,$A$244:$A$363,$A$71,$B$244:$B$363,E$65)=0,"",SUMIFS($N$244:$N$363,$A$244:$A$363,$A$71,$B$244:$B$363,E$65))</f>
        <v>-0.0413943408308318</v>
      </c>
      <c r="F71" s="13" t="n">
        <f aca="false">IF(SUMIFS($C$244:$C$363,$A$244:$A$363,$A$71,$B$244:$B$363,F$65)=0,"",SUMIFS($N$244:$N$363,$A$244:$A$363,$A$71,$B$244:$B$363,F$65))</f>
        <v>0.259842889139988</v>
      </c>
      <c r="G71" s="13" t="n">
        <f aca="false">IF(SUMIFS($C$244:$C$363,$A$244:$A$363,$A$71,$B$244:$B$363,G$65)=0,"",SUMIFS($N$244:$N$363,$A$244:$A$363,$A$71,$B$244:$B$363,G$65))</f>
        <v>0.199182303678673</v>
      </c>
      <c r="H71" s="13" t="n">
        <f aca="false">IF(SUMIFS($C$244:$C$363,$A$244:$A$363,$A$71,$B$244:$B$363,H$65)=0,"",SUMIFS($N$244:$N$363,$A$244:$A$363,$A$71,$B$244:$B$363,H$65))</f>
        <v>-0.0194785990378193</v>
      </c>
      <c r="I71" s="13" t="n">
        <f aca="false">IF(SUMIFS($C$244:$C$363,$A$244:$A$363,$A$71,$B$244:$B$363,I$65)=0,"",SUMIFS($N$244:$N$363,$A$244:$A$363,$A$71,$B$244:$B$363,I$65))</f>
        <v>-0.0472435506457898</v>
      </c>
      <c r="J71" s="13" t="n">
        <f aca="false">IF(SUMIFS($C$244:$C$363,$A$244:$A$363,$A$71,$B$244:$B$363,J$65)=0,"",SUMIFS($N$244:$N$363,$A$244:$A$363,$A$71,$B$244:$B$363,J$65))</f>
        <v>0.234395309202413</v>
      </c>
      <c r="K71" s="13" t="n">
        <f aca="false">IF(SUMIFS($C$244:$C$363,$A$244:$A$363,$A$71,$B$244:$B$363,K$65)=0,"",SUMIFS($N$244:$N$363,$A$244:$A$363,$A$71,$B$244:$B$363,K$65))</f>
        <v>-0.264564243881046</v>
      </c>
      <c r="L71" s="13" t="n">
        <f aca="false">V71/O71-1</f>
        <v>0.228229620008687</v>
      </c>
      <c r="M71" s="13" t="n">
        <f aca="false">IF($B71=0,"",(V71/O71)^(1/$B71)-1)</f>
        <v>0.0298031686720375</v>
      </c>
      <c r="O71" s="42" t="n">
        <v>100</v>
      </c>
      <c r="P71" s="40" t="n">
        <f aca="false">IF(E71="",O71,O71*(1+E71))</f>
        <v>95.8605659169168</v>
      </c>
      <c r="Q71" s="40" t="n">
        <f aca="false">IF(F71="",P71,P71*(1+F71))</f>
        <v>120.769252319363</v>
      </c>
      <c r="R71" s="40" t="n">
        <f aca="false">IF(G71="",Q71,Q71*(1+G71))</f>
        <v>144.824350209884</v>
      </c>
      <c r="S71" s="40" t="n">
        <f aca="false">IF(H71="",R71,R71*(1+H71))</f>
        <v>142.003374761233</v>
      </c>
      <c r="T71" s="40" t="n">
        <f aca="false">IF(I71="",S71,S71*(1+I71))</f>
        <v>135.294631133828</v>
      </c>
      <c r="U71" s="40" t="n">
        <f aca="false">IF(J71="",T71,T71*(1+J71))</f>
        <v>167.007058031868</v>
      </c>
      <c r="V71" s="40" t="n">
        <f aca="false">IF(K71="",U71,U71*(1+K71))</f>
        <v>122.822962000869</v>
      </c>
    </row>
    <row r="72" customFormat="false" ht="15" hidden="false" customHeight="false" outlineLevel="0" collapsed="false">
      <c r="D72" s="41" t="s">
        <v>105</v>
      </c>
      <c r="E72" s="13" t="n">
        <f aca="false">IF(SUMIFS($C$244:$C$363,$A$244:$A$363,$A$71,$B$244:$B$363,E$65)=0,"",SUMIFS($M$244:$M$363,$A$244:$A$363,$A$71,$B$244:$B$363,E$65))</f>
        <v>-0.0787355134284665</v>
      </c>
      <c r="F72" s="13" t="n">
        <f aca="false">IF(SUMIFS($C$244:$C$363,$A$244:$A$363,$A$71,$B$244:$B$363,F$65)=0,"",SUMIFS($M$244:$M$363,$A$244:$A$363,$A$71,$B$244:$B$363,F$65))</f>
        <v>0.213213637093572</v>
      </c>
      <c r="G72" s="13" t="n">
        <f aca="false">IF(SUMIFS($C$244:$C$363,$A$244:$A$363,$A$71,$B$244:$B$363,G$65)=0,"",SUMIFS($M$244:$M$363,$A$244:$A$363,$A$71,$B$244:$B$363,G$65))</f>
        <v>0.176457884696942</v>
      </c>
      <c r="H72" s="13" t="n">
        <f aca="false">IF(SUMIFS($C$244:$C$363,$A$244:$A$363,$A$71,$B$244:$B$363,H$65)=0,"",SUMIFS($M$244:$M$363,$A$244:$A$363,$A$71,$B$244:$B$363,H$65))</f>
        <v>-0.0485233954032332</v>
      </c>
      <c r="I72" s="13" t="n">
        <f aca="false">IF(SUMIFS($C$244:$C$363,$A$244:$A$363,$A$71,$B$244:$B$363,I$65)=0,"",SUMIFS($M$244:$M$363,$A$244:$A$363,$A$71,$B$244:$B$363,I$65))</f>
        <v>-0.0712625480414169</v>
      </c>
      <c r="J72" s="13" t="n">
        <f aca="false">IF(SUMIFS($C$244:$C$363,$A$244:$A$363,$A$71,$B$244:$B$363,J$65)=0,"",SUMIFS($M$244:$M$363,$A$244:$A$363,$A$71,$B$244:$B$363,J$65))</f>
        <v>0.20902365228125</v>
      </c>
      <c r="K72" s="13" t="n">
        <f aca="false">IF(SUMIFS($C$244:$C$363,$A$244:$A$363,$A$71,$B$244:$B$363,K$65)=0,"",SUMIFS($M$244:$M$363,$A$244:$A$363,$A$71,$B$244:$B$363,K$65))</f>
        <v>-0.282604799180039</v>
      </c>
      <c r="L72" s="13" t="n">
        <f aca="false">V72/O72-1</f>
        <v>0.00781852153317364</v>
      </c>
      <c r="M72" s="13" t="n">
        <f aca="false">IF($B71=0,"",(V72/O72)^(1/$B71)-1)</f>
        <v>0.00111320705248996</v>
      </c>
      <c r="O72" s="42" t="n">
        <v>100</v>
      </c>
      <c r="P72" s="40" t="n">
        <f aca="false">IF(E72="",O72,O72*(1+E72))</f>
        <v>92.1264486571534</v>
      </c>
      <c r="Q72" s="40" t="n">
        <f aca="false">IF(F72="",P72,P72*(1+F72))</f>
        <v>111.769063847859</v>
      </c>
      <c r="R72" s="40" t="n">
        <f aca="false">IF(G72="",Q72,Q72*(1+G72))</f>
        <v>131.49159642901</v>
      </c>
      <c r="S72" s="40" t="n">
        <f aca="false">IF(H72="",R72,R72*(1+H72))</f>
        <v>125.111177703283</v>
      </c>
      <c r="T72" s="40" t="n">
        <f aca="false">IF(I72="",S72,S72*(1+I72))</f>
        <v>116.195436391684</v>
      </c>
      <c r="U72" s="40" t="n">
        <f aca="false">IF(J72="",T72,T72*(1+J72))</f>
        <v>140.483030884688</v>
      </c>
      <c r="V72" s="40" t="n">
        <f aca="false">IF(K72="",U72,U72*(1+K72))</f>
        <v>100.781852153317</v>
      </c>
    </row>
    <row r="73" customFormat="false" ht="15" hidden="false" customHeight="false" outlineLevel="0" collapsed="false">
      <c r="A73" s="43"/>
      <c r="B73" s="43"/>
      <c r="C73" s="43"/>
      <c r="D73" s="44" t="s">
        <v>106</v>
      </c>
      <c r="E73" s="46" t="n">
        <f aca="false">IF(SUMIFS($C$244:$C$363,$A$244:$A$363,$A$71,$B$244:$B$363,E$65)=0,"",SUMIFS($L$244:$L$363,$A$244:$A$363,$A$71,$B$244:$B$363,E$65))</f>
        <v>0.0373411725976346</v>
      </c>
      <c r="F73" s="46" t="n">
        <f aca="false">IF(SUMIFS($C$244:$C$363,$A$244:$A$363,$A$71,$B$244:$B$363,F$65)=0,"",SUMIFS($L$244:$L$363,$A$244:$A$363,$A$71,$B$244:$B$363,F$65))</f>
        <v>0.0466292520464157</v>
      </c>
      <c r="G73" s="46" t="n">
        <f aca="false">IF(SUMIFS($C$244:$C$363,$A$244:$A$363,$A$71,$B$244:$B$363,G$65)=0,"",SUMIFS($L$244:$L$363,$A$244:$A$363,$A$71,$B$244:$B$363,G$65))</f>
        <v>0.0227244189817313</v>
      </c>
      <c r="H73" s="46" t="n">
        <f aca="false">IF(SUMIFS($C$244:$C$363,$A$244:$A$363,$A$71,$B$244:$B$363,H$65)=0,"",SUMIFS($L$244:$L$363,$A$244:$A$363,$A$71,$B$244:$B$363,H$65))</f>
        <v>0.029044796365414</v>
      </c>
      <c r="I73" s="46" t="n">
        <f aca="false">IF(SUMIFS($C$244:$C$363,$A$244:$A$363,$A$71,$B$244:$B$363,I$65)=0,"",SUMIFS($L$244:$L$363,$A$244:$A$363,$A$71,$B$244:$B$363,I$65))</f>
        <v>0.0240189973956271</v>
      </c>
      <c r="J73" s="46" t="n">
        <f aca="false">IF(SUMIFS($C$244:$C$363,$A$244:$A$363,$A$71,$B$244:$B$363,J$65)=0,"",SUMIFS($L$244:$L$363,$A$244:$A$363,$A$71,$B$244:$B$363,J$65))</f>
        <v>0.0253716569211633</v>
      </c>
      <c r="K73" s="46" t="n">
        <f aca="false">IF(SUMIFS($C$244:$C$363,$A$244:$A$363,$A$71,$B$244:$B$363,K$65)=0,"",SUMIFS($L$244:$L$363,$A$244:$A$363,$A$71,$B$244:$B$363,K$65))</f>
        <v>0.0180405552989925</v>
      </c>
      <c r="L73" s="46" t="n">
        <f aca="false">V73/O73-1</f>
        <v>0.221410901696278</v>
      </c>
      <c r="M73" s="46" t="n">
        <f aca="false">IF($B71=0,"",(V73/O73)^(1/$B71)-1)</f>
        <v>0.0289844871154767</v>
      </c>
      <c r="N73" s="43"/>
      <c r="O73" s="47" t="n">
        <v>100</v>
      </c>
      <c r="P73" s="45" t="n">
        <f aca="false">IF(E73="",O73,O73*(1+E73))</f>
        <v>103.734117259763</v>
      </c>
      <c r="Q73" s="45" t="n">
        <f aca="false">IF(F73="",P73,P73*(1+F73))</f>
        <v>108.571161559281</v>
      </c>
      <c r="R73" s="45" t="n">
        <f aca="false">IF(G73="",Q73,Q73*(1+G73))</f>
        <v>111.038378123888</v>
      </c>
      <c r="S73" s="45" t="n">
        <f aca="false">IF(H73="",R73,R73*(1+H73))</f>
        <v>114.263465205242</v>
      </c>
      <c r="T73" s="45" t="n">
        <f aca="false">IF(I73="",S73,S73*(1+I73))</f>
        <v>117.007959078422</v>
      </c>
      <c r="U73" s="45" t="n">
        <f aca="false">IF(J73="",T73,T73*(1+J73))</f>
        <v>119.976644873205</v>
      </c>
      <c r="V73" s="45" t="n">
        <f aca="false">IF(K73="",U73,U73*(1+K73))</f>
        <v>122.141090169628</v>
      </c>
    </row>
    <row r="74" customFormat="false" ht="15" hidden="false" customHeight="false" outlineLevel="0" collapsed="false">
      <c r="A74" s="4" t="s">
        <v>20</v>
      </c>
      <c r="B74" s="8" t="n">
        <f aca="false">COUNT(E74:K74)</f>
        <v>7</v>
      </c>
      <c r="C74" s="40" t="n">
        <f aca="false">SUMIFS($E$244:$E$363,$A$244:$A$363,$A74,$B$244:$B$363,K$65)/1000</f>
        <v>139.550303530383</v>
      </c>
      <c r="D74" s="41" t="s">
        <v>104</v>
      </c>
      <c r="E74" s="13" t="n">
        <f aca="false">IF(SUMIFS($C$244:$C$363,$A$244:$A$363,$A$74,$B$244:$B$363,E$65)=0,"",SUMIFS($N$244:$N$363,$A$244:$A$363,$A$74,$B$244:$B$363,E$65))</f>
        <v>-0.0259009534876592</v>
      </c>
      <c r="F74" s="13" t="n">
        <f aca="false">IF(SUMIFS($C$244:$C$363,$A$244:$A$363,$A$74,$B$244:$B$363,F$65)=0,"",SUMIFS($N$244:$N$363,$A$244:$A$363,$A$74,$B$244:$B$363,F$65))</f>
        <v>0.237962859266138</v>
      </c>
      <c r="G74" s="13" t="n">
        <f aca="false">IF(SUMIFS($C$244:$C$363,$A$244:$A$363,$A$74,$B$244:$B$363,G$65)=0,"",SUMIFS($N$244:$N$363,$A$244:$A$363,$A$74,$B$244:$B$363,G$65))</f>
        <v>0.236322086696506</v>
      </c>
      <c r="H74" s="13" t="n">
        <f aca="false">IF(SUMIFS($C$244:$C$363,$A$244:$A$363,$A$74,$B$244:$B$363,H$65)=0,"",SUMIFS($N$244:$N$363,$A$244:$A$363,$A$74,$B$244:$B$363,H$65))</f>
        <v>-0.0449690797288067</v>
      </c>
      <c r="I74" s="13" t="n">
        <f aca="false">IF(SUMIFS($C$244:$C$363,$A$244:$A$363,$A$74,$B$244:$B$363,I$65)=0,"",SUMIFS($N$244:$N$363,$A$244:$A$363,$A$74,$B$244:$B$363,I$65))</f>
        <v>-0.0610222302736295</v>
      </c>
      <c r="J74" s="13" t="n">
        <f aca="false">IF(SUMIFS($C$244:$C$363,$A$244:$A$363,$A$74,$B$244:$B$363,J$65)=0,"",SUMIFS($N$244:$N$363,$A$244:$A$363,$A$74,$B$244:$B$363,J$65))</f>
        <v>0.403146761130548</v>
      </c>
      <c r="K74" s="13" t="n">
        <f aca="false">IF(SUMIFS($C$244:$C$363,$A$244:$A$363,$A$74,$B$244:$B$363,K$65)=0,"",SUMIFS($N$244:$N$363,$A$244:$A$363,$A$74,$B$244:$B$363,K$65))</f>
        <v>-0.287772533128386</v>
      </c>
      <c r="L74" s="13" t="n">
        <f aca="false">V74/O74-1</f>
        <v>0.336093714429843</v>
      </c>
      <c r="M74" s="13" t="n">
        <f aca="false">IF($B74=0,"",(V74/O74)^(1/$B74)-1)</f>
        <v>0.0422615174821486</v>
      </c>
      <c r="O74" s="42" t="n">
        <v>100</v>
      </c>
      <c r="P74" s="40" t="n">
        <f aca="false">IF(E74="",O74,O74*(1+E74))</f>
        <v>97.4099046512341</v>
      </c>
      <c r="Q74" s="40" t="n">
        <f aca="false">IF(F74="",P74,P74*(1+F74))</f>
        <v>120.589844082884</v>
      </c>
      <c r="R74" s="40" t="n">
        <f aca="false">IF(G74="",Q74,Q74*(1+G74))</f>
        <v>149.087887670957</v>
      </c>
      <c r="S74" s="40" t="n">
        <f aca="false">IF(H74="",R74,R74*(1+H74))</f>
        <v>142.383542563682</v>
      </c>
      <c r="T74" s="40" t="n">
        <f aca="false">IF(I74="",S74,S74*(1+I74))</f>
        <v>133.694981242186</v>
      </c>
      <c r="U74" s="40" t="n">
        <f aca="false">IF(J74="",T74,T74*(1+J74))</f>
        <v>187.593679909383</v>
      </c>
      <c r="V74" s="40" t="n">
        <f aca="false">IF(K74="",U74,U74*(1+K74))</f>
        <v>133.609371442984</v>
      </c>
    </row>
    <row r="75" customFormat="false" ht="15" hidden="false" customHeight="false" outlineLevel="0" collapsed="false">
      <c r="D75" s="41" t="s">
        <v>105</v>
      </c>
      <c r="E75" s="13" t="n">
        <f aca="false">IF(SUMIFS($C$244:$C$363,$A$244:$A$363,$A$74,$B$244:$B$363,E$65)=0,"",SUMIFS($M$244:$M$363,$A$244:$A$363,$A$74,$B$244:$B$363,E$65))</f>
        <v>-0.0539725139413602</v>
      </c>
      <c r="F75" s="13" t="n">
        <f aca="false">IF(SUMIFS($C$244:$C$363,$A$244:$A$363,$A$74,$B$244:$B$363,F$65)=0,"",SUMIFS($M$244:$M$363,$A$244:$A$363,$A$74,$B$244:$B$363,F$65))</f>
        <v>0.20231078739598</v>
      </c>
      <c r="G75" s="13" t="n">
        <f aca="false">IF(SUMIFS($C$244:$C$363,$A$244:$A$363,$A$74,$B$244:$B$363,G$65)=0,"",SUMIFS($M$244:$M$363,$A$244:$A$363,$A$74,$B$244:$B$363,G$65))</f>
        <v>0.218758664980887</v>
      </c>
      <c r="H75" s="13" t="n">
        <f aca="false">IF(SUMIFS($C$244:$C$363,$A$244:$A$363,$A$74,$B$244:$B$363,H$65)=0,"",SUMIFS($M$244:$M$363,$A$244:$A$363,$A$74,$B$244:$B$363,H$65))</f>
        <v>-0.0676546891216783</v>
      </c>
      <c r="I75" s="13" t="n">
        <f aca="false">IF(SUMIFS($C$244:$C$363,$A$244:$A$363,$A$74,$B$244:$B$363,I$65)=0,"",SUMIFS($M$244:$M$363,$A$244:$A$363,$A$74,$B$244:$B$363,I$65))</f>
        <v>-0.081356805664177</v>
      </c>
      <c r="J75" s="13" t="n">
        <f aca="false">IF(SUMIFS($C$244:$C$363,$A$244:$A$363,$A$74,$B$244:$B$363,J$65)=0,"",SUMIFS($M$244:$M$363,$A$244:$A$363,$A$74,$B$244:$B$363,J$65))</f>
        <v>0.375258091115704</v>
      </c>
      <c r="K75" s="13" t="n">
        <f aca="false">IF(SUMIFS($C$244:$C$363,$A$244:$A$363,$A$74,$B$244:$B$363,K$65)=0,"",SUMIFS($M$244:$M$363,$A$244:$A$363,$A$74,$B$244:$B$363,K$65))</f>
        <v>-0.304639082434293</v>
      </c>
      <c r="L75" s="13" t="n">
        <f aca="false">V75/O75-1</f>
        <v>0.135419514321735</v>
      </c>
      <c r="M75" s="13" t="n">
        <f aca="false">IF($B74=0,"",(V75/O75)^(1/$B74)-1)</f>
        <v>0.0183087584965209</v>
      </c>
      <c r="O75" s="42" t="n">
        <v>100</v>
      </c>
      <c r="P75" s="40" t="n">
        <f aca="false">IF(E75="",O75,O75*(1+E75))</f>
        <v>94.602748605864</v>
      </c>
      <c r="Q75" s="40" t="n">
        <f aca="false">IF(F75="",P75,P75*(1+F75))</f>
        <v>113.74190516614</v>
      </c>
      <c r="R75" s="40" t="n">
        <f aca="false">IF(G75="",Q75,Q75*(1+G75))</f>
        <v>138.623932492668</v>
      </c>
      <c r="S75" s="40" t="n">
        <f aca="false">IF(H75="",R75,R75*(1+H75))</f>
        <v>129.245373435052</v>
      </c>
      <c r="T75" s="40" t="n">
        <f aca="false">IF(I75="",S75,S75*(1+I75))</f>
        <v>118.730382705502</v>
      </c>
      <c r="U75" s="40" t="n">
        <f aca="false">IF(J75="",T75,T75*(1+J75))</f>
        <v>163.284919477006</v>
      </c>
      <c r="V75" s="40" t="n">
        <f aca="false">IF(K75="",U75,U75*(1+K75))</f>
        <v>113.541951432173</v>
      </c>
    </row>
    <row r="76" customFormat="false" ht="15" hidden="false" customHeight="false" outlineLevel="0" collapsed="false">
      <c r="A76" s="43"/>
      <c r="B76" s="43"/>
      <c r="C76" s="43"/>
      <c r="D76" s="44" t="s">
        <v>106</v>
      </c>
      <c r="E76" s="46" t="n">
        <f aca="false">IF(SUMIFS($C$244:$C$363,$A$244:$A$363,$A$74,$B$244:$B$363,E$65)=0,"",SUMIFS($L$244:$L$363,$A$244:$A$363,$A$74,$B$244:$B$363,E$65))</f>
        <v>0.028071560453701</v>
      </c>
      <c r="F76" s="46" t="n">
        <f aca="false">IF(SUMIFS($C$244:$C$363,$A$244:$A$363,$A$74,$B$244:$B$363,F$65)=0,"",SUMIFS($L$244:$L$363,$A$244:$A$363,$A$74,$B$244:$B$363,F$65))</f>
        <v>0.0356520718701579</v>
      </c>
      <c r="G76" s="46" t="n">
        <f aca="false">IF(SUMIFS($C$244:$C$363,$A$244:$A$363,$A$74,$B$244:$B$363,G$65)=0,"",SUMIFS($L$244:$L$363,$A$244:$A$363,$A$74,$B$244:$B$363,G$65))</f>
        <v>0.0175634217156193</v>
      </c>
      <c r="H76" s="46" t="n">
        <f aca="false">IF(SUMIFS($C$244:$C$363,$A$244:$A$363,$A$74,$B$244:$B$363,H$65)=0,"",SUMIFS($L$244:$L$363,$A$244:$A$363,$A$74,$B$244:$B$363,H$65))</f>
        <v>0.0226856093928717</v>
      </c>
      <c r="I76" s="46" t="n">
        <f aca="false">IF(SUMIFS($C$244:$C$363,$A$244:$A$363,$A$74,$B$244:$B$363,I$65)=0,"",SUMIFS($L$244:$L$363,$A$244:$A$363,$A$74,$B$244:$B$363,I$65))</f>
        <v>0.0203345753905475</v>
      </c>
      <c r="J76" s="46" t="n">
        <f aca="false">IF(SUMIFS($C$244:$C$363,$A$244:$A$363,$A$74,$B$244:$B$363,J$65)=0,"",SUMIFS($L$244:$L$363,$A$244:$A$363,$A$74,$B$244:$B$363,J$65))</f>
        <v>0.027888670014844</v>
      </c>
      <c r="K76" s="46" t="n">
        <f aca="false">IF(SUMIFS($C$244:$C$363,$A$244:$A$363,$A$74,$B$244:$B$363,K$65)=0,"",SUMIFS($L$244:$L$363,$A$244:$A$363,$A$74,$B$244:$B$363,K$65))</f>
        <v>0.0168665493059078</v>
      </c>
      <c r="L76" s="46" t="n">
        <f aca="false">V76/O76-1</f>
        <v>0.181662624869495</v>
      </c>
      <c r="M76" s="46" t="n">
        <f aca="false">IF($B74=0,"",(V76/O76)^(1/$B74)-1)</f>
        <v>0.0241326552942971</v>
      </c>
      <c r="N76" s="43"/>
      <c r="O76" s="47" t="n">
        <v>100</v>
      </c>
      <c r="P76" s="45" t="n">
        <f aca="false">IF(E76="",O76,O76*(1+E76))</f>
        <v>102.80715604537</v>
      </c>
      <c r="Q76" s="45" t="n">
        <f aca="false">IF(F76="",P76,P76*(1+F76))</f>
        <v>106.472444161466</v>
      </c>
      <c r="R76" s="45" t="n">
        <f aca="false">IF(G76="",Q76,Q76*(1+G76))</f>
        <v>108.342464599367</v>
      </c>
      <c r="S76" s="45" t="n">
        <f aca="false">IF(H76="",R76,R76*(1+H76))</f>
        <v>110.800279431929</v>
      </c>
      <c r="T76" s="45" t="n">
        <f aca="false">IF(I76="",S76,S76*(1+I76))</f>
        <v>113.053356067331</v>
      </c>
      <c r="U76" s="45" t="n">
        <f aca="false">IF(J76="",T76,T76*(1+J76))</f>
        <v>116.206263808764</v>
      </c>
      <c r="V76" s="45" t="n">
        <f aca="false">IF(K76="",U76,U76*(1+K76))</f>
        <v>118.16626248695</v>
      </c>
    </row>
    <row r="77" customFormat="false" ht="15" hidden="false" customHeight="false" outlineLevel="0" collapsed="false">
      <c r="A77" s="4" t="s">
        <v>21</v>
      </c>
      <c r="B77" s="8" t="n">
        <f aca="false">COUNT(E77:K77)</f>
        <v>7</v>
      </c>
      <c r="C77" s="40" t="n">
        <f aca="false">SUMIFS($E$244:$E$363,$A$244:$A$363,$A77,$B$244:$B$363,K$65)/1000</f>
        <v>69.1194672010373</v>
      </c>
      <c r="D77" s="41" t="s">
        <v>104</v>
      </c>
      <c r="E77" s="13" t="n">
        <f aca="false">IF(SUMIFS($C$244:$C$363,$A$244:$A$363,$A$77,$B$244:$B$363,E$65)=0,"",SUMIFS($N$244:$N$363,$A$244:$A$363,$A$77,$B$244:$B$363,E$65))</f>
        <v>-0.0445318142206355</v>
      </c>
      <c r="F77" s="13" t="n">
        <f aca="false">IF(SUMIFS($C$244:$C$363,$A$244:$A$363,$A$77,$B$244:$B$363,F$65)=0,"",SUMIFS($N$244:$N$363,$A$244:$A$363,$A$77,$B$244:$B$363,F$65))</f>
        <v>0.451072693176013</v>
      </c>
      <c r="G77" s="13" t="n">
        <f aca="false">IF(SUMIFS($C$244:$C$363,$A$244:$A$363,$A$77,$B$244:$B$363,G$65)=0,"",SUMIFS($N$244:$N$363,$A$244:$A$363,$A$77,$B$244:$B$363,G$65))</f>
        <v>0.340472295573605</v>
      </c>
      <c r="H77" s="13" t="n">
        <f aca="false">IF(SUMIFS($C$244:$C$363,$A$244:$A$363,$A$77,$B$244:$B$363,H$65)=0,"",SUMIFS($N$244:$N$363,$A$244:$A$363,$A$77,$B$244:$B$363,H$65))</f>
        <v>-0.0511312870299384</v>
      </c>
      <c r="I77" s="13" t="n">
        <f aca="false">IF(SUMIFS($C$244:$C$363,$A$244:$A$363,$A$77,$B$244:$B$363,I$65)=0,"",SUMIFS($N$244:$N$363,$A$244:$A$363,$A$77,$B$244:$B$363,I$65))</f>
        <v>0.0291773459633873</v>
      </c>
      <c r="J77" s="13" t="n">
        <f aca="false">IF(SUMIFS($C$244:$C$363,$A$244:$A$363,$A$77,$B$244:$B$363,J$65)=0,"",SUMIFS($N$244:$N$363,$A$244:$A$363,$A$77,$B$244:$B$363,J$65))</f>
        <v>0.0791154417685043</v>
      </c>
      <c r="K77" s="13" t="n">
        <f aca="false">IF(SUMIFS($C$244:$C$363,$A$244:$A$363,$A$77,$B$244:$B$363,K$65)=0,"",SUMIFS($N$244:$N$363,$A$244:$A$363,$A$77,$B$244:$B$363,K$65))</f>
        <v>-0.29976788670865</v>
      </c>
      <c r="L77" s="13" t="n">
        <f aca="false">V77/O77-1</f>
        <v>0.371416969877955</v>
      </c>
      <c r="M77" s="13" t="n">
        <f aca="false">IF($B77=0,"",(V77/O77)^(1/$B77)-1)</f>
        <v>0.0461540618043483</v>
      </c>
      <c r="O77" s="42" t="n">
        <v>100</v>
      </c>
      <c r="P77" s="40" t="n">
        <f aca="false">IF(E77="",O77,O77*(1+E77))</f>
        <v>95.5468185779365</v>
      </c>
      <c r="Q77" s="40" t="n">
        <f aca="false">IF(F77="",P77,P77*(1+F77))</f>
        <v>138.645379358286</v>
      </c>
      <c r="R77" s="40" t="n">
        <f aca="false">IF(G77="",Q77,Q77*(1+G77))</f>
        <v>185.850289939075</v>
      </c>
      <c r="S77" s="40" t="n">
        <f aca="false">IF(H77="",R77,R77*(1+H77))</f>
        <v>176.347525419603</v>
      </c>
      <c r="T77" s="40" t="n">
        <f aca="false">IF(I77="",S77,S77*(1+I77))</f>
        <v>181.492878178558</v>
      </c>
      <c r="U77" s="40" t="n">
        <f aca="false">IF(J77="",T77,T77*(1+J77))</f>
        <v>195.851767413492</v>
      </c>
      <c r="V77" s="40" t="n">
        <f aca="false">IF(K77="",U77,U77*(1+K77))</f>
        <v>137.141696987795</v>
      </c>
    </row>
    <row r="78" customFormat="false" ht="15" hidden="false" customHeight="false" outlineLevel="0" collapsed="false">
      <c r="D78" s="41" t="s">
        <v>105</v>
      </c>
      <c r="E78" s="13" t="n">
        <f aca="false">IF(SUMIFS($C$244:$C$363,$A$244:$A$363,$A$77,$B$244:$B$363,E$65)=0,"",SUMIFS($M$244:$M$363,$A$244:$A$363,$A$77,$B$244:$B$363,E$65))</f>
        <v>-0.0767834790317403</v>
      </c>
      <c r="F78" s="13" t="n">
        <f aca="false">IF(SUMIFS($C$244:$C$363,$A$244:$A$363,$A$77,$B$244:$B$363,F$65)=0,"",SUMIFS($M$244:$M$363,$A$244:$A$363,$A$77,$B$244:$B$363,F$65))</f>
        <v>0.410234936023569</v>
      </c>
      <c r="G78" s="13" t="n">
        <f aca="false">IF(SUMIFS($C$244:$C$363,$A$244:$A$363,$A$77,$B$244:$B$363,G$65)=0,"",SUMIFS($M$244:$M$363,$A$244:$A$363,$A$77,$B$244:$B$363,G$65))</f>
        <v>0.31139162740046</v>
      </c>
      <c r="H78" s="13" t="n">
        <f aca="false">IF(SUMIFS($C$244:$C$363,$A$244:$A$363,$A$77,$B$244:$B$363,H$65)=0,"",SUMIFS($M$244:$M$363,$A$244:$A$363,$A$77,$B$244:$B$363,H$65))</f>
        <v>-0.0969110449263105</v>
      </c>
      <c r="I78" s="13" t="n">
        <f aca="false">IF(SUMIFS($C$244:$C$363,$A$244:$A$363,$A$77,$B$244:$B$363,I$65)=0,"",SUMIFS($M$244:$M$363,$A$244:$A$363,$A$77,$B$244:$B$363,I$65))</f>
        <v>-0.00372215137578754</v>
      </c>
      <c r="J78" s="13" t="n">
        <f aca="false">IF(SUMIFS($C$244:$C$363,$A$244:$A$363,$A$77,$B$244:$B$363,J$65)=0,"",SUMIFS($M$244:$M$363,$A$244:$A$363,$A$77,$B$244:$B$363,J$65))</f>
        <v>0.0465628061606804</v>
      </c>
      <c r="K78" s="13" t="n">
        <f aca="false">IF(SUMIFS($C$244:$C$363,$A$244:$A$363,$A$77,$B$244:$B$363,K$65)=0,"",SUMIFS($M$244:$M$363,$A$244:$A$363,$A$77,$B$244:$B$363,K$65))</f>
        <v>-0.32122542072274</v>
      </c>
      <c r="L78" s="13" t="n">
        <f aca="false">V78/O78-1</f>
        <v>0.0912627076926282</v>
      </c>
      <c r="M78" s="13" t="n">
        <f aca="false">IF($B77=0,"",(V78/O78)^(1/$B77)-1)</f>
        <v>0.0125546523475262</v>
      </c>
      <c r="O78" s="42" t="n">
        <v>100</v>
      </c>
      <c r="P78" s="40" t="n">
        <f aca="false">IF(E78="",O78,O78*(1+E78))</f>
        <v>92.321652096826</v>
      </c>
      <c r="Q78" s="40" t="n">
        <f aca="false">IF(F78="",P78,P78*(1+F78))</f>
        <v>130.195219138358</v>
      </c>
      <c r="R78" s="40" t="n">
        <f aca="false">IF(G78="",Q78,Q78*(1+G78))</f>
        <v>170.73692030561</v>
      </c>
      <c r="S78" s="40" t="n">
        <f aca="false">IF(H78="",R78,R78*(1+H78))</f>
        <v>154.190626951293</v>
      </c>
      <c r="T78" s="40" t="n">
        <f aca="false">IF(I78="",S78,S78*(1+I78))</f>
        <v>153.616706097053</v>
      </c>
      <c r="U78" s="40" t="n">
        <f aca="false">IF(J78="",T78,T78*(1+J78))</f>
        <v>160.769531006092</v>
      </c>
      <c r="V78" s="40" t="n">
        <f aca="false">IF(K78="",U78,U78*(1+K78))</f>
        <v>109.126270769263</v>
      </c>
    </row>
    <row r="79" customFormat="false" ht="15" hidden="false" customHeight="false" outlineLevel="0" collapsed="false">
      <c r="A79" s="43"/>
      <c r="B79" s="43"/>
      <c r="C79" s="43"/>
      <c r="D79" s="44" t="s">
        <v>106</v>
      </c>
      <c r="E79" s="46" t="n">
        <f aca="false">IF(SUMIFS($C$244:$C$363,$A$244:$A$363,$A$77,$B$244:$B$363,E$65)=0,"",SUMIFS($L$244:$L$363,$A$244:$A$363,$A$77,$B$244:$B$363,E$65))</f>
        <v>0.0322516648111048</v>
      </c>
      <c r="F79" s="46" t="n">
        <f aca="false">IF(SUMIFS($C$244:$C$363,$A$244:$A$363,$A$77,$B$244:$B$363,F$65)=0,"",SUMIFS($L$244:$L$363,$A$244:$A$363,$A$77,$B$244:$B$363,F$65))</f>
        <v>0.0408377571524436</v>
      </c>
      <c r="G79" s="46" t="n">
        <f aca="false">IF(SUMIFS($C$244:$C$363,$A$244:$A$363,$A$77,$B$244:$B$363,G$65)=0,"",SUMIFS($L$244:$L$363,$A$244:$A$363,$A$77,$B$244:$B$363,G$65))</f>
        <v>0.0290806681731447</v>
      </c>
      <c r="H79" s="46" t="n">
        <f aca="false">IF(SUMIFS($C$244:$C$363,$A$244:$A$363,$A$77,$B$244:$B$363,H$65)=0,"",SUMIFS($L$244:$L$363,$A$244:$A$363,$A$77,$B$244:$B$363,H$65))</f>
        <v>0.0457797578963721</v>
      </c>
      <c r="I79" s="46" t="n">
        <f aca="false">IF(SUMIFS($C$244:$C$363,$A$244:$A$363,$A$77,$B$244:$B$363,I$65)=0,"",SUMIFS($L$244:$L$363,$A$244:$A$363,$A$77,$B$244:$B$363,I$65))</f>
        <v>0.0328994973391748</v>
      </c>
      <c r="J79" s="46" t="n">
        <f aca="false">IF(SUMIFS($C$244:$C$363,$A$244:$A$363,$A$77,$B$244:$B$363,J$65)=0,"",SUMIFS($L$244:$L$363,$A$244:$A$363,$A$77,$B$244:$B$363,J$65))</f>
        <v>0.032552635607824</v>
      </c>
      <c r="K79" s="46" t="n">
        <f aca="false">IF(SUMIFS($C$244:$C$363,$A$244:$A$363,$A$77,$B$244:$B$363,K$65)=0,"",SUMIFS($L$244:$L$363,$A$244:$A$363,$A$77,$B$244:$B$363,K$65))</f>
        <v>0.0214575340140898</v>
      </c>
      <c r="L79" s="46" t="n">
        <f aca="false">V79/O79-1</f>
        <v>0.259647018439333</v>
      </c>
      <c r="M79" s="46" t="n">
        <f aca="false">IF($B77=0,"",(V79/O79)^(1/$B77)-1)</f>
        <v>0.0335256660572119</v>
      </c>
      <c r="N79" s="43"/>
      <c r="O79" s="47" t="n">
        <v>100</v>
      </c>
      <c r="P79" s="45" t="n">
        <f aca="false">IF(E79="",O79,O79*(1+E79))</f>
        <v>103.22516648111</v>
      </c>
      <c r="Q79" s="45" t="n">
        <f aca="false">IF(F79="",P79,P79*(1+F79))</f>
        <v>107.440650761887</v>
      </c>
      <c r="R79" s="45" t="n">
        <f aca="false">IF(G79="",Q79,Q79*(1+G79))</f>
        <v>110.565096675</v>
      </c>
      <c r="S79" s="45" t="n">
        <f aca="false">IF(H79="",R79,R79*(1+H79))</f>
        <v>115.62674003257</v>
      </c>
      <c r="T79" s="45" t="n">
        <f aca="false">IF(I79="",S79,S79*(1+I79))</f>
        <v>119.430801658609</v>
      </c>
      <c r="U79" s="45" t="n">
        <f aca="false">IF(J79="",T79,T79*(1+J79))</f>
        <v>123.318589025352</v>
      </c>
      <c r="V79" s="45" t="n">
        <f aca="false">IF(K79="",U79,U79*(1+K79))</f>
        <v>125.964701843933</v>
      </c>
    </row>
    <row r="80" customFormat="false" ht="15" hidden="false" customHeight="false" outlineLevel="0" collapsed="false">
      <c r="A80" s="4" t="s">
        <v>22</v>
      </c>
      <c r="B80" s="8" t="n">
        <f aca="false">COUNT(E80:K80)</f>
        <v>7</v>
      </c>
      <c r="C80" s="40" t="n">
        <f aca="false">SUMIFS($E$244:$E$363,$A$244:$A$363,$A80,$B$244:$B$363,K$65)/1000</f>
        <v>49.0452053987152</v>
      </c>
      <c r="D80" s="41" t="s">
        <v>104</v>
      </c>
      <c r="E80" s="13" t="n">
        <f aca="false">IF(SUMIFS($C$244:$C$363,$A$244:$A$363,$A$80,$B$244:$B$363,E$65)=0,"",SUMIFS($N$244:$N$363,$A$244:$A$363,$A$80,$B$244:$B$363,E$65))</f>
        <v>-0.0104840070704751</v>
      </c>
      <c r="F80" s="13" t="n">
        <f aca="false">IF(SUMIFS($C$244:$C$363,$A$244:$A$363,$A$80,$B$244:$B$363,F$65)=0,"",SUMIFS($N$244:$N$363,$A$244:$A$363,$A$80,$B$244:$B$363,F$65))</f>
        <v>0.435187872009276</v>
      </c>
      <c r="G80" s="13" t="n">
        <f aca="false">IF(SUMIFS($C$244:$C$363,$A$244:$A$363,$A$80,$B$244:$B$363,G$65)=0,"",SUMIFS($N$244:$N$363,$A$244:$A$363,$A$80,$B$244:$B$363,G$65))</f>
        <v>0.578299837141351</v>
      </c>
      <c r="H80" s="13" t="n">
        <f aca="false">IF(SUMIFS($C$244:$C$363,$A$244:$A$363,$A$80,$B$244:$B$363,H$65)=0,"",SUMIFS($N$244:$N$363,$A$244:$A$363,$A$80,$B$244:$B$363,H$65))</f>
        <v>-0.053073343214886</v>
      </c>
      <c r="I80" s="13" t="n">
        <f aca="false">IF(SUMIFS($C$244:$C$363,$A$244:$A$363,$A$80,$B$244:$B$363,I$65)=0,"",SUMIFS($N$244:$N$363,$A$244:$A$363,$A$80,$B$244:$B$363,I$65))</f>
        <v>-0.1989161706323</v>
      </c>
      <c r="J80" s="13" t="n">
        <f aca="false">IF(SUMIFS($C$244:$C$363,$A$244:$A$363,$A$80,$B$244:$B$363,J$65)=0,"",SUMIFS($N$244:$N$363,$A$244:$A$363,$A$80,$B$244:$B$363,J$65))</f>
        <v>0.113808606731058</v>
      </c>
      <c r="K80" s="13" t="n">
        <f aca="false">IF(SUMIFS($C$244:$C$363,$A$244:$A$363,$A$80,$B$244:$B$363,K$65)=0,"",SUMIFS($N$244:$N$363,$A$244:$A$363,$A$80,$B$244:$B$363,K$65))</f>
        <v>-0.269267153305309</v>
      </c>
      <c r="L80" s="13" t="n">
        <f aca="false">V80/O80-1</f>
        <v>0.383835896300307</v>
      </c>
      <c r="M80" s="13" t="n">
        <f aca="false">IF($B80=0,"",(V80/O80)^(1/$B80)-1)</f>
        <v>0.0475021950278978</v>
      </c>
      <c r="O80" s="42" t="n">
        <v>100</v>
      </c>
      <c r="P80" s="40" t="n">
        <f aca="false">IF(E80="",O80,O80*(1+E80))</f>
        <v>98.9515992929525</v>
      </c>
      <c r="Q80" s="40" t="n">
        <f aca="false">IF(F80="",P80,P80*(1+F80))</f>
        <v>142.014135221167</v>
      </c>
      <c r="R80" s="40" t="n">
        <f aca="false">IF(G80="",Q80,Q80*(1+G80))</f>
        <v>224.140886491338</v>
      </c>
      <c r="S80" s="40" t="n">
        <f aca="false">IF(H80="",R80,R80*(1+H80))</f>
        <v>212.244980294094</v>
      </c>
      <c r="T80" s="40" t="n">
        <f aca="false">IF(I80="",S80,S80*(1+I80))</f>
        <v>170.026021578065</v>
      </c>
      <c r="U80" s="40" t="n">
        <f aca="false">IF(J80="",T80,T80*(1+J80))</f>
        <v>189.376446201889</v>
      </c>
      <c r="V80" s="40" t="n">
        <f aca="false">IF(K80="",U80,U80*(1+K80))</f>
        <v>138.383589630031</v>
      </c>
    </row>
    <row r="81" customFormat="false" ht="15" hidden="false" customHeight="false" outlineLevel="0" collapsed="false">
      <c r="D81" s="41" t="s">
        <v>105</v>
      </c>
      <c r="E81" s="13" t="n">
        <f aca="false">IF(SUMIFS($C$244:$C$363,$A$244:$A$363,$A$80,$B$244:$B$363,E$65)=0,"",SUMIFS($M$244:$M$363,$A$244:$A$363,$A$80,$B$244:$B$363,E$65))</f>
        <v>-0.0372899789551109</v>
      </c>
      <c r="F81" s="13" t="n">
        <f aca="false">IF(SUMIFS($C$244:$C$363,$A$244:$A$363,$A$80,$B$244:$B$363,F$65)=0,"",SUMIFS($M$244:$M$363,$A$244:$A$363,$A$80,$B$244:$B$363,F$65))</f>
        <v>0.393784928502026</v>
      </c>
      <c r="G81" s="13" t="n">
        <f aca="false">IF(SUMIFS($C$244:$C$363,$A$244:$A$363,$A$80,$B$244:$B$363,G$65)=0,"",SUMIFS($M$244:$M$363,$A$244:$A$363,$A$80,$B$244:$B$363,G$65))</f>
        <v>0.54245068897126</v>
      </c>
      <c r="H81" s="13" t="n">
        <f aca="false">IF(SUMIFS($C$244:$C$363,$A$244:$A$363,$A$80,$B$244:$B$363,H$65)=0,"",SUMIFS($M$244:$M$363,$A$244:$A$363,$A$80,$B$244:$B$363,H$65))</f>
        <v>-0.0969379784323084</v>
      </c>
      <c r="I81" s="13" t="n">
        <f aca="false">IF(SUMIFS($C$244:$C$363,$A$244:$A$363,$A$80,$B$244:$B$363,I$65)=0,"",SUMIFS($M$244:$M$363,$A$244:$A$363,$A$80,$B$244:$B$363,I$65))</f>
        <v>-0.22712347563819</v>
      </c>
      <c r="J81" s="13" t="n">
        <f aca="false">IF(SUMIFS($C$244:$C$363,$A$244:$A$363,$A$80,$B$244:$B$363,J$65)=0,"",SUMIFS($M$244:$M$363,$A$244:$A$363,$A$80,$B$244:$B$363,J$65))</f>
        <v>0.0791365985761406</v>
      </c>
      <c r="K81" s="13" t="n">
        <f aca="false">IF(SUMIFS($C$244:$C$363,$A$244:$A$363,$A$80,$B$244:$B$363,K$65)=0,"",SUMIFS($M$244:$M$363,$A$244:$A$363,$A$80,$B$244:$B$363,K$65))</f>
        <v>-0.292251182946617</v>
      </c>
      <c r="L81" s="13" t="n">
        <f aca="false">V81/O81-1</f>
        <v>0.103280173293304</v>
      </c>
      <c r="M81" s="13" t="n">
        <f aca="false">IF($B80=0,"",(V81/O81)^(1/$B80)-1)</f>
        <v>0.0141401418864036</v>
      </c>
      <c r="O81" s="42" t="n">
        <v>100</v>
      </c>
      <c r="P81" s="40" t="n">
        <f aca="false">IF(E81="",O81,O81*(1+E81))</f>
        <v>96.2710021044889</v>
      </c>
      <c r="Q81" s="40" t="n">
        <f aca="false">IF(F81="",P81,P81*(1+F81))</f>
        <v>134.181071785024</v>
      </c>
      <c r="R81" s="40" t="n">
        <f aca="false">IF(G81="",Q81,Q81*(1+G81))</f>
        <v>206.967686621712</v>
      </c>
      <c r="S81" s="40" t="n">
        <f aca="false">IF(H81="",R81,R81*(1+H81))</f>
        <v>186.904657479791</v>
      </c>
      <c r="T81" s="40" t="n">
        <f aca="false">IF(I81="",S81,S81*(1+I81))</f>
        <v>144.454222060016</v>
      </c>
      <c r="U81" s="40" t="n">
        <f aca="false">IF(J81="",T81,T81*(1+J81))</f>
        <v>155.885837843808</v>
      </c>
      <c r="V81" s="40" t="n">
        <f aca="false">IF(K81="",U81,U81*(1+K81))</f>
        <v>110.32801732933</v>
      </c>
    </row>
    <row r="82" customFormat="false" ht="15" hidden="false" customHeight="false" outlineLevel="0" collapsed="false">
      <c r="A82" s="43"/>
      <c r="B82" s="43"/>
      <c r="C82" s="43"/>
      <c r="D82" s="44" t="s">
        <v>106</v>
      </c>
      <c r="E82" s="46" t="n">
        <f aca="false">IF(SUMIFS($C$244:$C$363,$A$244:$A$363,$A$80,$B$244:$B$363,E$65)=0,"",SUMIFS($L$244:$L$363,$A$244:$A$363,$A$80,$B$244:$B$363,E$65))</f>
        <v>0.0268059718846357</v>
      </c>
      <c r="F82" s="46" t="n">
        <f aca="false">IF(SUMIFS($C$244:$C$363,$A$244:$A$363,$A$80,$B$244:$B$363,F$65)=0,"",SUMIFS($L$244:$L$363,$A$244:$A$363,$A$80,$B$244:$B$363,F$65))</f>
        <v>0.0414029435072494</v>
      </c>
      <c r="G82" s="46" t="n">
        <f aca="false">IF(SUMIFS($C$244:$C$363,$A$244:$A$363,$A$80,$B$244:$B$363,G$65)=0,"",SUMIFS($L$244:$L$363,$A$244:$A$363,$A$80,$B$244:$B$363,G$65))</f>
        <v>0.0358491481700911</v>
      </c>
      <c r="H82" s="46" t="n">
        <f aca="false">IF(SUMIFS($C$244:$C$363,$A$244:$A$363,$A$80,$B$244:$B$363,H$65)=0,"",SUMIFS($L$244:$L$363,$A$244:$A$363,$A$80,$B$244:$B$363,H$65))</f>
        <v>0.0438646352174224</v>
      </c>
      <c r="I82" s="46" t="n">
        <f aca="false">IF(SUMIFS($C$244:$C$363,$A$244:$A$363,$A$80,$B$244:$B$363,I$65)=0,"",SUMIFS($L$244:$L$363,$A$244:$A$363,$A$80,$B$244:$B$363,I$65))</f>
        <v>0.0282073050058904</v>
      </c>
      <c r="J82" s="46" t="n">
        <f aca="false">IF(SUMIFS($C$244:$C$363,$A$244:$A$363,$A$80,$B$244:$B$363,J$65)=0,"",SUMIFS($L$244:$L$363,$A$244:$A$363,$A$80,$B$244:$B$363,J$65))</f>
        <v>0.034672008154917</v>
      </c>
      <c r="K82" s="46" t="n">
        <f aca="false">IF(SUMIFS($C$244:$C$363,$A$244:$A$363,$A$80,$B$244:$B$363,K$65)=0,"",SUMIFS($L$244:$L$363,$A$244:$A$363,$A$80,$B$244:$B$363,K$65))</f>
        <v>0.0229840296413085</v>
      </c>
      <c r="L82" s="46" t="n">
        <f aca="false">V82/O82-1</f>
        <v>0.258346145563257</v>
      </c>
      <c r="M82" s="46" t="n">
        <f aca="false">IF($B80=0,"",(V82/O82)^(1/$B80)-1)</f>
        <v>0.0333731198129075</v>
      </c>
      <c r="N82" s="43"/>
      <c r="O82" s="47" t="n">
        <v>100</v>
      </c>
      <c r="P82" s="45" t="n">
        <f aca="false">IF(E82="",O82,O82*(1+E82))</f>
        <v>102.680597188464</v>
      </c>
      <c r="Q82" s="45" t="n">
        <f aca="false">IF(F82="",P82,P82*(1+F82))</f>
        <v>106.931876153148</v>
      </c>
      <c r="R82" s="45" t="n">
        <f aca="false">IF(G82="",Q82,Q82*(1+G82))</f>
        <v>110.765292825468</v>
      </c>
      <c r="S82" s="45" t="n">
        <f aca="false">IF(H82="",R82,R82*(1+H82))</f>
        <v>115.623971990008</v>
      </c>
      <c r="T82" s="45" t="n">
        <f aca="false">IF(I82="",S82,S82*(1+I82))</f>
        <v>118.885412633923</v>
      </c>
      <c r="U82" s="45" t="n">
        <f aca="false">IF(J82="",T82,T82*(1+J82))</f>
        <v>123.007408630267</v>
      </c>
      <c r="V82" s="45" t="n">
        <f aca="false">IF(K82="",U82,U82*(1+K82))</f>
        <v>125.834614556326</v>
      </c>
    </row>
    <row r="83" customFormat="false" ht="15" hidden="false" customHeight="false" outlineLevel="0" collapsed="false">
      <c r="A83" s="4" t="s">
        <v>23</v>
      </c>
      <c r="B83" s="8" t="n">
        <f aca="false">COUNT(E83:K83)</f>
        <v>7</v>
      </c>
      <c r="C83" s="40" t="n">
        <f aca="false">SUMIFS($E$244:$E$363,$A$244:$A$363,$A83,$B$244:$B$363,K$65)/1000</f>
        <v>65.6745447044262</v>
      </c>
      <c r="D83" s="41" t="s">
        <v>104</v>
      </c>
      <c r="E83" s="13" t="n">
        <f aca="false">IF(SUMIFS($C$244:$C$363,$A$244:$A$363,$A$83,$B$244:$B$363,E$65)=0,"",SUMIFS($N$244:$N$363,$A$244:$A$363,$A$83,$B$244:$B$363,E$65))</f>
        <v>0.348081653041733</v>
      </c>
      <c r="F83" s="13" t="n">
        <f aca="false">IF(SUMIFS($C$244:$C$363,$A$244:$A$363,$A$83,$B$244:$B$363,F$65)=0,"",SUMIFS($N$244:$N$363,$A$244:$A$363,$A$83,$B$244:$B$363,F$65))</f>
        <v>0.00996464198767901</v>
      </c>
      <c r="G83" s="13" t="n">
        <f aca="false">IF(SUMIFS($C$244:$C$363,$A$244:$A$363,$A$83,$B$244:$B$363,G$65)=0,"",SUMIFS($N$244:$N$363,$A$244:$A$363,$A$83,$B$244:$B$363,G$65))</f>
        <v>0.568297814041749</v>
      </c>
      <c r="H83" s="13" t="n">
        <f aca="false">IF(SUMIFS($C$244:$C$363,$A$244:$A$363,$A$83,$B$244:$B$363,H$65)=0,"",SUMIFS($N$244:$N$363,$A$244:$A$363,$A$83,$B$244:$B$363,H$65))</f>
        <v>-0.0723262324028422</v>
      </c>
      <c r="I83" s="13" t="n">
        <f aca="false">IF(SUMIFS($C$244:$C$363,$A$244:$A$363,$A$83,$B$244:$B$363,I$65)=0,"",SUMIFS($N$244:$N$363,$A$244:$A$363,$A$83,$B$244:$B$363,I$65))</f>
        <v>0.20001868728635</v>
      </c>
      <c r="J83" s="13" t="n">
        <f aca="false">IF(SUMIFS($C$244:$C$363,$A$244:$A$363,$A$83,$B$244:$B$363,J$65)=0,"",SUMIFS($N$244:$N$363,$A$244:$A$363,$A$83,$B$244:$B$363,J$65))</f>
        <v>0.143459299545726</v>
      </c>
      <c r="K83" s="13" t="n">
        <f aca="false">IF(SUMIFS($C$244:$C$363,$A$244:$A$363,$A$83,$B$244:$B$363,K$65)=0,"",SUMIFS($N$244:$N$363,$A$244:$A$363,$A$83,$B$244:$B$363,K$65))</f>
        <v>-0.239635643874017</v>
      </c>
      <c r="L83" s="13" t="n">
        <f aca="false">V83/O83-1</f>
        <v>1.0666962482856</v>
      </c>
      <c r="M83" s="13" t="n">
        <f aca="false">IF($B83=0,"",(V83/O83)^(1/$B83)-1)</f>
        <v>0.109275756771683</v>
      </c>
      <c r="O83" s="42" t="n">
        <v>100</v>
      </c>
      <c r="P83" s="40" t="n">
        <f aca="false">IF(E83="",O83,O83*(1+E83))</f>
        <v>134.808165304173</v>
      </c>
      <c r="Q83" s="40" t="n">
        <f aca="false">IF(F83="",P83,P83*(1+F83))</f>
        <v>136.151480408445</v>
      </c>
      <c r="R83" s="40" t="n">
        <f aca="false">IF(G83="",Q83,Q83*(1+G83))</f>
        <v>213.526069103113</v>
      </c>
      <c r="S83" s="40" t="n">
        <f aca="false">IF(H83="",R83,R83*(1+H83))</f>
        <v>198.082533005096</v>
      </c>
      <c r="T83" s="40" t="n">
        <f aca="false">IF(I83="",S83,S83*(1+I83))</f>
        <v>237.70274123113</v>
      </c>
      <c r="U83" s="40" t="n">
        <f aca="false">IF(J83="",T83,T83*(1+J83))</f>
        <v>271.803409988247</v>
      </c>
      <c r="V83" s="40" t="n">
        <f aca="false">IF(K83="",U83,U83*(1+K83))</f>
        <v>206.66962482856</v>
      </c>
    </row>
    <row r="84" customFormat="false" ht="15" hidden="false" customHeight="false" outlineLevel="0" collapsed="false">
      <c r="D84" s="41" t="s">
        <v>105</v>
      </c>
      <c r="E84" s="13" t="n">
        <f aca="false">IF(SUMIFS($C$244:$C$363,$A$244:$A$363,$A$83,$B$244:$B$363,E$65)=0,"",SUMIFS($M$244:$M$363,$A$244:$A$363,$A$83,$B$244:$B$363,E$65))</f>
        <v>0.348081653041733</v>
      </c>
      <c r="F84" s="13" t="n">
        <f aca="false">IF(SUMIFS($C$244:$C$363,$A$244:$A$363,$A$83,$B$244:$B$363,F$65)=0,"",SUMIFS($M$244:$M$363,$A$244:$A$363,$A$83,$B$244:$B$363,F$65))</f>
        <v>0.00414714840932486</v>
      </c>
      <c r="G84" s="13" t="n">
        <f aca="false">IF(SUMIFS($C$244:$C$363,$A$244:$A$363,$A$83,$B$244:$B$363,G$65)=0,"",SUMIFS($M$244:$M$363,$A$244:$A$363,$A$83,$B$244:$B$363,G$65))</f>
        <v>0.543254530239315</v>
      </c>
      <c r="H84" s="13" t="n">
        <f aca="false">IF(SUMIFS($C$244:$C$363,$A$244:$A$363,$A$83,$B$244:$B$363,H$65)=0,"",SUMIFS($M$244:$M$363,$A$244:$A$363,$A$83,$B$244:$B$363,H$65))</f>
        <v>-0.0959488312091077</v>
      </c>
      <c r="I84" s="13" t="n">
        <f aca="false">IF(SUMIFS($C$244:$C$363,$A$244:$A$363,$A$83,$B$244:$B$363,I$65)=0,"",SUMIFS($M$244:$M$363,$A$244:$A$363,$A$83,$B$244:$B$363,I$65))</f>
        <v>0.181557463999258</v>
      </c>
      <c r="J84" s="13" t="n">
        <f aca="false">IF(SUMIFS($C$244:$C$363,$A$244:$A$363,$A$83,$B$244:$B$363,J$65)=0,"",SUMIFS($M$244:$M$363,$A$244:$A$363,$A$83,$B$244:$B$363,J$65))</f>
        <v>0.127639343605094</v>
      </c>
      <c r="K84" s="13" t="n">
        <f aca="false">IF(SUMIFS($C$244:$C$363,$A$244:$A$363,$A$83,$B$244:$B$363,K$65)=0,"",SUMIFS($M$244:$M$363,$A$244:$A$363,$A$83,$B$244:$B$363,K$65))</f>
        <v>-0.250242740110753</v>
      </c>
      <c r="L84" s="13" t="n">
        <f aca="false">V84/O84-1</f>
        <v>0.886643648072362</v>
      </c>
      <c r="M84" s="13" t="n">
        <f aca="false">IF($B83=0,"",(V84/O84)^(1/$B83)-1)</f>
        <v>0.0949247385319538</v>
      </c>
      <c r="O84" s="42" t="n">
        <v>100</v>
      </c>
      <c r="P84" s="40" t="n">
        <f aca="false">IF(E84="",O84,O84*(1+E84))</f>
        <v>134.808165304173</v>
      </c>
      <c r="Q84" s="40" t="n">
        <f aca="false">IF(F84="",P84,P84*(1+F84))</f>
        <v>135.367234772479</v>
      </c>
      <c r="R84" s="40" t="n">
        <f aca="false">IF(G84="",Q84,Q84*(1+G84))</f>
        <v>208.906098308596</v>
      </c>
      <c r="S84" s="40" t="n">
        <f aca="false">IF(H84="",R84,R84*(1+H84))</f>
        <v>188.861802343432</v>
      </c>
      <c r="T84" s="40" t="n">
        <f aca="false">IF(I84="",S84,S84*(1+I84))</f>
        <v>223.151072223234</v>
      </c>
      <c r="U84" s="40" t="n">
        <f aca="false">IF(J84="",T84,T84*(1+J84))</f>
        <v>251.633928606581</v>
      </c>
      <c r="V84" s="40" t="n">
        <f aca="false">IF(K84="",U84,U84*(1+K84))</f>
        <v>188.664364807236</v>
      </c>
    </row>
    <row r="85" customFormat="false" ht="15" hidden="false" customHeight="false" outlineLevel="0" collapsed="false">
      <c r="A85" s="43"/>
      <c r="B85" s="43"/>
      <c r="C85" s="43"/>
      <c r="D85" s="44" t="s">
        <v>106</v>
      </c>
      <c r="E85" s="46" t="n">
        <f aca="false">IF(SUMIFS($C$244:$C$363,$A$244:$A$363,$A$83,$B$244:$B$363,E$65)=0,"",SUMIFS($L$244:$L$363,$A$244:$A$363,$A$83,$B$244:$B$363,E$65))</f>
        <v>0</v>
      </c>
      <c r="F85" s="46" t="n">
        <f aca="false">IF(SUMIFS($C$244:$C$363,$A$244:$A$363,$A$83,$B$244:$B$363,F$65)=0,"",SUMIFS($L$244:$L$363,$A$244:$A$363,$A$83,$B$244:$B$363,F$65))</f>
        <v>0.00581749357835415</v>
      </c>
      <c r="G85" s="46" t="n">
        <f aca="false">IF(SUMIFS($C$244:$C$363,$A$244:$A$363,$A$83,$B$244:$B$363,G$65)=0,"",SUMIFS($L$244:$L$363,$A$244:$A$363,$A$83,$B$244:$B$363,G$65))</f>
        <v>0.0250432838024342</v>
      </c>
      <c r="H85" s="46" t="n">
        <f aca="false">IF(SUMIFS($C$244:$C$363,$A$244:$A$363,$A$83,$B$244:$B$363,H$65)=0,"",SUMIFS($L$244:$L$363,$A$244:$A$363,$A$83,$B$244:$B$363,H$65))</f>
        <v>0.0236225988062655</v>
      </c>
      <c r="I85" s="46" t="n">
        <f aca="false">IF(SUMIFS($C$244:$C$363,$A$244:$A$363,$A$83,$B$244:$B$363,I$65)=0,"",SUMIFS($L$244:$L$363,$A$244:$A$363,$A$83,$B$244:$B$363,I$65))</f>
        <v>0.0184612232870922</v>
      </c>
      <c r="J85" s="46" t="n">
        <f aca="false">IF(SUMIFS($C$244:$C$363,$A$244:$A$363,$A$83,$B$244:$B$363,J$65)=0,"",SUMIFS($L$244:$L$363,$A$244:$A$363,$A$83,$B$244:$B$363,J$65))</f>
        <v>0.0158199559406325</v>
      </c>
      <c r="K85" s="46" t="n">
        <f aca="false">IF(SUMIFS($C$244:$C$363,$A$244:$A$363,$A$83,$B$244:$B$363,K$65)=0,"",SUMIFS($L$244:$L$363,$A$244:$A$363,$A$83,$B$244:$B$363,K$65))</f>
        <v>0.0106070962367359</v>
      </c>
      <c r="L85" s="46" t="n">
        <f aca="false">V85/O85-1</f>
        <v>0.103430125497688</v>
      </c>
      <c r="M85" s="46" t="n">
        <f aca="false">IF($B83=0,"",(V85/O85)^(1/$B83)-1)</f>
        <v>0.0141598317033362</v>
      </c>
      <c r="N85" s="43"/>
      <c r="O85" s="47" t="n">
        <v>100</v>
      </c>
      <c r="P85" s="45" t="n">
        <f aca="false">IF(E85="",O85,O85*(1+E85))</f>
        <v>100</v>
      </c>
      <c r="Q85" s="45" t="n">
        <f aca="false">IF(F85="",P85,P85*(1+F85))</f>
        <v>100.581749357835</v>
      </c>
      <c r="R85" s="45" t="n">
        <f aca="false">IF(G85="",Q85,Q85*(1+G85))</f>
        <v>103.100646652349</v>
      </c>
      <c r="S85" s="45" t="n">
        <f aca="false">IF(H85="",R85,R85*(1+H85))</f>
        <v>105.536151864884</v>
      </c>
      <c r="T85" s="45" t="n">
        <f aca="false">IF(I85="",S85,S85*(1+I85))</f>
        <v>107.484478329322</v>
      </c>
      <c r="U85" s="45" t="n">
        <f aca="false">IF(J85="",T85,T85*(1+J85))</f>
        <v>109.184878040794</v>
      </c>
      <c r="V85" s="45" t="n">
        <f aca="false">IF(K85="",U85,U85*(1+K85))</f>
        <v>110.343012549769</v>
      </c>
    </row>
    <row r="86" customFormat="false" ht="15" hidden="false" customHeight="false" outlineLevel="0" collapsed="false">
      <c r="A86" s="4" t="s">
        <v>24</v>
      </c>
      <c r="B86" s="8" t="n">
        <f aca="false">COUNT(E86:K86)</f>
        <v>6</v>
      </c>
      <c r="C86" s="40" t="n">
        <f aca="false">SUMIFS($E$244:$E$363,$A$244:$A$363,$A86,$B$244:$B$363,K$65)/1000</f>
        <v>55.2837861731597</v>
      </c>
      <c r="D86" s="41" t="s">
        <v>104</v>
      </c>
      <c r="E86" s="13" t="str">
        <f aca="false">IF(SUMIFS($C$244:$C$363,$A$244:$A$363,$A$86,$B$244:$B$363,E$65)=0,"",SUMIFS($N$244:$N$363,$A$244:$A$363,$A$86,$B$244:$B$363,E$65))</f>
        <v/>
      </c>
      <c r="F86" s="13" t="n">
        <f aca="false">IF(SUMIFS($C$244:$C$363,$A$244:$A$363,$A$86,$B$244:$B$363,F$65)=0,"",SUMIFS($N$244:$N$363,$A$244:$A$363,$A$86,$B$244:$B$363,F$65))</f>
        <v>1.61329627467004</v>
      </c>
      <c r="G86" s="13" t="n">
        <f aca="false">IF(SUMIFS($C$244:$C$363,$A$244:$A$363,$A$86,$B$244:$B$363,G$65)=0,"",SUMIFS($N$244:$N$363,$A$244:$A$363,$A$86,$B$244:$B$363,G$65))</f>
        <v>1.09240478676284</v>
      </c>
      <c r="H86" s="13" t="n">
        <f aca="false">IF(SUMIFS($C$244:$C$363,$A$244:$A$363,$A$86,$B$244:$B$363,H$65)=0,"",SUMIFS($N$244:$N$363,$A$244:$A$363,$A$86,$B$244:$B$363,H$65))</f>
        <v>0.0411076212588558</v>
      </c>
      <c r="I86" s="13" t="n">
        <f aca="false">IF(SUMIFS($C$244:$C$363,$A$244:$A$363,$A$86,$B$244:$B$363,I$65)=0,"",SUMIFS($N$244:$N$363,$A$244:$A$363,$A$86,$B$244:$B$363,I$65))</f>
        <v>0.593621265977915</v>
      </c>
      <c r="J86" s="13" t="n">
        <f aca="false">IF(SUMIFS($C$244:$C$363,$A$244:$A$363,$A$86,$B$244:$B$363,J$65)=0,"",SUMIFS($N$244:$N$363,$A$244:$A$363,$A$86,$B$244:$B$363,J$65))</f>
        <v>0.0995433502553095</v>
      </c>
      <c r="K86" s="13" t="n">
        <f aca="false">IF(SUMIFS($C$244:$C$363,$A$244:$A$363,$A$86,$B$244:$B$363,K$65)=0,"",SUMIFS($N$244:$N$363,$A$244:$A$363,$A$86,$B$244:$B$363,K$65))</f>
        <v>-0.288069232667293</v>
      </c>
      <c r="L86" s="13" t="n">
        <f aca="false">V86/O86-1</f>
        <v>6.10174730247913</v>
      </c>
      <c r="M86" s="13" t="n">
        <f aca="false">IF($B86=0,"",(V86/O86)^(1/$B86)-1)</f>
        <v>0.386418045544912</v>
      </c>
      <c r="O86" s="42" t="n">
        <v>100</v>
      </c>
      <c r="P86" s="40" t="n">
        <f aca="false">IF(E86="",O86,O86*(1+E86))</f>
        <v>100</v>
      </c>
      <c r="Q86" s="40" t="n">
        <f aca="false">IF(F86="",P86,P86*(1+F86))</f>
        <v>261.329627467004</v>
      </c>
      <c r="R86" s="40" t="n">
        <f aca="false">IF(G86="",Q86,Q86*(1+G86))</f>
        <v>546.807363434908</v>
      </c>
      <c r="S86" s="40" t="n">
        <f aca="false">IF(H86="",R86,R86*(1+H86))</f>
        <v>569.285313432544</v>
      </c>
      <c r="T86" s="40" t="n">
        <f aca="false">IF(I86="",S86,S86*(1+I86))</f>
        <v>907.225181895004</v>
      </c>
      <c r="U86" s="40" t="n">
        <f aca="false">IF(J86="",T86,T86*(1+J86))</f>
        <v>997.533415936815</v>
      </c>
      <c r="V86" s="40" t="n">
        <f aca="false">IF(K86="",U86,U86*(1+K86))</f>
        <v>710.174730247913</v>
      </c>
    </row>
    <row r="87" customFormat="false" ht="15" hidden="false" customHeight="false" outlineLevel="0" collapsed="false">
      <c r="D87" s="41" t="s">
        <v>105</v>
      </c>
      <c r="E87" s="13" t="str">
        <f aca="false">IF(SUMIFS($C$244:$C$363,$A$244:$A$363,$A$86,$B$244:$B$363,E$65)=0,"",SUMIFS($M$244:$M$363,$A$244:$A$363,$A$86,$B$244:$B$363,E$65))</f>
        <v/>
      </c>
      <c r="F87" s="13" t="n">
        <f aca="false">IF(SUMIFS($C$244:$C$363,$A$244:$A$363,$A$86,$B$244:$B$363,F$65)=0,"",SUMIFS($M$244:$M$363,$A$244:$A$363,$A$86,$B$244:$B$363,F$65))</f>
        <v>1.46697488851688</v>
      </c>
      <c r="G87" s="13" t="n">
        <f aca="false">IF(SUMIFS($C$244:$C$363,$A$244:$A$363,$A$86,$B$244:$B$363,G$65)=0,"",SUMIFS($M$244:$M$363,$A$244:$A$363,$A$86,$B$244:$B$363,G$65))</f>
        <v>0.994306507205715</v>
      </c>
      <c r="H87" s="13" t="n">
        <f aca="false">IF(SUMIFS($C$244:$C$363,$A$244:$A$363,$A$86,$B$244:$B$363,H$65)=0,"",SUMIFS($M$244:$M$363,$A$244:$A$363,$A$86,$B$244:$B$363,H$65))</f>
        <v>-0.0359080133943868</v>
      </c>
      <c r="I87" s="13" t="n">
        <f aca="false">IF(SUMIFS($C$244:$C$363,$A$244:$A$363,$A$86,$B$244:$B$363,I$65)=0,"",SUMIFS($M$244:$M$363,$A$244:$A$363,$A$86,$B$244:$B$363,I$65))</f>
        <v>0.529607800869527</v>
      </c>
      <c r="J87" s="13" t="n">
        <f aca="false">IF(SUMIFS($C$244:$C$363,$A$244:$A$363,$A$86,$B$244:$B$363,J$65)=0,"",SUMIFS($M$244:$M$363,$A$244:$A$363,$A$86,$B$244:$B$363,J$65))</f>
        <v>0.0612238207094561</v>
      </c>
      <c r="K87" s="13" t="n">
        <f aca="false">IF(SUMIFS($C$244:$C$363,$A$244:$A$363,$A$86,$B$244:$B$363,K$65)=0,"",SUMIFS($M$244:$M$363,$A$244:$A$363,$A$86,$B$244:$B$363,K$65))</f>
        <v>-0.320716265065975</v>
      </c>
      <c r="L87" s="13" t="n">
        <f aca="false">V87/O87-1</f>
        <v>4.23014107642941</v>
      </c>
      <c r="M87" s="13" t="n">
        <f aca="false">IF($B86=0,"",(V87/O87)^(1/$B86)-1)</f>
        <v>0.317504884327054</v>
      </c>
      <c r="O87" s="42" t="n">
        <v>100</v>
      </c>
      <c r="P87" s="40" t="n">
        <f aca="false">IF(E87="",O87,O87*(1+E87))</f>
        <v>100</v>
      </c>
      <c r="Q87" s="40" t="n">
        <f aca="false">IF(F87="",P87,P87*(1+F87))</f>
        <v>246.697488851688</v>
      </c>
      <c r="R87" s="40" t="n">
        <f aca="false">IF(G87="",Q87,Q87*(1+G87))</f>
        <v>491.99040732823</v>
      </c>
      <c r="S87" s="40" t="n">
        <f aca="false">IF(H87="",R87,R87*(1+H87))</f>
        <v>474.324009191978</v>
      </c>
      <c r="T87" s="40" t="n">
        <f aca="false">IF(I87="",S87,S87*(1+I87))</f>
        <v>725.529704599759</v>
      </c>
      <c r="U87" s="40" t="n">
        <f aca="false">IF(J87="",T87,T87*(1+J87))</f>
        <v>769.94940515356</v>
      </c>
      <c r="V87" s="40" t="n">
        <f aca="false">IF(K87="",U87,U87*(1+K87))</f>
        <v>523.014107642941</v>
      </c>
    </row>
    <row r="88" customFormat="false" ht="15" hidden="false" customHeight="false" outlineLevel="0" collapsed="false">
      <c r="A88" s="43"/>
      <c r="B88" s="43"/>
      <c r="C88" s="43"/>
      <c r="D88" s="44" t="s">
        <v>106</v>
      </c>
      <c r="E88" s="46" t="str">
        <f aca="false">IF(SUMIFS($C$244:$C$363,$A$244:$A$363,$A$86,$B$244:$B$363,E$65)=0,"",SUMIFS($L$244:$L$363,$A$244:$A$363,$A$86,$B$244:$B$363,E$65))</f>
        <v/>
      </c>
      <c r="F88" s="46" t="n">
        <f aca="false">IF(SUMIFS($C$244:$C$363,$A$244:$A$363,$A$86,$B$244:$B$363,F$65)=0,"",SUMIFS($L$244:$L$363,$A$244:$A$363,$A$86,$B$244:$B$363,F$65))</f>
        <v>0.146321386153165</v>
      </c>
      <c r="G88" s="46" t="n">
        <f aca="false">IF(SUMIFS($C$244:$C$363,$A$244:$A$363,$A$86,$B$244:$B$363,G$65)=0,"",SUMIFS($L$244:$L$363,$A$244:$A$363,$A$86,$B$244:$B$363,G$65))</f>
        <v>0.0980982795571204</v>
      </c>
      <c r="H88" s="46" t="n">
        <f aca="false">IF(SUMIFS($C$244:$C$363,$A$244:$A$363,$A$86,$B$244:$B$363,H$65)=0,"",SUMIFS($L$244:$L$363,$A$244:$A$363,$A$86,$B$244:$B$363,H$65))</f>
        <v>0.0770156346532426</v>
      </c>
      <c r="I88" s="46" t="n">
        <f aca="false">IF(SUMIFS($C$244:$C$363,$A$244:$A$363,$A$86,$B$244:$B$363,I$65)=0,"",SUMIFS($L$244:$L$363,$A$244:$A$363,$A$86,$B$244:$B$363,I$65))</f>
        <v>0.0640134651083872</v>
      </c>
      <c r="J88" s="46" t="n">
        <f aca="false">IF(SUMIFS($C$244:$C$363,$A$244:$A$363,$A$86,$B$244:$B$363,J$65)=0,"",SUMIFS($L$244:$L$363,$A$244:$A$363,$A$86,$B$244:$B$363,J$65))</f>
        <v>0.0383195295458533</v>
      </c>
      <c r="K88" s="46" t="n">
        <f aca="false">IF(SUMIFS($C$244:$C$363,$A$244:$A$363,$A$86,$B$244:$B$363,K$65)=0,"",SUMIFS($L$244:$L$363,$A$244:$A$363,$A$86,$B$244:$B$363,K$65))</f>
        <v>0.0326470323986818</v>
      </c>
      <c r="L88" s="46" t="n">
        <f aca="false">V88/O88-1</f>
        <v>0.546677122434187</v>
      </c>
      <c r="M88" s="46" t="n">
        <f aca="false">IF($B86=0,"",(V88/O88)^(1/$B86)-1)</f>
        <v>0.0753915268458489</v>
      </c>
      <c r="N88" s="43"/>
      <c r="O88" s="47" t="n">
        <v>100</v>
      </c>
      <c r="P88" s="45" t="n">
        <f aca="false">IF(E88="",O88,O88*(1+E88))</f>
        <v>100</v>
      </c>
      <c r="Q88" s="45" t="n">
        <f aca="false">IF(F88="",P88,P88*(1+F88))</f>
        <v>114.632138615316</v>
      </c>
      <c r="R88" s="45" t="n">
        <f aca="false">IF(G88="",Q88,Q88*(1+G88))</f>
        <v>125.877354195432</v>
      </c>
      <c r="S88" s="45" t="n">
        <f aca="false">IF(H88="",R88,R88*(1+H88))</f>
        <v>135.571878517265</v>
      </c>
      <c r="T88" s="45" t="n">
        <f aca="false">IF(I88="",S88,S88*(1+I88))</f>
        <v>144.250304232408</v>
      </c>
      <c r="U88" s="45" t="n">
        <f aca="false">IF(J88="",T88,T88*(1+J88))</f>
        <v>149.77790802744</v>
      </c>
      <c r="V88" s="45" t="n">
        <f aca="false">IF(K88="",U88,U88*(1+K88))</f>
        <v>154.667712243419</v>
      </c>
    </row>
    <row r="89" customFormat="false" ht="15" hidden="false" customHeight="false" outlineLevel="0" collapsed="false">
      <c r="A89" s="4" t="s">
        <v>25</v>
      </c>
      <c r="B89" s="8" t="n">
        <f aca="false">COUNT(E89:K89)</f>
        <v>7</v>
      </c>
      <c r="C89" s="40" t="n">
        <f aca="false">SUMIFS($E$244:$E$363,$A$244:$A$363,$A89,$B$244:$B$363,K$65)/1000</f>
        <v>121.438675075146</v>
      </c>
      <c r="D89" s="41" t="s">
        <v>104</v>
      </c>
      <c r="E89" s="13" t="n">
        <f aca="false">IF(SUMIFS($C$244:$C$363,$A$244:$A$363,$A$89,$B$244:$B$363,E$65)=0,"",SUMIFS($N$244:$N$363,$A$244:$A$363,$A$89,$B$244:$B$363,E$65))</f>
        <v>0.10849390238552</v>
      </c>
      <c r="F89" s="13" t="n">
        <f aca="false">IF(SUMIFS($C$244:$C$363,$A$244:$A$363,$A$89,$B$244:$B$363,F$65)=0,"",SUMIFS($N$244:$N$363,$A$244:$A$363,$A$89,$B$244:$B$363,F$65))</f>
        <v>0.121960126301868</v>
      </c>
      <c r="G89" s="13" t="n">
        <f aca="false">IF(SUMIFS($C$244:$C$363,$A$244:$A$363,$A$89,$B$244:$B$363,G$65)=0,"",SUMIFS($N$244:$N$363,$A$244:$A$363,$A$89,$B$244:$B$363,G$65))</f>
        <v>0.196331596334337</v>
      </c>
      <c r="H89" s="13" t="n">
        <f aca="false">IF(SUMIFS($C$244:$C$363,$A$244:$A$363,$A$89,$B$244:$B$363,H$65)=0,"",SUMIFS($N$244:$N$363,$A$244:$A$363,$A$89,$B$244:$B$363,H$65))</f>
        <v>-0.0660872436429386</v>
      </c>
      <c r="I89" s="13" t="n">
        <f aca="false">IF(SUMIFS($C$244:$C$363,$A$244:$A$363,$A$89,$B$244:$B$363,I$65)=0,"",SUMIFS($N$244:$N$363,$A$244:$A$363,$A$89,$B$244:$B$363,I$65))</f>
        <v>0.0408097857989206</v>
      </c>
      <c r="J89" s="13" t="n">
        <f aca="false">IF(SUMIFS($C$244:$C$363,$A$244:$A$363,$A$89,$B$244:$B$363,J$65)=0,"",SUMIFS($N$244:$N$363,$A$244:$A$363,$A$89,$B$244:$B$363,J$65))</f>
        <v>0.139826669984572</v>
      </c>
      <c r="K89" s="13" t="n">
        <f aca="false">IF(SUMIFS($C$244:$C$363,$A$244:$A$363,$A$89,$B$244:$B$363,K$65)=0,"",SUMIFS($N$244:$N$363,$A$244:$A$363,$A$89,$B$244:$B$363,K$65))</f>
        <v>-0.206432530061278</v>
      </c>
      <c r="L89" s="13" t="n">
        <f aca="false">V89/O89-1</f>
        <v>0.308165374973338</v>
      </c>
      <c r="M89" s="13" t="n">
        <f aca="false">IF($B89=0,"",(V89/O89)^(1/$B89)-1)</f>
        <v>0.0391209308575597</v>
      </c>
      <c r="O89" s="42" t="n">
        <v>100</v>
      </c>
      <c r="P89" s="40" t="n">
        <f aca="false">IF(E89="",O89,O89*(1+E89))</f>
        <v>110.849390238552</v>
      </c>
      <c r="Q89" s="40" t="n">
        <f aca="false">IF(F89="",P89,P89*(1+F89))</f>
        <v>124.368595872531</v>
      </c>
      <c r="R89" s="40" t="n">
        <f aca="false">IF(G89="",Q89,Q89*(1+G89))</f>
        <v>148.786080834045</v>
      </c>
      <c r="S89" s="40" t="n">
        <f aca="false">IF(H89="",R89,R89*(1+H89))</f>
        <v>138.953218859287</v>
      </c>
      <c r="T89" s="40" t="n">
        <f aca="false">IF(I89="",S89,S89*(1+I89))</f>
        <v>144.623869957005</v>
      </c>
      <c r="U89" s="40" t="n">
        <f aca="false">IF(J89="",T89,T89*(1+J89))</f>
        <v>164.846144093375</v>
      </c>
      <c r="V89" s="40" t="n">
        <f aca="false">IF(K89="",U89,U89*(1+K89))</f>
        <v>130.816537497334</v>
      </c>
    </row>
    <row r="90" customFormat="false" ht="15" hidden="false" customHeight="false" outlineLevel="0" collapsed="false">
      <c r="D90" s="41" t="s">
        <v>105</v>
      </c>
      <c r="E90" s="13" t="n">
        <f aca="false">IF(SUMIFS($C$244:$C$363,$A$244:$A$363,$A$89,$B$244:$B$363,E$65)=0,"",SUMIFS($M$244:$M$363,$A$244:$A$363,$A$89,$B$244:$B$363,E$65))</f>
        <v>0.10849390238552</v>
      </c>
      <c r="F90" s="13" t="n">
        <f aca="false">IF(SUMIFS($C$244:$C$363,$A$244:$A$363,$A$89,$B$244:$B$363,F$65)=0,"",SUMIFS($M$244:$M$363,$A$244:$A$363,$A$89,$B$244:$B$363,F$65))</f>
        <v>0.121960126301868</v>
      </c>
      <c r="G90" s="13" t="n">
        <f aca="false">IF(SUMIFS($C$244:$C$363,$A$244:$A$363,$A$89,$B$244:$B$363,G$65)=0,"",SUMIFS($M$244:$M$363,$A$244:$A$363,$A$89,$B$244:$B$363,G$65))</f>
        <v>0.196331596334337</v>
      </c>
      <c r="H90" s="13" t="n">
        <f aca="false">IF(SUMIFS($C$244:$C$363,$A$244:$A$363,$A$89,$B$244:$B$363,H$65)=0,"",SUMIFS($M$244:$M$363,$A$244:$A$363,$A$89,$B$244:$B$363,H$65))</f>
        <v>-0.0660872436429386</v>
      </c>
      <c r="I90" s="13" t="n">
        <f aca="false">IF(SUMIFS($C$244:$C$363,$A$244:$A$363,$A$89,$B$244:$B$363,I$65)=0,"",SUMIFS($M$244:$M$363,$A$244:$A$363,$A$89,$B$244:$B$363,I$65))</f>
        <v>0.0408097857989206</v>
      </c>
      <c r="J90" s="13" t="n">
        <f aca="false">IF(SUMIFS($C$244:$C$363,$A$244:$A$363,$A$89,$B$244:$B$363,J$65)=0,"",SUMIFS($M$244:$M$363,$A$244:$A$363,$A$89,$B$244:$B$363,J$65))</f>
        <v>0.139403350076515</v>
      </c>
      <c r="K90" s="13" t="n">
        <f aca="false">IF(SUMIFS($C$244:$C$363,$A$244:$A$363,$A$89,$B$244:$B$363,K$65)=0,"",SUMIFS($M$244:$M$363,$A$244:$A$363,$A$89,$B$244:$B$363,K$65))</f>
        <v>-0.206698614261779</v>
      </c>
      <c r="L90" s="13" t="n">
        <f aca="false">V90/O90-1</f>
        <v>0.30724106915867</v>
      </c>
      <c r="M90" s="13" t="n">
        <f aca="false">IF($B89=0,"",(V90/O90)^(1/$B89)-1)</f>
        <v>0.0390160122214738</v>
      </c>
      <c r="O90" s="42" t="n">
        <v>100</v>
      </c>
      <c r="P90" s="40" t="n">
        <f aca="false">IF(E90="",O90,O90*(1+E90))</f>
        <v>110.849390238552</v>
      </c>
      <c r="Q90" s="40" t="n">
        <f aca="false">IF(F90="",P90,P90*(1+F90))</f>
        <v>124.368595872531</v>
      </c>
      <c r="R90" s="40" t="n">
        <f aca="false">IF(G90="",Q90,Q90*(1+G90))</f>
        <v>148.786080834045</v>
      </c>
      <c r="S90" s="40" t="n">
        <f aca="false">IF(H90="",R90,R90*(1+H90))</f>
        <v>138.953218859287</v>
      </c>
      <c r="T90" s="40" t="n">
        <f aca="false">IF(I90="",S90,S90*(1+I90))</f>
        <v>144.623869957005</v>
      </c>
      <c r="U90" s="40" t="n">
        <f aca="false">IF(J90="",T90,T90*(1+J90))</f>
        <v>164.784921930042</v>
      </c>
      <c r="V90" s="40" t="n">
        <f aca="false">IF(K90="",U90,U90*(1+K90))</f>
        <v>130.724106915867</v>
      </c>
    </row>
    <row r="91" customFormat="false" ht="15" hidden="false" customHeight="false" outlineLevel="0" collapsed="false">
      <c r="A91" s="43"/>
      <c r="B91" s="43"/>
      <c r="C91" s="43"/>
      <c r="D91" s="44" t="s">
        <v>106</v>
      </c>
      <c r="E91" s="46" t="n">
        <f aca="false">IF(SUMIFS($C$244:$C$363,$A$244:$A$363,$A$89,$B$244:$B$363,E$65)=0,"",SUMIFS($L$244:$L$363,$A$244:$A$363,$A$89,$B$244:$B$363,E$65))</f>
        <v>0</v>
      </c>
      <c r="F91" s="46" t="n">
        <f aca="false">IF(SUMIFS($C$244:$C$363,$A$244:$A$363,$A$89,$B$244:$B$363,F$65)=0,"",SUMIFS($L$244:$L$363,$A$244:$A$363,$A$89,$B$244:$B$363,F$65))</f>
        <v>0</v>
      </c>
      <c r="G91" s="46" t="n">
        <f aca="false">IF(SUMIFS($C$244:$C$363,$A$244:$A$363,$A$89,$B$244:$B$363,G$65)=0,"",SUMIFS($L$244:$L$363,$A$244:$A$363,$A$89,$B$244:$B$363,G$65))</f>
        <v>0</v>
      </c>
      <c r="H91" s="46" t="n">
        <f aca="false">IF(SUMIFS($C$244:$C$363,$A$244:$A$363,$A$89,$B$244:$B$363,H$65)=0,"",SUMIFS($L$244:$L$363,$A$244:$A$363,$A$89,$B$244:$B$363,H$65))</f>
        <v>0</v>
      </c>
      <c r="I91" s="46" t="n">
        <f aca="false">IF(SUMIFS($C$244:$C$363,$A$244:$A$363,$A$89,$B$244:$B$363,I$65)=0,"",SUMIFS($L$244:$L$363,$A$244:$A$363,$A$89,$B$244:$B$363,I$65))</f>
        <v>0</v>
      </c>
      <c r="J91" s="46" t="n">
        <f aca="false">IF(SUMIFS($C$244:$C$363,$A$244:$A$363,$A$89,$B$244:$B$363,J$65)=0,"",SUMIFS($L$244:$L$363,$A$244:$A$363,$A$89,$B$244:$B$363,J$65))</f>
        <v>0.000423319908056621</v>
      </c>
      <c r="K91" s="46" t="n">
        <f aca="false">IF(SUMIFS($C$244:$C$363,$A$244:$A$363,$A$89,$B$244:$B$363,K$65)=0,"",SUMIFS($L$244:$L$363,$A$244:$A$363,$A$89,$B$244:$B$363,K$65))</f>
        <v>0.000266084200501713</v>
      </c>
      <c r="L91" s="46" t="n">
        <f aca="false">V91/O91-1</f>
        <v>0.000689516747297558</v>
      </c>
      <c r="M91" s="46" t="n">
        <f aca="false">IF($B89=0,"",(V91/O91)^(1/$B89)-1)</f>
        <v>9.84732967257429E-005</v>
      </c>
      <c r="N91" s="43"/>
      <c r="O91" s="47" t="n">
        <v>100</v>
      </c>
      <c r="P91" s="45" t="n">
        <f aca="false">IF(E91="",O91,O91*(1+E91))</f>
        <v>100</v>
      </c>
      <c r="Q91" s="45" t="n">
        <f aca="false">IF(F91="",P91,P91*(1+F91))</f>
        <v>100</v>
      </c>
      <c r="R91" s="45" t="n">
        <f aca="false">IF(G91="",Q91,Q91*(1+G91))</f>
        <v>100</v>
      </c>
      <c r="S91" s="45" t="n">
        <f aca="false">IF(H91="",R91,R91*(1+H91))</f>
        <v>100</v>
      </c>
      <c r="T91" s="45" t="n">
        <f aca="false">IF(I91="",S91,S91*(1+I91))</f>
        <v>100</v>
      </c>
      <c r="U91" s="45" t="n">
        <f aca="false">IF(J91="",T91,T91*(1+J91))</f>
        <v>100.042331990806</v>
      </c>
      <c r="V91" s="45" t="n">
        <f aca="false">IF(K91="",U91,U91*(1+K91))</f>
        <v>100.06895167473</v>
      </c>
    </row>
    <row r="92" customFormat="false" ht="15" hidden="false" customHeight="false" outlineLevel="0" collapsed="false">
      <c r="A92" s="4" t="s">
        <v>26</v>
      </c>
      <c r="B92" s="8" t="n">
        <f aca="false">COUNT(E92:K92)</f>
        <v>7</v>
      </c>
      <c r="C92" s="40" t="n">
        <f aca="false">SUMIFS($E$244:$E$363,$A$244:$A$363,$A92,$B$244:$B$363,K$65)/1000</f>
        <v>132.878528909059</v>
      </c>
      <c r="D92" s="41" t="s">
        <v>104</v>
      </c>
      <c r="E92" s="13" t="n">
        <f aca="false">IF(SUMIFS($C$244:$C$363,$A$244:$A$363,$A$92,$B$244:$B$363,E$65)=0,"",SUMIFS($N$244:$N$363,$A$244:$A$363,$A$92,$B$244:$B$363,E$65))</f>
        <v>0.04609473059931</v>
      </c>
      <c r="F92" s="13" t="n">
        <f aca="false">IF(SUMIFS($C$244:$C$363,$A$244:$A$363,$A$92,$B$244:$B$363,F$65)=0,"",SUMIFS($N$244:$N$363,$A$244:$A$363,$A$92,$B$244:$B$363,F$65))</f>
        <v>0.114030791329733</v>
      </c>
      <c r="G92" s="13" t="n">
        <f aca="false">IF(SUMIFS($C$244:$C$363,$A$244:$A$363,$A$92,$B$244:$B$363,G$65)=0,"",SUMIFS($N$244:$N$363,$A$244:$A$363,$A$92,$B$244:$B$363,G$65))</f>
        <v>0.252252009442536</v>
      </c>
      <c r="H92" s="13" t="n">
        <f aca="false">IF(SUMIFS($C$244:$C$363,$A$244:$A$363,$A$92,$B$244:$B$363,H$65)=0,"",SUMIFS($N$244:$N$363,$A$244:$A$363,$A$92,$B$244:$B$363,H$65))</f>
        <v>-0.151729583121985</v>
      </c>
      <c r="I92" s="13" t="n">
        <f aca="false">IF(SUMIFS($C$244:$C$363,$A$244:$A$363,$A$92,$B$244:$B$363,I$65)=0,"",SUMIFS($N$244:$N$363,$A$244:$A$363,$A$92,$B$244:$B$363,I$65))</f>
        <v>-0.0566811136721676</v>
      </c>
      <c r="J92" s="13" t="n">
        <f aca="false">IF(SUMIFS($C$244:$C$363,$A$244:$A$363,$A$92,$B$244:$B$363,J$65)=0,"",SUMIFS($N$244:$N$363,$A$244:$A$363,$A$92,$B$244:$B$363,J$65))</f>
        <v>0.465710881956563</v>
      </c>
      <c r="K92" s="13" t="n">
        <f aca="false">IF(SUMIFS($C$244:$C$363,$A$244:$A$363,$A$92,$B$244:$B$363,K$65)=0,"",SUMIFS($N$244:$N$363,$A$244:$A$363,$A$92,$B$244:$B$363,K$65))</f>
        <v>-0.262513768928146</v>
      </c>
      <c r="L92" s="13" t="n">
        <f aca="false">V92/O92-1</f>
        <v>0.262278037875948</v>
      </c>
      <c r="M92" s="13" t="n">
        <f aca="false">IF($B92=0,"",(V92/O92)^(1/$B92)-1)</f>
        <v>0.0338337790318024</v>
      </c>
      <c r="O92" s="42" t="n">
        <v>100</v>
      </c>
      <c r="P92" s="40" t="n">
        <f aca="false">IF(E92="",O92,O92*(1+E92))</f>
        <v>104.609473059931</v>
      </c>
      <c r="Q92" s="40" t="n">
        <f aca="false">IF(F92="",P92,P92*(1+F92))</f>
        <v>116.538174053541</v>
      </c>
      <c r="R92" s="40" t="n">
        <f aca="false">IF(G92="",Q92,Q92*(1+G92))</f>
        <v>145.935162635311</v>
      </c>
      <c r="S92" s="40" t="n">
        <f aca="false">IF(H92="",R92,R92*(1+H92))</f>
        <v>123.792481245816</v>
      </c>
      <c r="T92" s="40" t="n">
        <f aca="false">IF(I92="",S92,S92*(1+I92))</f>
        <v>116.775785544562</v>
      </c>
      <c r="U92" s="40" t="n">
        <f aca="false">IF(J92="",T92,T92*(1+J92))</f>
        <v>171.159539621691</v>
      </c>
      <c r="V92" s="40" t="n">
        <f aca="false">IF(K92="",U92,U92*(1+K92))</f>
        <v>126.227803787595</v>
      </c>
    </row>
    <row r="93" customFormat="false" ht="15" hidden="false" customHeight="false" outlineLevel="0" collapsed="false">
      <c r="D93" s="41" t="s">
        <v>105</v>
      </c>
      <c r="E93" s="13" t="n">
        <f aca="false">IF(SUMIFS($C$244:$C$363,$A$244:$A$363,$A$92,$B$244:$B$363,E$65)=0,"",SUMIFS($M$244:$M$363,$A$244:$A$363,$A$92,$B$244:$B$363,E$65))</f>
        <v>0.0145777002860804</v>
      </c>
      <c r="F93" s="13" t="n">
        <f aca="false">IF(SUMIFS($C$244:$C$363,$A$244:$A$363,$A$92,$B$244:$B$363,F$65)=0,"",SUMIFS($M$244:$M$363,$A$244:$A$363,$A$92,$B$244:$B$363,F$65))</f>
        <v>0.0728662545880818</v>
      </c>
      <c r="G93" s="13" t="n">
        <f aca="false">IF(SUMIFS($C$244:$C$363,$A$244:$A$363,$A$92,$B$244:$B$363,G$65)=0,"",SUMIFS($M$244:$M$363,$A$244:$A$363,$A$92,$B$244:$B$363,G$65))</f>
        <v>0.23325378735062</v>
      </c>
      <c r="H93" s="13" t="n">
        <f aca="false">IF(SUMIFS($C$244:$C$363,$A$244:$A$363,$A$92,$B$244:$B$363,H$65)=0,"",SUMIFS($M$244:$M$363,$A$244:$A$363,$A$92,$B$244:$B$363,H$65))</f>
        <v>-0.178157255285882</v>
      </c>
      <c r="I93" s="13" t="n">
        <f aca="false">IF(SUMIFS($C$244:$C$363,$A$244:$A$363,$A$92,$B$244:$B$363,I$65)=0,"",SUMIFS($M$244:$M$363,$A$244:$A$363,$A$92,$B$244:$B$363,I$65))</f>
        <v>-0.0829138426527362</v>
      </c>
      <c r="J93" s="13" t="n">
        <f aca="false">IF(SUMIFS($C$244:$C$363,$A$244:$A$363,$A$92,$B$244:$B$363,J$65)=0,"",SUMIFS($M$244:$M$363,$A$244:$A$363,$A$92,$B$244:$B$363,J$65))</f>
        <v>0.421334759647688</v>
      </c>
      <c r="K93" s="13" t="n">
        <f aca="false">IF(SUMIFS($C$244:$C$363,$A$244:$A$363,$A$92,$B$244:$B$363,K$65)=0,"",SUMIFS($M$244:$M$363,$A$244:$A$363,$A$92,$B$244:$B$363,K$65))</f>
        <v>-0.287298801060625</v>
      </c>
      <c r="L93" s="13" t="n">
        <f aca="false">V93/O93-1</f>
        <v>0.0249108390647401</v>
      </c>
      <c r="M93" s="13" t="n">
        <f aca="false">IF($B92=0,"",(V93/O93)^(1/$B92)-1)</f>
        <v>0.00352127410276903</v>
      </c>
      <c r="O93" s="42" t="n">
        <v>100</v>
      </c>
      <c r="P93" s="40" t="n">
        <f aca="false">IF(E93="",O93,O93*(1+E93))</f>
        <v>101.457770028608</v>
      </c>
      <c r="Q93" s="40" t="n">
        <f aca="false">IF(F93="",P93,P93*(1+F93))</f>
        <v>108.850617729452</v>
      </c>
      <c r="R93" s="40" t="n">
        <f aca="false">IF(G93="",Q93,Q93*(1+G93))</f>
        <v>134.240436570301</v>
      </c>
      <c r="S93" s="40" t="n">
        <f aca="false">IF(H93="",R93,R93*(1+H93))</f>
        <v>110.324528842557</v>
      </c>
      <c r="T93" s="40" t="n">
        <f aca="false">IF(I93="",S93,S93*(1+I93))</f>
        <v>101.177098217368</v>
      </c>
      <c r="U93" s="40" t="n">
        <f aca="false">IF(J93="",T93,T93*(1+J93))</f>
        <v>143.806526576634</v>
      </c>
      <c r="V93" s="40" t="n">
        <f aca="false">IF(K93="",U93,U93*(1+K93))</f>
        <v>102.491083906474</v>
      </c>
    </row>
    <row r="94" customFormat="false" ht="15" hidden="false" customHeight="false" outlineLevel="0" collapsed="false">
      <c r="A94" s="43"/>
      <c r="B94" s="43"/>
      <c r="C94" s="43"/>
      <c r="D94" s="44" t="s">
        <v>106</v>
      </c>
      <c r="E94" s="46" t="n">
        <f aca="false">IF(SUMIFS($C$244:$C$363,$A$244:$A$363,$A$92,$B$244:$B$363,E$65)=0,"",SUMIFS($L$244:$L$363,$A$244:$A$363,$A$92,$B$244:$B$363,E$65))</f>
        <v>0.0315170303132296</v>
      </c>
      <c r="F94" s="46" t="n">
        <f aca="false">IF(SUMIFS($C$244:$C$363,$A$244:$A$363,$A$92,$B$244:$B$363,F$65)=0,"",SUMIFS($L$244:$L$363,$A$244:$A$363,$A$92,$B$244:$B$363,F$65))</f>
        <v>0.0411645367416513</v>
      </c>
      <c r="G94" s="46" t="n">
        <f aca="false">IF(SUMIFS($C$244:$C$363,$A$244:$A$363,$A$92,$B$244:$B$363,G$65)=0,"",SUMIFS($L$244:$L$363,$A$244:$A$363,$A$92,$B$244:$B$363,G$65))</f>
        <v>0.0189982220919157</v>
      </c>
      <c r="H94" s="46" t="n">
        <f aca="false">IF(SUMIFS($C$244:$C$363,$A$244:$A$363,$A$92,$B$244:$B$363,H$65)=0,"",SUMIFS($L$244:$L$363,$A$244:$A$363,$A$92,$B$244:$B$363,H$65))</f>
        <v>0.0264276721638972</v>
      </c>
      <c r="I94" s="46" t="n">
        <f aca="false">IF(SUMIFS($C$244:$C$363,$A$244:$A$363,$A$92,$B$244:$B$363,I$65)=0,"",SUMIFS($L$244:$L$363,$A$244:$A$363,$A$92,$B$244:$B$363,I$65))</f>
        <v>0.0262327289805686</v>
      </c>
      <c r="J94" s="46" t="n">
        <f aca="false">IF(SUMIFS($C$244:$C$363,$A$244:$A$363,$A$92,$B$244:$B$363,J$65)=0,"",SUMIFS($L$244:$L$363,$A$244:$A$363,$A$92,$B$244:$B$363,J$65))</f>
        <v>0.044376122308875</v>
      </c>
      <c r="K94" s="46" t="n">
        <f aca="false">IF(SUMIFS($C$244:$C$363,$A$244:$A$363,$A$92,$B$244:$B$363,K$65)=0,"",SUMIFS($L$244:$L$363,$A$244:$A$363,$A$92,$B$244:$B$363,K$65))</f>
        <v>0.0247850321324798</v>
      </c>
      <c r="L94" s="46" t="n">
        <f aca="false">V94/O94-1</f>
        <v>0.233766905590814</v>
      </c>
      <c r="M94" s="46" t="n">
        <f aca="false">IF($B92=0,"",(V94/O94)^(1/$B92)-1)</f>
        <v>0.030465135070832</v>
      </c>
      <c r="N94" s="43"/>
      <c r="O94" s="47" t="n">
        <v>100</v>
      </c>
      <c r="P94" s="45" t="n">
        <f aca="false">IF(E94="",O94,O94*(1+E94))</f>
        <v>103.151703031323</v>
      </c>
      <c r="Q94" s="45" t="n">
        <f aca="false">IF(F94="",P94,P94*(1+F94))</f>
        <v>107.39789510072</v>
      </c>
      <c r="R94" s="45" t="n">
        <f aca="false">IF(G94="",Q94,Q94*(1+G94))</f>
        <v>109.438264164048</v>
      </c>
      <c r="S94" s="45" t="n">
        <f aca="false">IF(H94="",R94,R94*(1+H94))</f>
        <v>112.330462731561</v>
      </c>
      <c r="T94" s="45" t="n">
        <f aca="false">IF(I94="",S94,S94*(1+I94))</f>
        <v>115.27719731666</v>
      </c>
      <c r="U94" s="45" t="n">
        <f aca="false">IF(J94="",T94,T94*(1+J94))</f>
        <v>120.392752324208</v>
      </c>
      <c r="V94" s="45" t="n">
        <f aca="false">IF(K94="",U94,U94*(1+K94))</f>
        <v>123.376690559081</v>
      </c>
    </row>
    <row r="95" customFormat="false" ht="15" hidden="false" customHeight="false" outlineLevel="0" collapsed="false">
      <c r="A95" s="4" t="s">
        <v>27</v>
      </c>
      <c r="B95" s="8" t="n">
        <f aca="false">COUNT(E95:K95)</f>
        <v>2</v>
      </c>
      <c r="C95" s="40" t="n">
        <f aca="false">SUMIFS($E$244:$E$363,$A$244:$A$363,$A95,$B$244:$B$363,K$65)/1000</f>
        <v>0</v>
      </c>
      <c r="D95" s="41" t="s">
        <v>104</v>
      </c>
      <c r="E95" s="13" t="str">
        <f aca="false">IF(SUMIFS($C$244:$C$363,$A$244:$A$363,$A$95,$B$244:$B$363,E$65)=0,"",SUMIFS($N$244:$N$363,$A$244:$A$363,$A$95,$B$244:$B$363,E$65))</f>
        <v/>
      </c>
      <c r="F95" s="13" t="str">
        <f aca="false">IF(SUMIFS($C$244:$C$363,$A$244:$A$363,$A$95,$B$244:$B$363,F$65)=0,"",SUMIFS($N$244:$N$363,$A$244:$A$363,$A$95,$B$244:$B$363,F$65))</f>
        <v/>
      </c>
      <c r="G95" s="13" t="str">
        <f aca="false">IF(SUMIFS($C$244:$C$363,$A$244:$A$363,$A$95,$B$244:$B$363,G$65)=0,"",SUMIFS($N$244:$N$363,$A$244:$A$363,$A$95,$B$244:$B$363,G$65))</f>
        <v/>
      </c>
      <c r="H95" s="13" t="str">
        <f aca="false">IF(SUMIFS($C$244:$C$363,$A$244:$A$363,$A$95,$B$244:$B$363,H$65)=0,"",SUMIFS($N$244:$N$363,$A$244:$A$363,$A$95,$B$244:$B$363,H$65))</f>
        <v/>
      </c>
      <c r="I95" s="13" t="n">
        <f aca="false">IF(SUMIFS($C$244:$C$363,$A$244:$A$363,$A$95,$B$244:$B$363,I$65)=0,"",SUMIFS($N$244:$N$363,$A$244:$A$363,$A$95,$B$244:$B$363,I$65))</f>
        <v>-0.0600544242752445</v>
      </c>
      <c r="J95" s="13" t="n">
        <f aca="false">IF(SUMIFS($C$244:$C$363,$A$244:$A$363,$A$95,$B$244:$B$363,J$65)=0,"",SUMIFS($N$244:$N$363,$A$244:$A$363,$A$95,$B$244:$B$363,J$65))</f>
        <v>-1</v>
      </c>
      <c r="K95" s="13" t="str">
        <f aca="false">IF(SUMIFS($C$244:$C$363,$A$244:$A$363,$A$95,$B$244:$B$363,K$65)=0,"",SUMIFS($N$244:$N$363,$A$244:$A$363,$A$95,$B$244:$B$363,K$65))</f>
        <v/>
      </c>
      <c r="L95" s="13" t="n">
        <f aca="false">V95/O95-1</f>
        <v>-1</v>
      </c>
      <c r="M95" s="13" t="n">
        <f aca="false">IF($B95=0,"",(V95/O95)^(1/$B95)-1)</f>
        <v>-1</v>
      </c>
      <c r="O95" s="42" t="n">
        <v>100</v>
      </c>
      <c r="P95" s="40" t="n">
        <f aca="false">IF(E95="",O95,O95*(1+E95))</f>
        <v>100</v>
      </c>
      <c r="Q95" s="40" t="n">
        <f aca="false">IF(F95="",P95,P95*(1+F95))</f>
        <v>100</v>
      </c>
      <c r="R95" s="40" t="n">
        <f aca="false">IF(G95="",Q95,Q95*(1+G95))</f>
        <v>100</v>
      </c>
      <c r="S95" s="40" t="n">
        <f aca="false">IF(H95="",R95,R95*(1+H95))</f>
        <v>100</v>
      </c>
      <c r="T95" s="40" t="n">
        <f aca="false">IF(I95="",S95,S95*(1+I95))</f>
        <v>93.9945575724756</v>
      </c>
      <c r="U95" s="40" t="n">
        <f aca="false">IF(J95="",T95,T95*(1+J95))</f>
        <v>0</v>
      </c>
      <c r="V95" s="40" t="n">
        <f aca="false">IF(K95="",U95,U95*(1+K95))</f>
        <v>0</v>
      </c>
    </row>
    <row r="96" customFormat="false" ht="15" hidden="false" customHeight="false" outlineLevel="0" collapsed="false">
      <c r="D96" s="41" t="s">
        <v>105</v>
      </c>
      <c r="E96" s="13" t="str">
        <f aca="false">IF(SUMIFS($C$244:$C$363,$A$244:$A$363,$A$95,$B$244:$B$363,E$65)=0,"",SUMIFS($M$244:$M$363,$A$244:$A$363,$A$95,$B$244:$B$363,E$65))</f>
        <v/>
      </c>
      <c r="F96" s="13" t="str">
        <f aca="false">IF(SUMIFS($C$244:$C$363,$A$244:$A$363,$A$95,$B$244:$B$363,F$65)=0,"",SUMIFS($M$244:$M$363,$A$244:$A$363,$A$95,$B$244:$B$363,F$65))</f>
        <v/>
      </c>
      <c r="G96" s="13" t="str">
        <f aca="false">IF(SUMIFS($C$244:$C$363,$A$244:$A$363,$A$95,$B$244:$B$363,G$65)=0,"",SUMIFS($M$244:$M$363,$A$244:$A$363,$A$95,$B$244:$B$363,G$65))</f>
        <v/>
      </c>
      <c r="H96" s="13" t="str">
        <f aca="false">IF(SUMIFS($C$244:$C$363,$A$244:$A$363,$A$95,$B$244:$B$363,H$65)=0,"",SUMIFS($M$244:$M$363,$A$244:$A$363,$A$95,$B$244:$B$363,H$65))</f>
        <v/>
      </c>
      <c r="I96" s="13" t="n">
        <f aca="false">IF(SUMIFS($C$244:$C$363,$A$244:$A$363,$A$95,$B$244:$B$363,I$65)=0,"",SUMIFS($M$244:$M$363,$A$244:$A$363,$A$95,$B$244:$B$363,I$65))</f>
        <v>-0.085533993109331</v>
      </c>
      <c r="J96" s="13" t="n">
        <f aca="false">IF(SUMIFS($C$244:$C$363,$A$244:$A$363,$A$95,$B$244:$B$363,J$65)=0,"",SUMIFS($M$244:$M$363,$A$244:$A$363,$A$95,$B$244:$B$363,J$65))</f>
        <v>-1</v>
      </c>
      <c r="K96" s="13" t="str">
        <f aca="false">IF(SUMIFS($C$244:$C$363,$A$244:$A$363,$A$95,$B$244:$B$363,K$65)=0,"",SUMIFS($M$244:$M$363,$A$244:$A$363,$A$95,$B$244:$B$363,K$65))</f>
        <v/>
      </c>
      <c r="L96" s="13" t="n">
        <f aca="false">V96/O96-1</f>
        <v>-1</v>
      </c>
      <c r="M96" s="13" t="n">
        <f aca="false">IF($B95=0,"",(V96/O96)^(1/$B95)-1)</f>
        <v>-1</v>
      </c>
      <c r="O96" s="42" t="n">
        <v>100</v>
      </c>
      <c r="P96" s="40" t="n">
        <f aca="false">IF(E96="",O96,O96*(1+E96))</f>
        <v>100</v>
      </c>
      <c r="Q96" s="40" t="n">
        <f aca="false">IF(F96="",P96,P96*(1+F96))</f>
        <v>100</v>
      </c>
      <c r="R96" s="40" t="n">
        <f aca="false">IF(G96="",Q96,Q96*(1+G96))</f>
        <v>100</v>
      </c>
      <c r="S96" s="40" t="n">
        <f aca="false">IF(H96="",R96,R96*(1+H96))</f>
        <v>100</v>
      </c>
      <c r="T96" s="40" t="n">
        <f aca="false">IF(I96="",S96,S96*(1+I96))</f>
        <v>91.4466006890669</v>
      </c>
      <c r="U96" s="40" t="n">
        <f aca="false">IF(J96="",T96,T96*(1+J96))</f>
        <v>0</v>
      </c>
      <c r="V96" s="40" t="n">
        <f aca="false">IF(K96="",U96,U96*(1+K96))</f>
        <v>0</v>
      </c>
    </row>
    <row r="97" customFormat="false" ht="15" hidden="false" customHeight="false" outlineLevel="0" collapsed="false">
      <c r="A97" s="43"/>
      <c r="B97" s="43"/>
      <c r="C97" s="43"/>
      <c r="D97" s="44" t="s">
        <v>106</v>
      </c>
      <c r="E97" s="46" t="str">
        <f aca="false">IF(SUMIFS($C$244:$C$363,$A$244:$A$363,$A$95,$B$244:$B$363,E$65)=0,"",SUMIFS($L$244:$L$363,$A$244:$A$363,$A$95,$B$244:$B$363,E$65))</f>
        <v/>
      </c>
      <c r="F97" s="46" t="str">
        <f aca="false">IF(SUMIFS($C$244:$C$363,$A$244:$A$363,$A$95,$B$244:$B$363,F$65)=0,"",SUMIFS($L$244:$L$363,$A$244:$A$363,$A$95,$B$244:$B$363,F$65))</f>
        <v/>
      </c>
      <c r="G97" s="46" t="str">
        <f aca="false">IF(SUMIFS($C$244:$C$363,$A$244:$A$363,$A$95,$B$244:$B$363,G$65)=0,"",SUMIFS($L$244:$L$363,$A$244:$A$363,$A$95,$B$244:$B$363,G$65))</f>
        <v/>
      </c>
      <c r="H97" s="46" t="str">
        <f aca="false">IF(SUMIFS($C$244:$C$363,$A$244:$A$363,$A$95,$B$244:$B$363,H$65)=0,"",SUMIFS($L$244:$L$363,$A$244:$A$363,$A$95,$B$244:$B$363,H$65))</f>
        <v/>
      </c>
      <c r="I97" s="46" t="n">
        <f aca="false">IF(SUMIFS($C$244:$C$363,$A$244:$A$363,$A$95,$B$244:$B$363,I$65)=0,"",SUMIFS($L$244:$L$363,$A$244:$A$363,$A$95,$B$244:$B$363,I$65))</f>
        <v>0.0254795688340866</v>
      </c>
      <c r="J97" s="46" t="n">
        <f aca="false">IF(SUMIFS($C$244:$C$363,$A$244:$A$363,$A$95,$B$244:$B$363,J$65)=0,"",SUMIFS($L$244:$L$363,$A$244:$A$363,$A$95,$B$244:$B$363,J$65))</f>
        <v>0</v>
      </c>
      <c r="K97" s="46" t="str">
        <f aca="false">IF(SUMIFS($C$244:$C$363,$A$244:$A$363,$A$95,$B$244:$B$363,K$65)=0,"",SUMIFS($L$244:$L$363,$A$244:$A$363,$A$95,$B$244:$B$363,K$65))</f>
        <v/>
      </c>
      <c r="L97" s="46" t="n">
        <f aca="false">V97/O97-1</f>
        <v>0.0254795688340865</v>
      </c>
      <c r="M97" s="46" t="n">
        <f aca="false">IF($B95=0,"",(V97/O97)^(1/$B95)-1)</f>
        <v>0.0126596510348809</v>
      </c>
      <c r="N97" s="43"/>
      <c r="O97" s="47" t="n">
        <v>100</v>
      </c>
      <c r="P97" s="45" t="n">
        <f aca="false">IF(E97="",O97,O97*(1+E97))</f>
        <v>100</v>
      </c>
      <c r="Q97" s="45" t="n">
        <f aca="false">IF(F97="",P97,P97*(1+F97))</f>
        <v>100</v>
      </c>
      <c r="R97" s="45" t="n">
        <f aca="false">IF(G97="",Q97,Q97*(1+G97))</f>
        <v>100</v>
      </c>
      <c r="S97" s="45" t="n">
        <f aca="false">IF(H97="",R97,R97*(1+H97))</f>
        <v>100</v>
      </c>
      <c r="T97" s="45" t="n">
        <f aca="false">IF(I97="",S97,S97*(1+I97))</f>
        <v>102.547956883409</v>
      </c>
      <c r="U97" s="45" t="n">
        <f aca="false">IF(J97="",T97,T97*(1+J97))</f>
        <v>102.547956883409</v>
      </c>
      <c r="V97" s="45" t="n">
        <f aca="false">IF(K97="",U97,U97*(1+K97))</f>
        <v>102.547956883409</v>
      </c>
    </row>
    <row r="98" customFormat="false" ht="15" hidden="false" customHeight="false" outlineLevel="0" collapsed="false">
      <c r="A98" s="4" t="s">
        <v>28</v>
      </c>
      <c r="B98" s="8" t="n">
        <f aca="false">COUNT(E98:K98)</f>
        <v>3</v>
      </c>
      <c r="C98" s="40" t="n">
        <f aca="false">SUMIFS($E$244:$E$363,$A$244:$A$363,$A98,$B$244:$B$363,K$65)/1000</f>
        <v>69.2491306654093</v>
      </c>
      <c r="D98" s="41" t="s">
        <v>104</v>
      </c>
      <c r="E98" s="13" t="str">
        <f aca="false">IF(SUMIFS($C$244:$C$363,$A$244:$A$363,$A$98,$B$244:$B$363,E$65)=0,"",SUMIFS($N$244:$N$363,$A$244:$A$363,$A$98,$B$244:$B$363,E$65))</f>
        <v/>
      </c>
      <c r="F98" s="13" t="str">
        <f aca="false">IF(SUMIFS($C$244:$C$363,$A$244:$A$363,$A$98,$B$244:$B$363,F$65)=0,"",SUMIFS($N$244:$N$363,$A$244:$A$363,$A$98,$B$244:$B$363,F$65))</f>
        <v/>
      </c>
      <c r="G98" s="13" t="str">
        <f aca="false">IF(SUMIFS($C$244:$C$363,$A$244:$A$363,$A$98,$B$244:$B$363,G$65)=0,"",SUMIFS($N$244:$N$363,$A$244:$A$363,$A$98,$B$244:$B$363,G$65))</f>
        <v/>
      </c>
      <c r="H98" s="13" t="str">
        <f aca="false">IF(SUMIFS($C$244:$C$363,$A$244:$A$363,$A$98,$B$244:$B$363,H$65)=0,"",SUMIFS($N$244:$N$363,$A$244:$A$363,$A$98,$B$244:$B$363,H$65))</f>
        <v/>
      </c>
      <c r="I98" s="13" t="n">
        <f aca="false">IF(SUMIFS($C$244:$C$363,$A$244:$A$363,$A$98,$B$244:$B$363,I$65)=0,"",SUMIFS($N$244:$N$363,$A$244:$A$363,$A$98,$B$244:$B$363,I$65))</f>
        <v>0.3329722039969</v>
      </c>
      <c r="J98" s="13" t="n">
        <f aca="false">IF(SUMIFS($C$244:$C$363,$A$244:$A$363,$A$98,$B$244:$B$363,J$65)=0,"",SUMIFS($N$244:$N$363,$A$244:$A$363,$A$98,$B$244:$B$363,J$65))</f>
        <v>0.356132587190212</v>
      </c>
      <c r="K98" s="13" t="n">
        <f aca="false">IF(SUMIFS($C$244:$C$363,$A$244:$A$363,$A$98,$B$244:$B$363,K$65)=0,"",SUMIFS($N$244:$N$363,$A$244:$A$363,$A$98,$B$244:$B$363,K$65))</f>
        <v>-0.304820622349019</v>
      </c>
      <c r="L98" s="13" t="n">
        <f aca="false">V98/O98-1</f>
        <v>0.256666753998574</v>
      </c>
      <c r="M98" s="13" t="n">
        <f aca="false">IF($B98=0,"",(V98/O98)^(1/$B98)-1)</f>
        <v>0.0791290285847557</v>
      </c>
      <c r="O98" s="42" t="n">
        <v>100</v>
      </c>
      <c r="P98" s="40" t="n">
        <f aca="false">IF(E98="",O98,O98*(1+E98))</f>
        <v>100</v>
      </c>
      <c r="Q98" s="40" t="n">
        <f aca="false">IF(F98="",P98,P98*(1+F98))</f>
        <v>100</v>
      </c>
      <c r="R98" s="40" t="n">
        <f aca="false">IF(G98="",Q98,Q98*(1+G98))</f>
        <v>100</v>
      </c>
      <c r="S98" s="40" t="n">
        <f aca="false">IF(H98="",R98,R98*(1+H98))</f>
        <v>100</v>
      </c>
      <c r="T98" s="40" t="n">
        <f aca="false">IF(I98="",S98,S98*(1+I98))</f>
        <v>133.29722039969</v>
      </c>
      <c r="U98" s="40" t="n">
        <f aca="false">IF(J98="",T98,T98*(1+J98))</f>
        <v>180.768704365896</v>
      </c>
      <c r="V98" s="40" t="n">
        <f aca="false">IF(K98="",U98,U98*(1+K98))</f>
        <v>125.666675399857</v>
      </c>
    </row>
    <row r="99" customFormat="false" ht="15" hidden="false" customHeight="false" outlineLevel="0" collapsed="false">
      <c r="D99" s="41" t="s">
        <v>105</v>
      </c>
      <c r="E99" s="13" t="str">
        <f aca="false">IF(SUMIFS($C$244:$C$363,$A$244:$A$363,$A$98,$B$244:$B$363,E$65)=0,"",SUMIFS($M$244:$M$363,$A$244:$A$363,$A$98,$B$244:$B$363,E$65))</f>
        <v/>
      </c>
      <c r="F99" s="13" t="str">
        <f aca="false">IF(SUMIFS($C$244:$C$363,$A$244:$A$363,$A$98,$B$244:$B$363,F$65)=0,"",SUMIFS($M$244:$M$363,$A$244:$A$363,$A$98,$B$244:$B$363,F$65))</f>
        <v/>
      </c>
      <c r="G99" s="13" t="str">
        <f aca="false">IF(SUMIFS($C$244:$C$363,$A$244:$A$363,$A$98,$B$244:$B$363,G$65)=0,"",SUMIFS($M$244:$M$363,$A$244:$A$363,$A$98,$B$244:$B$363,G$65))</f>
        <v/>
      </c>
      <c r="H99" s="13" t="str">
        <f aca="false">IF(SUMIFS($C$244:$C$363,$A$244:$A$363,$A$98,$B$244:$B$363,H$65)=0,"",SUMIFS($M$244:$M$363,$A$244:$A$363,$A$98,$B$244:$B$363,H$65))</f>
        <v/>
      </c>
      <c r="I99" s="13" t="n">
        <f aca="false">IF(SUMIFS($C$244:$C$363,$A$244:$A$363,$A$98,$B$244:$B$363,I$65)=0,"",SUMIFS($M$244:$M$363,$A$244:$A$363,$A$98,$B$244:$B$363,I$65))</f>
        <v>0.315804521069715</v>
      </c>
      <c r="J99" s="13" t="n">
        <f aca="false">IF(SUMIFS($C$244:$C$363,$A$244:$A$363,$A$98,$B$244:$B$363,J$65)=0,"",SUMIFS($M$244:$M$363,$A$244:$A$363,$A$98,$B$244:$B$363,J$65))</f>
        <v>0.352781415555415</v>
      </c>
      <c r="K99" s="13" t="n">
        <f aca="false">IF(SUMIFS($C$244:$C$363,$A$244:$A$363,$A$98,$B$244:$B$363,K$65)=0,"",SUMIFS($M$244:$M$363,$A$244:$A$363,$A$98,$B$244:$B$363,K$65))</f>
        <v>-0.307942851075172</v>
      </c>
      <c r="L99" s="13" t="n">
        <f aca="false">V99/O99-1</f>
        <v>0.231858889456009</v>
      </c>
      <c r="M99" s="13" t="n">
        <f aca="false">IF($B98=0,"",(V99/O99)^(1/$B98)-1)</f>
        <v>0.0719807516360853</v>
      </c>
      <c r="O99" s="42" t="n">
        <v>100</v>
      </c>
      <c r="P99" s="40" t="n">
        <f aca="false">IF(E99="",O99,O99*(1+E99))</f>
        <v>100</v>
      </c>
      <c r="Q99" s="40" t="n">
        <f aca="false">IF(F99="",P99,P99*(1+F99))</f>
        <v>100</v>
      </c>
      <c r="R99" s="40" t="n">
        <f aca="false">IF(G99="",Q99,Q99*(1+G99))</f>
        <v>100</v>
      </c>
      <c r="S99" s="40" t="n">
        <f aca="false">IF(H99="",R99,R99*(1+H99))</f>
        <v>100</v>
      </c>
      <c r="T99" s="40" t="n">
        <f aca="false">IF(I99="",S99,S99*(1+I99))</f>
        <v>131.580452106971</v>
      </c>
      <c r="U99" s="40" t="n">
        <f aca="false">IF(J99="",T99,T99*(1+J99))</f>
        <v>177.99959026069</v>
      </c>
      <c r="V99" s="40" t="n">
        <f aca="false">IF(K99="",U99,U99*(1+K99))</f>
        <v>123.185888945601</v>
      </c>
    </row>
    <row r="100" customFormat="false" ht="15" hidden="false" customHeight="false" outlineLevel="0" collapsed="false">
      <c r="A100" s="43"/>
      <c r="B100" s="43"/>
      <c r="C100" s="43"/>
      <c r="D100" s="44" t="s">
        <v>106</v>
      </c>
      <c r="E100" s="46" t="str">
        <f aca="false">IF(SUMIFS($C$244:$C$363,$A$244:$A$363,$A$98,$B$244:$B$363,E$65)=0,"",SUMIFS($L$244:$L$363,$A$244:$A$363,$A$98,$B$244:$B$363,E$65))</f>
        <v/>
      </c>
      <c r="F100" s="46" t="str">
        <f aca="false">IF(SUMIFS($C$244:$C$363,$A$244:$A$363,$A$98,$B$244:$B$363,F$65)=0,"",SUMIFS($L$244:$L$363,$A$244:$A$363,$A$98,$B$244:$B$363,F$65))</f>
        <v/>
      </c>
      <c r="G100" s="46" t="str">
        <f aca="false">IF(SUMIFS($C$244:$C$363,$A$244:$A$363,$A$98,$B$244:$B$363,G$65)=0,"",SUMIFS($L$244:$L$363,$A$244:$A$363,$A$98,$B$244:$B$363,G$65))</f>
        <v/>
      </c>
      <c r="H100" s="46" t="str">
        <f aca="false">IF(SUMIFS($C$244:$C$363,$A$244:$A$363,$A$98,$B$244:$B$363,H$65)=0,"",SUMIFS($L$244:$L$363,$A$244:$A$363,$A$98,$B$244:$B$363,H$65))</f>
        <v/>
      </c>
      <c r="I100" s="46" t="n">
        <f aca="false">IF(SUMIFS($C$244:$C$363,$A$244:$A$363,$A$98,$B$244:$B$363,I$65)=0,"",SUMIFS($L$244:$L$363,$A$244:$A$363,$A$98,$B$244:$B$363,I$65))</f>
        <v>0.0171676829271852</v>
      </c>
      <c r="J100" s="46" t="n">
        <f aca="false">IF(SUMIFS($C$244:$C$363,$A$244:$A$363,$A$98,$B$244:$B$363,J$65)=0,"",SUMIFS($L$244:$L$363,$A$244:$A$363,$A$98,$B$244:$B$363,J$65))</f>
        <v>0.00335117163479734</v>
      </c>
      <c r="K100" s="46" t="n">
        <f aca="false">IF(SUMIFS($C$244:$C$363,$A$244:$A$363,$A$98,$B$244:$B$363,K$65)=0,"",SUMIFS($L$244:$L$363,$A$244:$A$363,$A$98,$B$244:$B$363,K$65))</f>
        <v>0.00312222872615333</v>
      </c>
      <c r="L100" s="46" t="n">
        <f aca="false">V100/O100-1</f>
        <v>0.023762859324939</v>
      </c>
      <c r="M100" s="46" t="n">
        <f aca="false">IF($B98=0,"",(V100/O100)^(1/$B98)-1)</f>
        <v>0.00785902700047103</v>
      </c>
      <c r="N100" s="43"/>
      <c r="O100" s="47" t="n">
        <v>100</v>
      </c>
      <c r="P100" s="45" t="n">
        <f aca="false">IF(E100="",O100,O100*(1+E100))</f>
        <v>100</v>
      </c>
      <c r="Q100" s="45" t="n">
        <f aca="false">IF(F100="",P100,P100*(1+F100))</f>
        <v>100</v>
      </c>
      <c r="R100" s="45" t="n">
        <f aca="false">IF(G100="",Q100,Q100*(1+G100))</f>
        <v>100</v>
      </c>
      <c r="S100" s="45" t="n">
        <f aca="false">IF(H100="",R100,R100*(1+H100))</f>
        <v>100</v>
      </c>
      <c r="T100" s="45" t="n">
        <f aca="false">IF(I100="",S100,S100*(1+I100))</f>
        <v>101.716768292719</v>
      </c>
      <c r="U100" s="45" t="n">
        <f aca="false">IF(J100="",T100,T100*(1+J100))</f>
        <v>102.057638641404</v>
      </c>
      <c r="V100" s="45" t="n">
        <f aca="false">IF(K100="",U100,U100*(1+K100))</f>
        <v>102.376285932494</v>
      </c>
    </row>
    <row r="101" customFormat="false" ht="15" hidden="false" customHeight="false" outlineLevel="0" collapsed="false">
      <c r="A101" s="4" t="s">
        <v>29</v>
      </c>
      <c r="B101" s="8" t="n">
        <f aca="false">COUNT(E101:K101)</f>
        <v>3</v>
      </c>
      <c r="C101" s="40" t="n">
        <f aca="false">SUMIFS($E$244:$E$363,$A$244:$A$363,$A101,$B$244:$B$363,K$65)/1000</f>
        <v>51.5795367478046</v>
      </c>
      <c r="D101" s="41" t="s">
        <v>104</v>
      </c>
      <c r="E101" s="13" t="str">
        <f aca="false">IF(SUMIFS($C$244:$C$363,$A$244:$A$363,$A$101,$B$244:$B$363,E$65)=0,"",SUMIFS($N$244:$N$363,$A$244:$A$363,$A$101,$B$244:$B$363,E$65))</f>
        <v/>
      </c>
      <c r="F101" s="13" t="str">
        <f aca="false">IF(SUMIFS($C$244:$C$363,$A$244:$A$363,$A$101,$B$244:$B$363,F$65)=0,"",SUMIFS($N$244:$N$363,$A$244:$A$363,$A$101,$B$244:$B$363,F$65))</f>
        <v/>
      </c>
      <c r="G101" s="13" t="str">
        <f aca="false">IF(SUMIFS($C$244:$C$363,$A$244:$A$363,$A$101,$B$244:$B$363,G$65)=0,"",SUMIFS($N$244:$N$363,$A$244:$A$363,$A$101,$B$244:$B$363,G$65))</f>
        <v/>
      </c>
      <c r="H101" s="13" t="str">
        <f aca="false">IF(SUMIFS($C$244:$C$363,$A$244:$A$363,$A$101,$B$244:$B$363,H$65)=0,"",SUMIFS($N$244:$N$363,$A$244:$A$363,$A$101,$B$244:$B$363,H$65))</f>
        <v/>
      </c>
      <c r="I101" s="13" t="n">
        <f aca="false">IF(SUMIFS($C$244:$C$363,$A$244:$A$363,$A$101,$B$244:$B$363,I$65)=0,"",SUMIFS($N$244:$N$363,$A$244:$A$363,$A$101,$B$244:$B$363,I$65))</f>
        <v>0.829339334097036</v>
      </c>
      <c r="J101" s="13" t="n">
        <f aca="false">IF(SUMIFS($C$244:$C$363,$A$244:$A$363,$A$101,$B$244:$B$363,J$65)=0,"",SUMIFS($N$244:$N$363,$A$244:$A$363,$A$101,$B$244:$B$363,J$65))</f>
        <v>0.0616853128067489</v>
      </c>
      <c r="K101" s="13" t="n">
        <f aca="false">IF(SUMIFS($C$244:$C$363,$A$244:$A$363,$A$101,$B$244:$B$363,K$65)=0,"",SUMIFS($N$244:$N$363,$A$244:$A$363,$A$101,$B$244:$B$363,K$65))</f>
        <v>-0.298670464932518</v>
      </c>
      <c r="L101" s="13" t="n">
        <f aca="false">V101/O101-1</f>
        <v>0.362110092216646</v>
      </c>
      <c r="M101" s="13" t="n">
        <f aca="false">IF($B101=0,"",(V101/O101)^(1/$B101)-1)</f>
        <v>0.108504354761045</v>
      </c>
      <c r="O101" s="42" t="n">
        <v>100</v>
      </c>
      <c r="P101" s="40" t="n">
        <f aca="false">IF(E101="",O101,O101*(1+E101))</f>
        <v>100</v>
      </c>
      <c r="Q101" s="40" t="n">
        <f aca="false">IF(F101="",P101,P101*(1+F101))</f>
        <v>100</v>
      </c>
      <c r="R101" s="40" t="n">
        <f aca="false">IF(G101="",Q101,Q101*(1+G101))</f>
        <v>100</v>
      </c>
      <c r="S101" s="40" t="n">
        <f aca="false">IF(H101="",R101,R101*(1+H101))</f>
        <v>100</v>
      </c>
      <c r="T101" s="40" t="n">
        <f aca="false">IF(I101="",S101,S101*(1+I101))</f>
        <v>182.933933409704</v>
      </c>
      <c r="U101" s="40" t="n">
        <f aca="false">IF(J101="",T101,T101*(1+J101))</f>
        <v>194.21827031505</v>
      </c>
      <c r="V101" s="40" t="n">
        <f aca="false">IF(K101="",U101,U101*(1+K101))</f>
        <v>136.211009221665</v>
      </c>
    </row>
    <row r="102" customFormat="false" ht="15" hidden="false" customHeight="false" outlineLevel="0" collapsed="false">
      <c r="D102" s="41" t="s">
        <v>105</v>
      </c>
      <c r="E102" s="13" t="str">
        <f aca="false">IF(SUMIFS($C$244:$C$363,$A$244:$A$363,$A$101,$B$244:$B$363,E$65)=0,"",SUMIFS($M$244:$M$363,$A$244:$A$363,$A$101,$B$244:$B$363,E$65))</f>
        <v/>
      </c>
      <c r="F102" s="13" t="str">
        <f aca="false">IF(SUMIFS($C$244:$C$363,$A$244:$A$363,$A$101,$B$244:$B$363,F$65)=0,"",SUMIFS($M$244:$M$363,$A$244:$A$363,$A$101,$B$244:$B$363,F$65))</f>
        <v/>
      </c>
      <c r="G102" s="13" t="str">
        <f aca="false">IF(SUMIFS($C$244:$C$363,$A$244:$A$363,$A$101,$B$244:$B$363,G$65)=0,"",SUMIFS($M$244:$M$363,$A$244:$A$363,$A$101,$B$244:$B$363,G$65))</f>
        <v/>
      </c>
      <c r="H102" s="13" t="str">
        <f aca="false">IF(SUMIFS($C$244:$C$363,$A$244:$A$363,$A$101,$B$244:$B$363,H$65)=0,"",SUMIFS($M$244:$M$363,$A$244:$A$363,$A$101,$B$244:$B$363,H$65))</f>
        <v/>
      </c>
      <c r="I102" s="13" t="n">
        <f aca="false">IF(SUMIFS($C$244:$C$363,$A$244:$A$363,$A$101,$B$244:$B$363,I$65)=0,"",SUMIFS($M$244:$M$363,$A$244:$A$363,$A$101,$B$244:$B$363,I$65))</f>
        <v>0.778320282961661</v>
      </c>
      <c r="J102" s="13" t="n">
        <f aca="false">IF(SUMIFS($C$244:$C$363,$A$244:$A$363,$A$101,$B$244:$B$363,J$65)=0,"",SUMIFS($M$244:$M$363,$A$244:$A$363,$A$101,$B$244:$B$363,J$65))</f>
        <v>0.0346138642449114</v>
      </c>
      <c r="K102" s="13" t="n">
        <f aca="false">IF(SUMIFS($C$244:$C$363,$A$244:$A$363,$A$101,$B$244:$B$363,K$65)=0,"",SUMIFS($M$244:$M$363,$A$244:$A$363,$A$101,$B$244:$B$363,K$65))</f>
        <v>-0.319225959146663</v>
      </c>
      <c r="L102" s="13" t="n">
        <f aca="false">V102/O102-1</f>
        <v>0.252539015753213</v>
      </c>
      <c r="M102" s="13" t="n">
        <f aca="false">IF($B101=0,"",(V102/O102)^(1/$B101)-1)</f>
        <v>0.0779462042314274</v>
      </c>
      <c r="O102" s="42" t="n">
        <v>100</v>
      </c>
      <c r="P102" s="40" t="n">
        <f aca="false">IF(E102="",O102,O102*(1+E102))</f>
        <v>100</v>
      </c>
      <c r="Q102" s="40" t="n">
        <f aca="false">IF(F102="",P102,P102*(1+F102))</f>
        <v>100</v>
      </c>
      <c r="R102" s="40" t="n">
        <f aca="false">IF(G102="",Q102,Q102*(1+G102))</f>
        <v>100</v>
      </c>
      <c r="S102" s="40" t="n">
        <f aca="false">IF(H102="",R102,R102*(1+H102))</f>
        <v>100</v>
      </c>
      <c r="T102" s="40" t="n">
        <f aca="false">IF(I102="",S102,S102*(1+I102))</f>
        <v>177.832028296166</v>
      </c>
      <c r="U102" s="40" t="n">
        <f aca="false">IF(J102="",T102,T102*(1+J102))</f>
        <v>183.987481982007</v>
      </c>
      <c r="V102" s="40" t="n">
        <f aca="false">IF(K102="",U102,U102*(1+K102))</f>
        <v>125.253901575321</v>
      </c>
    </row>
    <row r="103" customFormat="false" ht="15" hidden="false" customHeight="false" outlineLevel="0" collapsed="false">
      <c r="A103" s="43"/>
      <c r="B103" s="43"/>
      <c r="C103" s="43"/>
      <c r="D103" s="44" t="s">
        <v>106</v>
      </c>
      <c r="E103" s="46" t="str">
        <f aca="false">IF(SUMIFS($C$244:$C$363,$A$244:$A$363,$A$101,$B$244:$B$363,E$65)=0,"",SUMIFS($L$244:$L$363,$A$244:$A$363,$A$101,$B$244:$B$363,E$65))</f>
        <v/>
      </c>
      <c r="F103" s="46" t="str">
        <f aca="false">IF(SUMIFS($C$244:$C$363,$A$244:$A$363,$A$101,$B$244:$B$363,F$65)=0,"",SUMIFS($L$244:$L$363,$A$244:$A$363,$A$101,$B$244:$B$363,F$65))</f>
        <v/>
      </c>
      <c r="G103" s="46" t="str">
        <f aca="false">IF(SUMIFS($C$244:$C$363,$A$244:$A$363,$A$101,$B$244:$B$363,G$65)=0,"",SUMIFS($L$244:$L$363,$A$244:$A$363,$A$101,$B$244:$B$363,G$65))</f>
        <v/>
      </c>
      <c r="H103" s="46" t="str">
        <f aca="false">IF(SUMIFS($C$244:$C$363,$A$244:$A$363,$A$101,$B$244:$B$363,H$65)=0,"",SUMIFS($L$244:$L$363,$A$244:$A$363,$A$101,$B$244:$B$363,H$65))</f>
        <v/>
      </c>
      <c r="I103" s="46" t="n">
        <f aca="false">IF(SUMIFS($C$244:$C$363,$A$244:$A$363,$A$101,$B$244:$B$363,I$65)=0,"",SUMIFS($L$244:$L$363,$A$244:$A$363,$A$101,$B$244:$B$363,I$65))</f>
        <v>0.0510190511353747</v>
      </c>
      <c r="J103" s="46" t="n">
        <f aca="false">IF(SUMIFS($C$244:$C$363,$A$244:$A$363,$A$101,$B$244:$B$363,J$65)=0,"",SUMIFS($L$244:$L$363,$A$244:$A$363,$A$101,$B$244:$B$363,J$65))</f>
        <v>0.0270714485618376</v>
      </c>
      <c r="K103" s="46" t="n">
        <f aca="false">IF(SUMIFS($C$244:$C$363,$A$244:$A$363,$A$101,$B$244:$B$363,K$65)=0,"",SUMIFS($L$244:$L$363,$A$244:$A$363,$A$101,$B$244:$B$363,K$65))</f>
        <v>0.0205554942141447</v>
      </c>
      <c r="L103" s="46" t="n">
        <f aca="false">V103/O103-1</f>
        <v>0.101660732763094</v>
      </c>
      <c r="M103" s="46" t="n">
        <f aca="false">IF($B101=0,"",(V103/O103)^(1/$B101)-1)</f>
        <v>0.0327993516336358</v>
      </c>
      <c r="N103" s="43"/>
      <c r="O103" s="47" t="n">
        <v>100</v>
      </c>
      <c r="P103" s="45" t="n">
        <f aca="false">IF(E103="",O103,O103*(1+E103))</f>
        <v>100</v>
      </c>
      <c r="Q103" s="45" t="n">
        <f aca="false">IF(F103="",P103,P103*(1+F103))</f>
        <v>100</v>
      </c>
      <c r="R103" s="45" t="n">
        <f aca="false">IF(G103="",Q103,Q103*(1+G103))</f>
        <v>100</v>
      </c>
      <c r="S103" s="45" t="n">
        <f aca="false">IF(H103="",R103,R103*(1+H103))</f>
        <v>100</v>
      </c>
      <c r="T103" s="45" t="n">
        <f aca="false">IF(I103="",S103,S103*(1+I103))</f>
        <v>105.101905113537</v>
      </c>
      <c r="U103" s="45" t="n">
        <f aca="false">IF(J103="",T103,T103*(1+J103))</f>
        <v>107.94716593157</v>
      </c>
      <c r="V103" s="45" t="n">
        <f aca="false">IF(K103="",U103,U103*(1+K103))</f>
        <v>110.166073276309</v>
      </c>
    </row>
    <row r="104" customFormat="false" ht="15" hidden="false" customHeight="false" outlineLevel="0" collapsed="false">
      <c r="A104" s="4" t="s">
        <v>30</v>
      </c>
      <c r="B104" s="8" t="n">
        <f aca="false">COUNT(E104:K104)</f>
        <v>7</v>
      </c>
      <c r="C104" s="40" t="n">
        <f aca="false">SUMIFS($E$244:$E$363,$A$244:$A$363,$A104,$B$244:$B$363,K$65)/1000</f>
        <v>93.08363293452</v>
      </c>
      <c r="D104" s="41" t="s">
        <v>104</v>
      </c>
      <c r="E104" s="13" t="n">
        <f aca="false">IF(SUMIFS($C$244:$C$363,$A$244:$A$363,$A$104,$B$244:$B$363,E$65)=0,"",SUMIFS($N$244:$N$363,$A$244:$A$363,$A$104,$B$244:$B$363,E$65))</f>
        <v>0.798767349574516</v>
      </c>
      <c r="F104" s="13" t="n">
        <f aca="false">IF(SUMIFS($C$244:$C$363,$A$244:$A$363,$A$104,$B$244:$B$363,F$65)=0,"",SUMIFS($N$244:$N$363,$A$244:$A$363,$A$104,$B$244:$B$363,F$65))</f>
        <v>-0.000509698997113699</v>
      </c>
      <c r="G104" s="13" t="n">
        <f aca="false">IF(SUMIFS($C$244:$C$363,$A$244:$A$363,$A$104,$B$244:$B$363,G$65)=0,"",SUMIFS($N$244:$N$363,$A$244:$A$363,$A$104,$B$244:$B$363,G$65))</f>
        <v>0.177522926602387</v>
      </c>
      <c r="H104" s="13" t="n">
        <f aca="false">IF(SUMIFS($C$244:$C$363,$A$244:$A$363,$A$104,$B$244:$B$363,H$65)=0,"",SUMIFS($N$244:$N$363,$A$244:$A$363,$A$104,$B$244:$B$363,H$65))</f>
        <v>-0.0778638408968842</v>
      </c>
      <c r="I104" s="13" t="n">
        <f aca="false">IF(SUMIFS($C$244:$C$363,$A$244:$A$363,$A$104,$B$244:$B$363,I$65)=0,"",SUMIFS($N$244:$N$363,$A$244:$A$363,$A$104,$B$244:$B$363,I$65))</f>
        <v>-0.10053178262585</v>
      </c>
      <c r="J104" s="13" t="n">
        <f aca="false">IF(SUMIFS($C$244:$C$363,$A$244:$A$363,$A$104,$B$244:$B$363,J$65)=0,"",SUMIFS($N$244:$N$363,$A$244:$A$363,$A$104,$B$244:$B$363,J$65))</f>
        <v>0.20389083978156</v>
      </c>
      <c r="K104" s="13" t="n">
        <f aca="false">IF(SUMIFS($C$244:$C$363,$A$244:$A$363,$A$104,$B$244:$B$363,K$65)=0,"",SUMIFS($N$244:$N$363,$A$244:$A$363,$A$104,$B$244:$B$363,K$65))</f>
        <v>-0.315468707688513</v>
      </c>
      <c r="L104" s="13" t="n">
        <f aca="false">V104/O104-1</f>
        <v>0.447052346799174</v>
      </c>
      <c r="M104" s="13" t="n">
        <f aca="false">IF($B104=0,"",(V104/O104)^(1/$B104)-1)</f>
        <v>0.0542080307771111</v>
      </c>
      <c r="O104" s="42" t="n">
        <v>100</v>
      </c>
      <c r="P104" s="40" t="n">
        <f aca="false">IF(E104="",O104,O104*(1+E104))</f>
        <v>179.876734957452</v>
      </c>
      <c r="Q104" s="40" t="n">
        <f aca="false">IF(F104="",P104,P104*(1+F104))</f>
        <v>179.78505196604</v>
      </c>
      <c r="R104" s="40" t="n">
        <f aca="false">IF(G104="",Q104,Q104*(1+G104))</f>
        <v>211.701020550413</v>
      </c>
      <c r="S104" s="40" t="n">
        <f aca="false">IF(H104="",R104,R104*(1+H104))</f>
        <v>195.217165968568</v>
      </c>
      <c r="T104" s="40" t="n">
        <f aca="false">IF(I104="",S104,S104*(1+I104))</f>
        <v>175.591636274581</v>
      </c>
      <c r="U104" s="40" t="n">
        <f aca="false">IF(J104="",T104,T104*(1+J104))</f>
        <v>211.393162453224</v>
      </c>
      <c r="V104" s="40" t="n">
        <f aca="false">IF(K104="",U104,U104*(1+K104))</f>
        <v>144.705234679917</v>
      </c>
    </row>
    <row r="105" customFormat="false" ht="15" hidden="false" customHeight="false" outlineLevel="0" collapsed="false">
      <c r="D105" s="41" t="s">
        <v>105</v>
      </c>
      <c r="E105" s="13" t="n">
        <f aca="false">IF(SUMIFS($C$244:$C$363,$A$244:$A$363,$A$104,$B$244:$B$363,E$65)=0,"",SUMIFS($M$244:$M$363,$A$244:$A$363,$A$104,$B$244:$B$363,E$65))</f>
        <v>0.798767349574516</v>
      </c>
      <c r="F105" s="13" t="n">
        <f aca="false">IF(SUMIFS($C$244:$C$363,$A$244:$A$363,$A$104,$B$244:$B$363,F$65)=0,"",SUMIFS($M$244:$M$363,$A$244:$A$363,$A$104,$B$244:$B$363,F$65))</f>
        <v>-0.000509698997113699</v>
      </c>
      <c r="G105" s="13" t="n">
        <f aca="false">IF(SUMIFS($C$244:$C$363,$A$244:$A$363,$A$104,$B$244:$B$363,G$65)=0,"",SUMIFS($M$244:$M$363,$A$244:$A$363,$A$104,$B$244:$B$363,G$65))</f>
        <v>0.177522926602387</v>
      </c>
      <c r="H105" s="13" t="n">
        <f aca="false">IF(SUMIFS($C$244:$C$363,$A$244:$A$363,$A$104,$B$244:$B$363,H$65)=0,"",SUMIFS($M$244:$M$363,$A$244:$A$363,$A$104,$B$244:$B$363,H$65))</f>
        <v>-0.0778638408968842</v>
      </c>
      <c r="I105" s="13" t="n">
        <f aca="false">IF(SUMIFS($C$244:$C$363,$A$244:$A$363,$A$104,$B$244:$B$363,I$65)=0,"",SUMIFS($M$244:$M$363,$A$244:$A$363,$A$104,$B$244:$B$363,I$65))</f>
        <v>-0.10053178262585</v>
      </c>
      <c r="J105" s="13" t="n">
        <f aca="false">IF(SUMIFS($C$244:$C$363,$A$244:$A$363,$A$104,$B$244:$B$363,J$65)=0,"",SUMIFS($M$244:$M$363,$A$244:$A$363,$A$104,$B$244:$B$363,J$65))</f>
        <v>0.20389083978156</v>
      </c>
      <c r="K105" s="13" t="n">
        <f aca="false">IF(SUMIFS($C$244:$C$363,$A$244:$A$363,$A$104,$B$244:$B$363,K$65)=0,"",SUMIFS($M$244:$M$363,$A$244:$A$363,$A$104,$B$244:$B$363,K$65))</f>
        <v>-0.315468707688513</v>
      </c>
      <c r="L105" s="13" t="n">
        <f aca="false">V105/O105-1</f>
        <v>0.447052346799174</v>
      </c>
      <c r="M105" s="13" t="n">
        <f aca="false">IF($B104=0,"",(V105/O105)^(1/$B104)-1)</f>
        <v>0.0542080307771111</v>
      </c>
      <c r="O105" s="42" t="n">
        <v>100</v>
      </c>
      <c r="P105" s="40" t="n">
        <f aca="false">IF(E105="",O105,O105*(1+E105))</f>
        <v>179.876734957452</v>
      </c>
      <c r="Q105" s="40" t="n">
        <f aca="false">IF(F105="",P105,P105*(1+F105))</f>
        <v>179.78505196604</v>
      </c>
      <c r="R105" s="40" t="n">
        <f aca="false">IF(G105="",Q105,Q105*(1+G105))</f>
        <v>211.701020550413</v>
      </c>
      <c r="S105" s="40" t="n">
        <f aca="false">IF(H105="",R105,R105*(1+H105))</f>
        <v>195.217165968568</v>
      </c>
      <c r="T105" s="40" t="n">
        <f aca="false">IF(I105="",S105,S105*(1+I105))</f>
        <v>175.591636274581</v>
      </c>
      <c r="U105" s="40" t="n">
        <f aca="false">IF(J105="",T105,T105*(1+J105))</f>
        <v>211.393162453224</v>
      </c>
      <c r="V105" s="40" t="n">
        <f aca="false">IF(K105="",U105,U105*(1+K105))</f>
        <v>144.705234679917</v>
      </c>
    </row>
    <row r="106" customFormat="false" ht="15" hidden="false" customHeight="false" outlineLevel="0" collapsed="false">
      <c r="A106" s="43"/>
      <c r="B106" s="43"/>
      <c r="C106" s="43"/>
      <c r="D106" s="44" t="s">
        <v>106</v>
      </c>
      <c r="E106" s="46" t="n">
        <f aca="false">IF(SUMIFS($C$244:$C$363,$A$244:$A$363,$A$104,$B$244:$B$363,E$65)=0,"",SUMIFS($L$244:$L$363,$A$244:$A$363,$A$104,$B$244:$B$363,E$65))</f>
        <v>0</v>
      </c>
      <c r="F106" s="46" t="n">
        <f aca="false">IF(SUMIFS($C$244:$C$363,$A$244:$A$363,$A$104,$B$244:$B$363,F$65)=0,"",SUMIFS($L$244:$L$363,$A$244:$A$363,$A$104,$B$244:$B$363,F$65))</f>
        <v>0</v>
      </c>
      <c r="G106" s="46" t="n">
        <f aca="false">IF(SUMIFS($C$244:$C$363,$A$244:$A$363,$A$104,$B$244:$B$363,G$65)=0,"",SUMIFS($L$244:$L$363,$A$244:$A$363,$A$104,$B$244:$B$363,G$65))</f>
        <v>0</v>
      </c>
      <c r="H106" s="46" t="n">
        <f aca="false">IF(SUMIFS($C$244:$C$363,$A$244:$A$363,$A$104,$B$244:$B$363,H$65)=0,"",SUMIFS($L$244:$L$363,$A$244:$A$363,$A$104,$B$244:$B$363,H$65))</f>
        <v>0</v>
      </c>
      <c r="I106" s="46" t="n">
        <f aca="false">IF(SUMIFS($C$244:$C$363,$A$244:$A$363,$A$104,$B$244:$B$363,I$65)=0,"",SUMIFS($L$244:$L$363,$A$244:$A$363,$A$104,$B$244:$B$363,I$65))</f>
        <v>0</v>
      </c>
      <c r="J106" s="46" t="n">
        <f aca="false">IF(SUMIFS($C$244:$C$363,$A$244:$A$363,$A$104,$B$244:$B$363,J$65)=0,"",SUMIFS($L$244:$L$363,$A$244:$A$363,$A$104,$B$244:$B$363,J$65))</f>
        <v>0</v>
      </c>
      <c r="K106" s="46" t="n">
        <f aca="false">IF(SUMIFS($C$244:$C$363,$A$244:$A$363,$A$104,$B$244:$B$363,K$65)=0,"",SUMIFS($L$244:$L$363,$A$244:$A$363,$A$104,$B$244:$B$363,K$65))</f>
        <v>0</v>
      </c>
      <c r="L106" s="46" t="n">
        <f aca="false">V106/O106-1</f>
        <v>0</v>
      </c>
      <c r="M106" s="46" t="n">
        <f aca="false">IF($B104=0,"",(V106/O106)^(1/$B104)-1)</f>
        <v>0</v>
      </c>
      <c r="N106" s="43"/>
      <c r="O106" s="47" t="n">
        <v>100</v>
      </c>
      <c r="P106" s="45" t="n">
        <f aca="false">IF(E106="",O106,O106*(1+E106))</f>
        <v>100</v>
      </c>
      <c r="Q106" s="45" t="n">
        <f aca="false">IF(F106="",P106,P106*(1+F106))</f>
        <v>100</v>
      </c>
      <c r="R106" s="45" t="n">
        <f aca="false">IF(G106="",Q106,Q106*(1+G106))</f>
        <v>100</v>
      </c>
      <c r="S106" s="45" t="n">
        <f aca="false">IF(H106="",R106,R106*(1+H106))</f>
        <v>100</v>
      </c>
      <c r="T106" s="45" t="n">
        <f aca="false">IF(I106="",S106,S106*(1+I106))</f>
        <v>100</v>
      </c>
      <c r="U106" s="45" t="n">
        <f aca="false">IF(J106="",T106,T106*(1+J106))</f>
        <v>100</v>
      </c>
      <c r="V106" s="45" t="n">
        <f aca="false">IF(K106="",U106,U106*(1+K106))</f>
        <v>100</v>
      </c>
    </row>
    <row r="107" customFormat="false" ht="15" hidden="false" customHeight="false" outlineLevel="0" collapsed="false">
      <c r="A107" s="4" t="s">
        <v>31</v>
      </c>
      <c r="B107" s="8" t="n">
        <f aca="false">COUNT(E107:K107)</f>
        <v>6</v>
      </c>
      <c r="C107" s="40" t="n">
        <f aca="false">SUMIFS($E$244:$E$363,$A$244:$A$363,$A107,$B$244:$B$363,K$65)/1000</f>
        <v>42.349855602051</v>
      </c>
      <c r="D107" s="41" t="s">
        <v>104</v>
      </c>
      <c r="E107" s="13" t="str">
        <f aca="false">IF(SUMIFS($C$244:$C$363,$A$244:$A$363,$A$107,$B$244:$B$363,E$65)=0,"",SUMIFS($N$244:$N$363,$A$244:$A$363,$A$107,$B$244:$B$363,E$65))</f>
        <v/>
      </c>
      <c r="F107" s="13" t="n">
        <f aca="false">IF(SUMIFS($C$244:$C$363,$A$244:$A$363,$A$107,$B$244:$B$363,F$65)=0,"",SUMIFS($N$244:$N$363,$A$244:$A$363,$A$107,$B$244:$B$363,F$65))</f>
        <v>0.181995400120607</v>
      </c>
      <c r="G107" s="13" t="n">
        <f aca="false">IF(SUMIFS($C$244:$C$363,$A$244:$A$363,$A$107,$B$244:$B$363,G$65)=0,"",SUMIFS($N$244:$N$363,$A$244:$A$363,$A$107,$B$244:$B$363,G$65))</f>
        <v>0.281179270150534</v>
      </c>
      <c r="H107" s="13" t="n">
        <f aca="false">IF(SUMIFS($C$244:$C$363,$A$244:$A$363,$A$107,$B$244:$B$363,H$65)=0,"",SUMIFS($N$244:$N$363,$A$244:$A$363,$A$107,$B$244:$B$363,H$65))</f>
        <v>-0.168553825107224</v>
      </c>
      <c r="I107" s="13" t="n">
        <f aca="false">IF(SUMIFS($C$244:$C$363,$A$244:$A$363,$A$107,$B$244:$B$363,I$65)=0,"",SUMIFS($N$244:$N$363,$A$244:$A$363,$A$107,$B$244:$B$363,I$65))</f>
        <v>0.252729682534384</v>
      </c>
      <c r="J107" s="13" t="n">
        <f aca="false">IF(SUMIFS($C$244:$C$363,$A$244:$A$363,$A$107,$B$244:$B$363,J$65)=0,"",SUMIFS($N$244:$N$363,$A$244:$A$363,$A$107,$B$244:$B$363,J$65))</f>
        <v>0.591321573685438</v>
      </c>
      <c r="K107" s="13" t="n">
        <f aca="false">IF(SUMIFS($C$244:$C$363,$A$244:$A$363,$A$107,$B$244:$B$363,K$65)=0,"",SUMIFS($N$244:$N$363,$A$244:$A$363,$A$107,$B$244:$B$363,K$65))</f>
        <v>-0.300284835231981</v>
      </c>
      <c r="L107" s="13" t="n">
        <f aca="false">V107/O107-1</f>
        <v>0.75629083066235</v>
      </c>
      <c r="M107" s="13" t="n">
        <f aca="false">IF($B107=0,"",(V107/O107)^(1/$B107)-1)</f>
        <v>0.0984140321085569</v>
      </c>
      <c r="O107" s="42" t="n">
        <v>100</v>
      </c>
      <c r="P107" s="40" t="n">
        <f aca="false">IF(E107="",O107,O107*(1+E107))</f>
        <v>100</v>
      </c>
      <c r="Q107" s="40" t="n">
        <f aca="false">IF(F107="",P107,P107*(1+F107))</f>
        <v>118.199540012061</v>
      </c>
      <c r="R107" s="40" t="n">
        <f aca="false">IF(G107="",Q107,Q107*(1+G107))</f>
        <v>151.434800404781</v>
      </c>
      <c r="S107" s="40" t="n">
        <f aca="false">IF(H107="",R107,R107*(1+H107))</f>
        <v>125.909885542206</v>
      </c>
      <c r="T107" s="40" t="n">
        <f aca="false">IF(I107="",S107,S107*(1+I107))</f>
        <v>157.731050943228</v>
      </c>
      <c r="U107" s="40" t="n">
        <f aca="false">IF(J107="",T107,T107*(1+J107))</f>
        <v>251.000824206036</v>
      </c>
      <c r="V107" s="40" t="n">
        <f aca="false">IF(K107="",U107,U107*(1+K107))</f>
        <v>175.629083066235</v>
      </c>
    </row>
    <row r="108" customFormat="false" ht="15" hidden="false" customHeight="false" outlineLevel="0" collapsed="false">
      <c r="D108" s="41" t="s">
        <v>105</v>
      </c>
      <c r="E108" s="13" t="str">
        <f aca="false">IF(SUMIFS($C$244:$C$363,$A$244:$A$363,$A$107,$B$244:$B$363,E$65)=0,"",SUMIFS($M$244:$M$363,$A$244:$A$363,$A$107,$B$244:$B$363,E$65))</f>
        <v/>
      </c>
      <c r="F108" s="13" t="n">
        <f aca="false">IF(SUMIFS($C$244:$C$363,$A$244:$A$363,$A$107,$B$244:$B$363,F$65)=0,"",SUMIFS($M$244:$M$363,$A$244:$A$363,$A$107,$B$244:$B$363,F$65))</f>
        <v>0.181995400120607</v>
      </c>
      <c r="G108" s="13" t="n">
        <f aca="false">IF(SUMIFS($C$244:$C$363,$A$244:$A$363,$A$107,$B$244:$B$363,G$65)=0,"",SUMIFS($M$244:$M$363,$A$244:$A$363,$A$107,$B$244:$B$363,G$65))</f>
        <v>0.281179270150534</v>
      </c>
      <c r="H108" s="13" t="n">
        <f aca="false">IF(SUMIFS($C$244:$C$363,$A$244:$A$363,$A$107,$B$244:$B$363,H$65)=0,"",SUMIFS($M$244:$M$363,$A$244:$A$363,$A$107,$B$244:$B$363,H$65))</f>
        <v>-0.168553825107224</v>
      </c>
      <c r="I108" s="13" t="n">
        <f aca="false">IF(SUMIFS($C$244:$C$363,$A$244:$A$363,$A$107,$B$244:$B$363,I$65)=0,"",SUMIFS($M$244:$M$363,$A$244:$A$363,$A$107,$B$244:$B$363,I$65))</f>
        <v>0.223626751973523</v>
      </c>
      <c r="J108" s="13" t="n">
        <f aca="false">IF(SUMIFS($C$244:$C$363,$A$244:$A$363,$A$107,$B$244:$B$363,J$65)=0,"",SUMIFS($M$244:$M$363,$A$244:$A$363,$A$107,$B$244:$B$363,J$65))</f>
        <v>0.591321573685438</v>
      </c>
      <c r="K108" s="13" t="n">
        <f aca="false">IF(SUMIFS($C$244:$C$363,$A$244:$A$363,$A$107,$B$244:$B$363,K$65)=0,"",SUMIFS($M$244:$M$363,$A$244:$A$363,$A$107,$B$244:$B$363,K$65))</f>
        <v>-0.30276035265552</v>
      </c>
      <c r="L108" s="13" t="n">
        <f aca="false">V108/O108-1</f>
        <v>0.709420144728536</v>
      </c>
      <c r="M108" s="13" t="n">
        <f aca="false">IF($B107=0,"",(V108/O108)^(1/$B107)-1)</f>
        <v>0.0934731821593813</v>
      </c>
      <c r="O108" s="42" t="n">
        <v>100</v>
      </c>
      <c r="P108" s="40" t="n">
        <f aca="false">IF(E108="",O108,O108*(1+E108))</f>
        <v>100</v>
      </c>
      <c r="Q108" s="40" t="n">
        <f aca="false">IF(F108="",P108,P108*(1+F108))</f>
        <v>118.199540012061</v>
      </c>
      <c r="R108" s="40" t="n">
        <f aca="false">IF(G108="",Q108,Q108*(1+G108))</f>
        <v>151.434800404781</v>
      </c>
      <c r="S108" s="40" t="n">
        <f aca="false">IF(H108="",R108,R108*(1+H108))</f>
        <v>125.909885542206</v>
      </c>
      <c r="T108" s="40" t="n">
        <f aca="false">IF(I108="",S108,S108*(1+I108))</f>
        <v>154.066704287368</v>
      </c>
      <c r="U108" s="40" t="n">
        <f aca="false">IF(J108="",T108,T108*(1+J108))</f>
        <v>245.169670319103</v>
      </c>
      <c r="V108" s="40" t="n">
        <f aca="false">IF(K108="",U108,U108*(1+K108))</f>
        <v>170.942014472854</v>
      </c>
    </row>
    <row r="109" customFormat="false" ht="15" hidden="false" customHeight="false" outlineLevel="0" collapsed="false">
      <c r="A109" s="43"/>
      <c r="B109" s="43"/>
      <c r="C109" s="43"/>
      <c r="D109" s="44" t="s">
        <v>106</v>
      </c>
      <c r="E109" s="46" t="str">
        <f aca="false">IF(SUMIFS($C$244:$C$363,$A$244:$A$363,$A$107,$B$244:$B$363,E$65)=0,"",SUMIFS($L$244:$L$363,$A$244:$A$363,$A$107,$B$244:$B$363,E$65))</f>
        <v/>
      </c>
      <c r="F109" s="46" t="n">
        <f aca="false">IF(SUMIFS($C$244:$C$363,$A$244:$A$363,$A$107,$B$244:$B$363,F$65)=0,"",SUMIFS($L$244:$L$363,$A$244:$A$363,$A$107,$B$244:$B$363,F$65))</f>
        <v>0</v>
      </c>
      <c r="G109" s="46" t="n">
        <f aca="false">IF(SUMIFS($C$244:$C$363,$A$244:$A$363,$A$107,$B$244:$B$363,G$65)=0,"",SUMIFS($L$244:$L$363,$A$244:$A$363,$A$107,$B$244:$B$363,G$65))</f>
        <v>0</v>
      </c>
      <c r="H109" s="46" t="n">
        <f aca="false">IF(SUMIFS($C$244:$C$363,$A$244:$A$363,$A$107,$B$244:$B$363,H$65)=0,"",SUMIFS($L$244:$L$363,$A$244:$A$363,$A$107,$B$244:$B$363,H$65))</f>
        <v>0</v>
      </c>
      <c r="I109" s="46" t="n">
        <f aca="false">IF(SUMIFS($C$244:$C$363,$A$244:$A$363,$A$107,$B$244:$B$363,I$65)=0,"",SUMIFS($L$244:$L$363,$A$244:$A$363,$A$107,$B$244:$B$363,I$65))</f>
        <v>0.0291029305608614</v>
      </c>
      <c r="J109" s="46" t="n">
        <f aca="false">IF(SUMIFS($C$244:$C$363,$A$244:$A$363,$A$107,$B$244:$B$363,J$65)=0,"",SUMIFS($L$244:$L$363,$A$244:$A$363,$A$107,$B$244:$B$363,J$65))</f>
        <v>0</v>
      </c>
      <c r="K109" s="46" t="n">
        <f aca="false">IF(SUMIFS($C$244:$C$363,$A$244:$A$363,$A$107,$B$244:$B$363,K$65)=0,"",SUMIFS($L$244:$L$363,$A$244:$A$363,$A$107,$B$244:$B$363,K$65))</f>
        <v>0.00247551742353863</v>
      </c>
      <c r="L109" s="46" t="n">
        <f aca="false">V109/O109-1</f>
        <v>0.0316504927960795</v>
      </c>
      <c r="M109" s="46" t="n">
        <f aca="false">IF($B107=0,"",(V109/O109)^(1/$B107)-1)</f>
        <v>0.00520683199950822</v>
      </c>
      <c r="N109" s="43"/>
      <c r="O109" s="47" t="n">
        <v>100</v>
      </c>
      <c r="P109" s="45" t="n">
        <f aca="false">IF(E109="",O109,O109*(1+E109))</f>
        <v>100</v>
      </c>
      <c r="Q109" s="45" t="n">
        <f aca="false">IF(F109="",P109,P109*(1+F109))</f>
        <v>100</v>
      </c>
      <c r="R109" s="45" t="n">
        <f aca="false">IF(G109="",Q109,Q109*(1+G109))</f>
        <v>100</v>
      </c>
      <c r="S109" s="45" t="n">
        <f aca="false">IF(H109="",R109,R109*(1+H109))</f>
        <v>100</v>
      </c>
      <c r="T109" s="45" t="n">
        <f aca="false">IF(I109="",S109,S109*(1+I109))</f>
        <v>102.910293056086</v>
      </c>
      <c r="U109" s="45" t="n">
        <f aca="false">IF(J109="",T109,T109*(1+J109))</f>
        <v>102.910293056086</v>
      </c>
      <c r="V109" s="45" t="n">
        <f aca="false">IF(K109="",U109,U109*(1+K109))</f>
        <v>103.165049279608</v>
      </c>
    </row>
    <row r="110" customFormat="false" ht="15" hidden="false" customHeight="false" outlineLevel="0" collapsed="false">
      <c r="A110" s="4" t="s">
        <v>32</v>
      </c>
      <c r="B110" s="8" t="n">
        <f aca="false">COUNT(E110:K110)</f>
        <v>3</v>
      </c>
      <c r="C110" s="40" t="n">
        <f aca="false">SUMIFS($E$244:$E$363,$A$244:$A$363,$A110,$B$244:$B$363,K$65)/1000</f>
        <v>27.5092827252903</v>
      </c>
      <c r="D110" s="41" t="s">
        <v>104</v>
      </c>
      <c r="E110" s="13" t="str">
        <f aca="false">IF(SUMIFS($C$244:$C$363,$A$244:$A$363,$A$110,$B$244:$B$363,E$65)=0,"",SUMIFS($N$244:$N$363,$A$244:$A$363,$A$110,$B$244:$B$363,E$65))</f>
        <v/>
      </c>
      <c r="F110" s="13" t="str">
        <f aca="false">IF(SUMIFS($C$244:$C$363,$A$244:$A$363,$A$110,$B$244:$B$363,F$65)=0,"",SUMIFS($N$244:$N$363,$A$244:$A$363,$A$110,$B$244:$B$363,F$65))</f>
        <v/>
      </c>
      <c r="G110" s="13" t="str">
        <f aca="false">IF(SUMIFS($C$244:$C$363,$A$244:$A$363,$A$110,$B$244:$B$363,G$65)=0,"",SUMIFS($N$244:$N$363,$A$244:$A$363,$A$110,$B$244:$B$363,G$65))</f>
        <v/>
      </c>
      <c r="H110" s="13" t="str">
        <f aca="false">IF(SUMIFS($C$244:$C$363,$A$244:$A$363,$A$110,$B$244:$B$363,H$65)=0,"",SUMIFS($N$244:$N$363,$A$244:$A$363,$A$110,$B$244:$B$363,H$65))</f>
        <v/>
      </c>
      <c r="I110" s="13" t="n">
        <f aca="false">IF(SUMIFS($C$244:$C$363,$A$244:$A$363,$A$110,$B$244:$B$363,I$65)=0,"",SUMIFS($N$244:$N$363,$A$244:$A$363,$A$110,$B$244:$B$363,I$65))</f>
        <v>0.167260837292207</v>
      </c>
      <c r="J110" s="13" t="n">
        <f aca="false">IF(SUMIFS($C$244:$C$363,$A$244:$A$363,$A$110,$B$244:$B$363,J$65)=0,"",SUMIFS($N$244:$N$363,$A$244:$A$363,$A$110,$B$244:$B$363,J$65))</f>
        <v>0.0767904327111525</v>
      </c>
      <c r="K110" s="13" t="n">
        <f aca="false">IF(SUMIFS($C$244:$C$363,$A$244:$A$363,$A$110,$B$244:$B$363,K$65)=0,"",SUMIFS($N$244:$N$363,$A$244:$A$363,$A$110,$B$244:$B$363,K$65))</f>
        <v>-0.2853519822858</v>
      </c>
      <c r="L110" s="13" t="n">
        <f aca="false">V110/O110-1</f>
        <v>-0.101762263898055</v>
      </c>
      <c r="M110" s="13" t="n">
        <f aca="false">IF($B110=0,"",(V110/O110)^(1/$B110)-1)</f>
        <v>-0.0351411927329369</v>
      </c>
      <c r="O110" s="42" t="n">
        <v>100</v>
      </c>
      <c r="P110" s="40" t="n">
        <f aca="false">IF(E110="",O110,O110*(1+E110))</f>
        <v>100</v>
      </c>
      <c r="Q110" s="40" t="n">
        <f aca="false">IF(F110="",P110,P110*(1+F110))</f>
        <v>100</v>
      </c>
      <c r="R110" s="40" t="n">
        <f aca="false">IF(G110="",Q110,Q110*(1+G110))</f>
        <v>100</v>
      </c>
      <c r="S110" s="40" t="n">
        <f aca="false">IF(H110="",R110,R110*(1+H110))</f>
        <v>100</v>
      </c>
      <c r="T110" s="40" t="n">
        <f aca="false">IF(I110="",S110,S110*(1+I110))</f>
        <v>116.726083729221</v>
      </c>
      <c r="U110" s="40" t="n">
        <f aca="false">IF(J110="",T110,T110*(1+J110))</f>
        <v>125.689530207466</v>
      </c>
      <c r="V110" s="40" t="n">
        <f aca="false">IF(K110="",U110,U110*(1+K110))</f>
        <v>89.8237736101946</v>
      </c>
    </row>
    <row r="111" customFormat="false" ht="15" hidden="false" customHeight="false" outlineLevel="0" collapsed="false">
      <c r="D111" s="41" t="s">
        <v>105</v>
      </c>
      <c r="E111" s="13" t="str">
        <f aca="false">IF(SUMIFS($C$244:$C$363,$A$244:$A$363,$A$110,$B$244:$B$363,E$65)=0,"",SUMIFS($M$244:$M$363,$A$244:$A$363,$A$110,$B$244:$B$363,E$65))</f>
        <v/>
      </c>
      <c r="F111" s="13" t="str">
        <f aca="false">IF(SUMIFS($C$244:$C$363,$A$244:$A$363,$A$110,$B$244:$B$363,F$65)=0,"",SUMIFS($M$244:$M$363,$A$244:$A$363,$A$110,$B$244:$B$363,F$65))</f>
        <v/>
      </c>
      <c r="G111" s="13" t="str">
        <f aca="false">IF(SUMIFS($C$244:$C$363,$A$244:$A$363,$A$110,$B$244:$B$363,G$65)=0,"",SUMIFS($M$244:$M$363,$A$244:$A$363,$A$110,$B$244:$B$363,G$65))</f>
        <v/>
      </c>
      <c r="H111" s="13" t="str">
        <f aca="false">IF(SUMIFS($C$244:$C$363,$A$244:$A$363,$A$110,$B$244:$B$363,H$65)=0,"",SUMIFS($M$244:$M$363,$A$244:$A$363,$A$110,$B$244:$B$363,H$65))</f>
        <v/>
      </c>
      <c r="I111" s="13" t="n">
        <f aca="false">IF(SUMIFS($C$244:$C$363,$A$244:$A$363,$A$110,$B$244:$B$363,I$65)=0,"",SUMIFS($M$244:$M$363,$A$244:$A$363,$A$110,$B$244:$B$363,I$65))</f>
        <v>0.140894163247141</v>
      </c>
      <c r="J111" s="13" t="n">
        <f aca="false">IF(SUMIFS($C$244:$C$363,$A$244:$A$363,$A$110,$B$244:$B$363,J$65)=0,"",SUMIFS($M$244:$M$363,$A$244:$A$363,$A$110,$B$244:$B$363,J$65))</f>
        <v>0.0488432548016978</v>
      </c>
      <c r="K111" s="13" t="n">
        <f aca="false">IF(SUMIFS($C$244:$C$363,$A$244:$A$363,$A$110,$B$244:$B$363,K$65)=0,"",SUMIFS($M$244:$M$363,$A$244:$A$363,$A$110,$B$244:$B$363,K$65))</f>
        <v>-0.2853519822858</v>
      </c>
      <c r="L111" s="13" t="n">
        <f aca="false">V111/O111-1</f>
        <v>-0.144838498234252</v>
      </c>
      <c r="M111" s="13" t="n">
        <f aca="false">IF($B110=0,"",(V111/O111)^(1/$B110)-1)</f>
        <v>-0.0508182477729463</v>
      </c>
      <c r="O111" s="42" t="n">
        <v>100</v>
      </c>
      <c r="P111" s="40" t="n">
        <f aca="false">IF(E111="",O111,O111*(1+E111))</f>
        <v>100</v>
      </c>
      <c r="Q111" s="40" t="n">
        <f aca="false">IF(F111="",P111,P111*(1+F111))</f>
        <v>100</v>
      </c>
      <c r="R111" s="40" t="n">
        <f aca="false">IF(G111="",Q111,Q111*(1+G111))</f>
        <v>100</v>
      </c>
      <c r="S111" s="40" t="n">
        <f aca="false">IF(H111="",R111,R111*(1+H111))</f>
        <v>100</v>
      </c>
      <c r="T111" s="40" t="n">
        <f aca="false">IF(I111="",S111,S111*(1+I111))</f>
        <v>114.089416324714</v>
      </c>
      <c r="U111" s="40" t="n">
        <f aca="false">IF(J111="",T111,T111*(1+J111))</f>
        <v>119.661914756439</v>
      </c>
      <c r="V111" s="40" t="n">
        <f aca="false">IF(K111="",U111,U111*(1+K111))</f>
        <v>85.5161501765748</v>
      </c>
    </row>
    <row r="112" customFormat="false" ht="15" hidden="false" customHeight="false" outlineLevel="0" collapsed="false">
      <c r="A112" s="43"/>
      <c r="B112" s="43"/>
      <c r="C112" s="43"/>
      <c r="D112" s="44" t="s">
        <v>106</v>
      </c>
      <c r="E112" s="46" t="str">
        <f aca="false">IF(SUMIFS($C$244:$C$363,$A$244:$A$363,$A$110,$B$244:$B$363,E$65)=0,"",SUMIFS($L$244:$L$363,$A$244:$A$363,$A$110,$B$244:$B$363,E$65))</f>
        <v/>
      </c>
      <c r="F112" s="46" t="str">
        <f aca="false">IF(SUMIFS($C$244:$C$363,$A$244:$A$363,$A$110,$B$244:$B$363,F$65)=0,"",SUMIFS($L$244:$L$363,$A$244:$A$363,$A$110,$B$244:$B$363,F$65))</f>
        <v/>
      </c>
      <c r="G112" s="46" t="str">
        <f aca="false">IF(SUMIFS($C$244:$C$363,$A$244:$A$363,$A$110,$B$244:$B$363,G$65)=0,"",SUMIFS($L$244:$L$363,$A$244:$A$363,$A$110,$B$244:$B$363,G$65))</f>
        <v/>
      </c>
      <c r="H112" s="46" t="str">
        <f aca="false">IF(SUMIFS($C$244:$C$363,$A$244:$A$363,$A$110,$B$244:$B$363,H$65)=0,"",SUMIFS($L$244:$L$363,$A$244:$A$363,$A$110,$B$244:$B$363,H$65))</f>
        <v/>
      </c>
      <c r="I112" s="46" t="n">
        <f aca="false">IF(SUMIFS($C$244:$C$363,$A$244:$A$363,$A$110,$B$244:$B$363,I$65)=0,"",SUMIFS($L$244:$L$363,$A$244:$A$363,$A$110,$B$244:$B$363,I$65))</f>
        <v>0.026366674045066</v>
      </c>
      <c r="J112" s="46" t="n">
        <f aca="false">IF(SUMIFS($C$244:$C$363,$A$244:$A$363,$A$110,$B$244:$B$363,J$65)=0,"",SUMIFS($L$244:$L$363,$A$244:$A$363,$A$110,$B$244:$B$363,J$65))</f>
        <v>0.0279471779094547</v>
      </c>
      <c r="K112" s="46" t="n">
        <f aca="false">IF(SUMIFS($C$244:$C$363,$A$244:$A$363,$A$110,$B$244:$B$363,K$65)=0,"",SUMIFS($L$244:$L$363,$A$244:$A$363,$A$110,$B$244:$B$363,K$65))</f>
        <v>0</v>
      </c>
      <c r="L112" s="46" t="n">
        <f aca="false">V112/O112-1</f>
        <v>0.0550507260849389</v>
      </c>
      <c r="M112" s="46" t="n">
        <f aca="false">IF($B110=0,"",(V112/O112)^(1/$B110)-1)</f>
        <v>0.0180234458226456</v>
      </c>
      <c r="N112" s="43"/>
      <c r="O112" s="47" t="n">
        <v>100</v>
      </c>
      <c r="P112" s="45" t="n">
        <f aca="false">IF(E112="",O112,O112*(1+E112))</f>
        <v>100</v>
      </c>
      <c r="Q112" s="45" t="n">
        <f aca="false">IF(F112="",P112,P112*(1+F112))</f>
        <v>100</v>
      </c>
      <c r="R112" s="45" t="n">
        <f aca="false">IF(G112="",Q112,Q112*(1+G112))</f>
        <v>100</v>
      </c>
      <c r="S112" s="45" t="n">
        <f aca="false">IF(H112="",R112,R112*(1+H112))</f>
        <v>100</v>
      </c>
      <c r="T112" s="45" t="n">
        <f aca="false">IF(I112="",S112,S112*(1+I112))</f>
        <v>102.636667404507</v>
      </c>
      <c r="U112" s="45" t="n">
        <f aca="false">IF(J112="",T112,T112*(1+J112))</f>
        <v>105.505072608494</v>
      </c>
      <c r="V112" s="45" t="n">
        <f aca="false">IF(K112="",U112,U112*(1+K112))</f>
        <v>105.505072608494</v>
      </c>
    </row>
    <row r="113" customFormat="false" ht="15" hidden="false" customHeight="false" outlineLevel="0" collapsed="false">
      <c r="A113" s="4" t="s">
        <v>33</v>
      </c>
      <c r="B113" s="8" t="n">
        <f aca="false">COUNT(E113:K113)</f>
        <v>2</v>
      </c>
      <c r="C113" s="40" t="n">
        <f aca="false">SUMIFS($E$244:$E$363,$A$244:$A$363,$A113,$B$244:$B$363,K$65)/1000</f>
        <v>0</v>
      </c>
      <c r="D113" s="41" t="s">
        <v>104</v>
      </c>
      <c r="E113" s="13" t="n">
        <f aca="false">IF(SUMIFS($C$244:$C$363,$A$244:$A$363,$A$113,$B$244:$B$363,E$65)=0,"",SUMIFS($N$244:$N$363,$A$244:$A$363,$A$113,$B$244:$B$363,E$65))</f>
        <v>0.0774704748854936</v>
      </c>
      <c r="F113" s="13" t="n">
        <f aca="false">IF(SUMIFS($C$244:$C$363,$A$244:$A$363,$A$113,$B$244:$B$363,F$65)=0,"",SUMIFS($N$244:$N$363,$A$244:$A$363,$A$113,$B$244:$B$363,F$65))</f>
        <v>0.265228162870523</v>
      </c>
      <c r="G113" s="13" t="str">
        <f aca="false">IF(SUMIFS($C$244:$C$363,$A$244:$A$363,$A$113,$B$244:$B$363,G$65)=0,"",SUMIFS($N$244:$N$363,$A$244:$A$363,$A$113,$B$244:$B$363,G$65))</f>
        <v/>
      </c>
      <c r="H113" s="13" t="str">
        <f aca="false">IF(SUMIFS($C$244:$C$363,$A$244:$A$363,$A$113,$B$244:$B$363,H$65)=0,"",SUMIFS($N$244:$N$363,$A$244:$A$363,$A$113,$B$244:$B$363,H$65))</f>
        <v/>
      </c>
      <c r="I113" s="13" t="str">
        <f aca="false">IF(SUMIFS($C$244:$C$363,$A$244:$A$363,$A$113,$B$244:$B$363,I$65)=0,"",SUMIFS($N$244:$N$363,$A$244:$A$363,$A$113,$B$244:$B$363,I$65))</f>
        <v/>
      </c>
      <c r="J113" s="13" t="str">
        <f aca="false">IF(SUMIFS($C$244:$C$363,$A$244:$A$363,$A$113,$B$244:$B$363,J$65)=0,"",SUMIFS($N$244:$N$363,$A$244:$A$363,$A$113,$B$244:$B$363,J$65))</f>
        <v/>
      </c>
      <c r="K113" s="13" t="str">
        <f aca="false">IF(SUMIFS($C$244:$C$363,$A$244:$A$363,$A$113,$B$244:$B$363,K$65)=0,"",SUMIFS($N$244:$N$363,$A$244:$A$363,$A$113,$B$244:$B$363,K$65))</f>
        <v/>
      </c>
      <c r="L113" s="13" t="n">
        <f aca="false">V113/O113-1</f>
        <v>0.363245989486602</v>
      </c>
      <c r="M113" s="13" t="n">
        <f aca="false">IF($B113=0,"",(V113/O113)^(1/$B113)-1)</f>
        <v>0.167581256053129</v>
      </c>
      <c r="O113" s="42" t="n">
        <v>100</v>
      </c>
      <c r="P113" s="40" t="n">
        <f aca="false">IF(E113="",O113,O113*(1+E113))</f>
        <v>107.747047488549</v>
      </c>
      <c r="Q113" s="40" t="n">
        <f aca="false">IF(F113="",P113,P113*(1+F113))</f>
        <v>136.32459894866</v>
      </c>
      <c r="R113" s="40" t="n">
        <f aca="false">IF(G113="",Q113,Q113*(1+G113))</f>
        <v>136.32459894866</v>
      </c>
      <c r="S113" s="40" t="n">
        <f aca="false">IF(H113="",R113,R113*(1+H113))</f>
        <v>136.32459894866</v>
      </c>
      <c r="T113" s="40" t="n">
        <f aca="false">IF(I113="",S113,S113*(1+I113))</f>
        <v>136.32459894866</v>
      </c>
      <c r="U113" s="40" t="n">
        <f aca="false">IF(J113="",T113,T113*(1+J113))</f>
        <v>136.32459894866</v>
      </c>
      <c r="V113" s="40" t="n">
        <f aca="false">IF(K113="",U113,U113*(1+K113))</f>
        <v>136.32459894866</v>
      </c>
    </row>
    <row r="114" customFormat="false" ht="15" hidden="false" customHeight="false" outlineLevel="0" collapsed="false">
      <c r="D114" s="41" t="s">
        <v>105</v>
      </c>
      <c r="E114" s="13" t="n">
        <f aca="false">IF(SUMIFS($C$244:$C$363,$A$244:$A$363,$A$113,$B$244:$B$363,E$65)=0,"",SUMIFS($M$244:$M$363,$A$244:$A$363,$A$113,$B$244:$B$363,E$65))</f>
        <v>0.0316727496122466</v>
      </c>
      <c r="F114" s="13" t="n">
        <f aca="false">IF(SUMIFS($C$244:$C$363,$A$244:$A$363,$A$113,$B$244:$B$363,F$65)=0,"",SUMIFS($M$244:$M$363,$A$244:$A$363,$A$113,$B$244:$B$363,F$65))</f>
        <v>0.265228162870523</v>
      </c>
      <c r="G114" s="13" t="str">
        <f aca="false">IF(SUMIFS($C$244:$C$363,$A$244:$A$363,$A$113,$B$244:$B$363,G$65)=0,"",SUMIFS($M$244:$M$363,$A$244:$A$363,$A$113,$B$244:$B$363,G$65))</f>
        <v/>
      </c>
      <c r="H114" s="13" t="str">
        <f aca="false">IF(SUMIFS($C$244:$C$363,$A$244:$A$363,$A$113,$B$244:$B$363,H$65)=0,"",SUMIFS($M$244:$M$363,$A$244:$A$363,$A$113,$B$244:$B$363,H$65))</f>
        <v/>
      </c>
      <c r="I114" s="13" t="str">
        <f aca="false">IF(SUMIFS($C$244:$C$363,$A$244:$A$363,$A$113,$B$244:$B$363,I$65)=0,"",SUMIFS($M$244:$M$363,$A$244:$A$363,$A$113,$B$244:$B$363,I$65))</f>
        <v/>
      </c>
      <c r="J114" s="13" t="str">
        <f aca="false">IF(SUMIFS($C$244:$C$363,$A$244:$A$363,$A$113,$B$244:$B$363,J$65)=0,"",SUMIFS($M$244:$M$363,$A$244:$A$363,$A$113,$B$244:$B$363,J$65))</f>
        <v/>
      </c>
      <c r="K114" s="13" t="str">
        <f aca="false">IF(SUMIFS($C$244:$C$363,$A$244:$A$363,$A$113,$B$244:$B$363,K$65)=0,"",SUMIFS($M$244:$M$363,$A$244:$A$363,$A$113,$B$244:$B$363,K$65))</f>
        <v/>
      </c>
      <c r="L114" s="13" t="n">
        <f aca="false">V114/O114-1</f>
        <v>0.305301417675483</v>
      </c>
      <c r="M114" s="13" t="n">
        <f aca="false">IF($B113=0,"",(V114/O114)^(1/$B113)-1)</f>
        <v>0.142497885195191</v>
      </c>
      <c r="O114" s="42" t="n">
        <v>100</v>
      </c>
      <c r="P114" s="40" t="n">
        <f aca="false">IF(E114="",O114,O114*(1+E114))</f>
        <v>103.167274961225</v>
      </c>
      <c r="Q114" s="40" t="n">
        <f aca="false">IF(F114="",P114,P114*(1+F114))</f>
        <v>130.530141767548</v>
      </c>
      <c r="R114" s="40" t="n">
        <f aca="false">IF(G114="",Q114,Q114*(1+G114))</f>
        <v>130.530141767548</v>
      </c>
      <c r="S114" s="40" t="n">
        <f aca="false">IF(H114="",R114,R114*(1+H114))</f>
        <v>130.530141767548</v>
      </c>
      <c r="T114" s="40" t="n">
        <f aca="false">IF(I114="",S114,S114*(1+I114))</f>
        <v>130.530141767548</v>
      </c>
      <c r="U114" s="40" t="n">
        <f aca="false">IF(J114="",T114,T114*(1+J114))</f>
        <v>130.530141767548</v>
      </c>
      <c r="V114" s="40" t="n">
        <f aca="false">IF(K114="",U114,U114*(1+K114))</f>
        <v>130.530141767548</v>
      </c>
    </row>
    <row r="115" customFormat="false" ht="15" hidden="false" customHeight="false" outlineLevel="0" collapsed="false">
      <c r="A115" s="43"/>
      <c r="B115" s="43"/>
      <c r="C115" s="43"/>
      <c r="D115" s="44" t="s">
        <v>106</v>
      </c>
      <c r="E115" s="46" t="n">
        <f aca="false">IF(SUMIFS($C$244:$C$363,$A$244:$A$363,$A$113,$B$244:$B$363,E$65)=0,"",SUMIFS($L$244:$L$363,$A$244:$A$363,$A$113,$B$244:$B$363,E$65))</f>
        <v>0.045797725273247</v>
      </c>
      <c r="F115" s="46" t="n">
        <f aca="false">IF(SUMIFS($C$244:$C$363,$A$244:$A$363,$A$113,$B$244:$B$363,F$65)=0,"",SUMIFS($L$244:$L$363,$A$244:$A$363,$A$113,$B$244:$B$363,F$65))</f>
        <v>0</v>
      </c>
      <c r="G115" s="46" t="str">
        <f aca="false">IF(SUMIFS($C$244:$C$363,$A$244:$A$363,$A$113,$B$244:$B$363,G$65)=0,"",SUMIFS($L$244:$L$363,$A$244:$A$363,$A$113,$B$244:$B$363,G$65))</f>
        <v/>
      </c>
      <c r="H115" s="46" t="str">
        <f aca="false">IF(SUMIFS($C$244:$C$363,$A$244:$A$363,$A$113,$B$244:$B$363,H$65)=0,"",SUMIFS($L$244:$L$363,$A$244:$A$363,$A$113,$B$244:$B$363,H$65))</f>
        <v/>
      </c>
      <c r="I115" s="46" t="str">
        <f aca="false">IF(SUMIFS($C$244:$C$363,$A$244:$A$363,$A$113,$B$244:$B$363,I$65)=0,"",SUMIFS($L$244:$L$363,$A$244:$A$363,$A$113,$B$244:$B$363,I$65))</f>
        <v/>
      </c>
      <c r="J115" s="46" t="str">
        <f aca="false">IF(SUMIFS($C$244:$C$363,$A$244:$A$363,$A$113,$B$244:$B$363,J$65)=0,"",SUMIFS($L$244:$L$363,$A$244:$A$363,$A$113,$B$244:$B$363,J$65))</f>
        <v/>
      </c>
      <c r="K115" s="46" t="str">
        <f aca="false">IF(SUMIFS($C$244:$C$363,$A$244:$A$363,$A$113,$B$244:$B$363,K$65)=0,"",SUMIFS($L$244:$L$363,$A$244:$A$363,$A$113,$B$244:$B$363,K$65))</f>
        <v/>
      </c>
      <c r="L115" s="46" t="n">
        <f aca="false">V115/O115-1</f>
        <v>0.0457977252732471</v>
      </c>
      <c r="M115" s="46" t="n">
        <f aca="false">IF($B113=0,"",(V115/O115)^(1/$B113)-1)</f>
        <v>0.0226425207633638</v>
      </c>
      <c r="N115" s="43"/>
      <c r="O115" s="47" t="n">
        <v>100</v>
      </c>
      <c r="P115" s="45" t="n">
        <f aca="false">IF(E115="",O115,O115*(1+E115))</f>
        <v>104.579772527325</v>
      </c>
      <c r="Q115" s="45" t="n">
        <f aca="false">IF(F115="",P115,P115*(1+F115))</f>
        <v>104.579772527325</v>
      </c>
      <c r="R115" s="45" t="n">
        <f aca="false">IF(G115="",Q115,Q115*(1+G115))</f>
        <v>104.579772527325</v>
      </c>
      <c r="S115" s="45" t="n">
        <f aca="false">IF(H115="",R115,R115*(1+H115))</f>
        <v>104.579772527325</v>
      </c>
      <c r="T115" s="45" t="n">
        <f aca="false">IF(I115="",S115,S115*(1+I115))</f>
        <v>104.579772527325</v>
      </c>
      <c r="U115" s="45" t="n">
        <f aca="false">IF(J115="",T115,T115*(1+J115))</f>
        <v>104.579772527325</v>
      </c>
      <c r="V115" s="45" t="n">
        <f aca="false">IF(K115="",U115,U115*(1+K115))</f>
        <v>104.579772527325</v>
      </c>
    </row>
    <row r="118" customFormat="false" ht="15" hidden="false" customHeight="false" outlineLevel="0" collapsed="false">
      <c r="A118" s="38" t="s">
        <v>112</v>
      </c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</row>
    <row r="119" customFormat="false" ht="31.5" hidden="false" customHeight="true" outlineLevel="0" collapsed="false">
      <c r="A119" s="12" t="s">
        <v>12</v>
      </c>
      <c r="B119" s="12" t="s">
        <v>77</v>
      </c>
      <c r="C119" s="12" t="s">
        <v>113</v>
      </c>
      <c r="D119" s="12" t="s">
        <v>114</v>
      </c>
      <c r="E119" s="12" t="s">
        <v>115</v>
      </c>
      <c r="F119" s="12" t="s">
        <v>116</v>
      </c>
      <c r="G119" s="12" t="s">
        <v>117</v>
      </c>
      <c r="H119" s="12" t="s">
        <v>118</v>
      </c>
      <c r="I119" s="12" t="s">
        <v>119</v>
      </c>
      <c r="J119" s="12" t="s">
        <v>120</v>
      </c>
      <c r="K119" s="12" t="s">
        <v>121</v>
      </c>
      <c r="L119" s="12" t="s">
        <v>122</v>
      </c>
      <c r="M119" s="12" t="s">
        <v>123</v>
      </c>
      <c r="N119" s="12" t="s">
        <v>124</v>
      </c>
    </row>
    <row r="120" customFormat="false" ht="15" hidden="false" customHeight="false" outlineLevel="0" collapsed="false">
      <c r="A120" s="8" t="s">
        <v>19</v>
      </c>
      <c r="B120" s="48" t="n">
        <v>2008</v>
      </c>
      <c r="C120" s="10" t="n">
        <f aca="false">IF(D120&gt;0,1,0)</f>
        <v>0</v>
      </c>
      <c r="D120" s="9" t="n">
        <f aca="false">IF(SUMIFS(Sales!$D$3:$D$500,Sales!$C$3:$C$500,$A120,Sales!$B$3:$B$500,"&lt;="&amp;DATE($B120-1,12,31))&gt;0,0,SUMIFS('Asset Value'!$F$4:$F$500,'Asset Value'!$C$4:$C$500,$A120,'Asset Value'!$B$4:$B$500,$B120-1)/1000)</f>
        <v>0</v>
      </c>
      <c r="E120" s="9" t="n">
        <f aca="false">IF(SUMIFS(Sales!$D$3:$D$500,Sales!$C$3:$C$500,$A120,Sales!$B$3:$B$500,"&gt;="&amp;DATE($B120,1,1),Sales!$B$3:$B$500,"&lt;="&amp;DATE($B120,12,31))&gt;0,SUMIFS(Sales!$D$3:$D$500,Sales!$C$3:$C$500,$A120,Sales!$B$3:$B$500,"&gt;="&amp;DATE($B120,1,1),Sales!$B$3:$B$500,"&lt;="&amp;DATE($B120,12,31))/1000,SUMIFS('Asset Value'!$F$4:$F$500,'Asset Value'!$C$4:$C$500,$A120,'Asset Value'!$B$4:$B$500,$B120)/1000)</f>
        <v>143610</v>
      </c>
      <c r="F120" s="9" t="n">
        <f aca="false">SUMIFS(Rent!$E$3:$E$500,Rent!$D$3:$D$500,$A120,Rent!$C$3:$C$500,$B120)/1000</f>
        <v>5764.1164875</v>
      </c>
      <c r="G120" s="9" t="n">
        <f aca="false">SUMIFS(Costs!$D$3:$D$500,Costs!$C$3:$C$500,$A120,Costs!$B$3:$B$500,"&gt;="&amp;DATE($B120,1,1),Costs!$B$3:$B$500,"&lt;="&amp;DATE($B120,12,31))/1000</f>
        <v>0</v>
      </c>
      <c r="H120" s="9" t="n">
        <f aca="false">SUMIFS('Partial Sales'!$D$3:$D$500,'Partial Sales'!$C$3:$C$500,$A120,'Partial Sales'!$B$3:$B$500,"&gt;="&amp;DATE($B120,1,1),'Partial Sales'!$B$3:$B$500,"&lt;="&amp;DATE($B120,12,31))/1000</f>
        <v>0</v>
      </c>
      <c r="I120" s="9" t="n">
        <f aca="false">SUMIFS('Partial Purchases'!$D$3:$D$500,'Partial Purchases'!$C$3:$C$500,$A120,'Partial Purchases'!$B$3:$B$500,"&gt;="&amp;DATE($B120,1,1),'Partial Purchases'!$B$3:$B$500,"&lt;="&amp;DATE($B120,12,31))/1000</f>
        <v>0</v>
      </c>
      <c r="J120" s="9" t="n">
        <f aca="false">C120*(D120+0.5*(G120-H120+I120-F120))</f>
        <v>-0</v>
      </c>
      <c r="K120" s="9" t="n">
        <f aca="false">C120*(E120-D120+H120-G120-I120)</f>
        <v>0</v>
      </c>
      <c r="L120" s="13" t="str">
        <f aca="false">IF(J120=0,"",C120*F120/J120)</f>
        <v/>
      </c>
      <c r="M120" s="13" t="str">
        <f aca="false">IF(J120=0,"",K120/J120)</f>
        <v/>
      </c>
      <c r="N120" s="13" t="str">
        <f aca="false">IF(J120=0,"",L120+M120)</f>
        <v/>
      </c>
    </row>
    <row r="121" customFormat="false" ht="15" hidden="false" customHeight="false" outlineLevel="0" collapsed="false">
      <c r="A121" s="8" t="s">
        <v>19</v>
      </c>
      <c r="B121" s="48" t="n">
        <v>2009</v>
      </c>
      <c r="C121" s="10" t="n">
        <f aca="false">IF(D121&gt;0,1,0)</f>
        <v>1</v>
      </c>
      <c r="D121" s="9" t="n">
        <f aca="false">IF(SUMIFS(Sales!$D$3:$D$500,Sales!$C$3:$C$500,$A121,Sales!$B$3:$B$500,"&lt;="&amp;DATE($B121-1,12,31))&gt;0,0,SUMIFS('Asset Value'!$F$4:$F$500,'Asset Value'!$C$4:$C$500,$A121,'Asset Value'!$B$4:$B$500,$B121-1)/1000)</f>
        <v>143610</v>
      </c>
      <c r="E121" s="9" t="n">
        <f aca="false">IF(SUMIFS(Sales!$D$3:$D$500,Sales!$C$3:$C$500,$A121,Sales!$B$3:$B$500,"&gt;="&amp;DATE($B121,1,1),Sales!$B$3:$B$500,"&lt;="&amp;DATE($B121,12,31))&gt;0,SUMIFS(Sales!$D$3:$D$500,Sales!$C$3:$C$500,$A121,Sales!$B$3:$B$500,"&gt;="&amp;DATE($B121,1,1),Sales!$B$3:$B$500,"&lt;="&amp;DATE($B121,12,31))/1000,SUMIFS('Asset Value'!$F$4:$F$500,'Asset Value'!$C$4:$C$500,$A121,'Asset Value'!$B$4:$B$500,$B121)/1000)</f>
        <v>158220</v>
      </c>
      <c r="F121" s="9" t="n">
        <f aca="false">SUMIFS(Rent!$E$3:$E$500,Rent!$D$3:$D$500,$A121,Rent!$C$3:$C$500,$B121)/1000</f>
        <v>5432.845425</v>
      </c>
      <c r="G121" s="9" t="n">
        <f aca="false">SUMIFS(Costs!$D$3:$D$500,Costs!$C$3:$C$500,$A121,Costs!$B$3:$B$500,"&gt;="&amp;DATE($B121,1,1),Costs!$B$3:$B$500,"&lt;="&amp;DATE($B121,12,31))/1000</f>
        <v>0</v>
      </c>
      <c r="H121" s="9" t="n">
        <f aca="false">SUMIFS('Partial Sales'!$D$3:$D$500,'Partial Sales'!$C$3:$C$500,$A121,'Partial Sales'!$B$3:$B$500,"&gt;="&amp;DATE($B121,1,1),'Partial Sales'!$B$3:$B$500,"&lt;="&amp;DATE($B121,12,31))/1000</f>
        <v>0</v>
      </c>
      <c r="I121" s="9" t="n">
        <f aca="false">SUMIFS('Partial Purchases'!$D$3:$D$500,'Partial Purchases'!$C$3:$C$500,$A121,'Partial Purchases'!$B$3:$B$500,"&gt;="&amp;DATE($B121,1,1),'Partial Purchases'!$B$3:$B$500,"&lt;="&amp;DATE($B121,12,31))/1000</f>
        <v>0</v>
      </c>
      <c r="J121" s="9" t="n">
        <f aca="false">C121*(D121+0.5*(G121-H121+I121-F121))</f>
        <v>140893.5772875</v>
      </c>
      <c r="K121" s="9" t="n">
        <f aca="false">C121*(E121-D121+H121-G121-I121)</f>
        <v>14610</v>
      </c>
      <c r="L121" s="13" t="n">
        <f aca="false">IF(J121=0,"",C121*F121/J121)</f>
        <v>0.0385599225287184</v>
      </c>
      <c r="M121" s="13" t="n">
        <f aca="false">IF(J121=0,"",K121/J121)</f>
        <v>0.103695287473521</v>
      </c>
      <c r="N121" s="13" t="n">
        <f aca="false">IF(J121=0,"",L121+M121)</f>
        <v>0.142255210002239</v>
      </c>
    </row>
    <row r="122" customFormat="false" ht="15" hidden="false" customHeight="false" outlineLevel="0" collapsed="false">
      <c r="A122" s="8" t="s">
        <v>19</v>
      </c>
      <c r="B122" s="48" t="n">
        <v>2010</v>
      </c>
      <c r="C122" s="10" t="n">
        <f aca="false">IF(D122&gt;0,1,0)</f>
        <v>1</v>
      </c>
      <c r="D122" s="9" t="n">
        <f aca="false">IF(SUMIFS(Sales!$D$3:$D$500,Sales!$C$3:$C$500,$A122,Sales!$B$3:$B$500,"&lt;="&amp;DATE($B122-1,12,31))&gt;0,0,SUMIFS('Asset Value'!$F$4:$F$500,'Asset Value'!$C$4:$C$500,$A122,'Asset Value'!$B$4:$B$500,$B122-1)/1000)</f>
        <v>158220</v>
      </c>
      <c r="E122" s="9" t="n">
        <f aca="false">IF(SUMIFS(Sales!$D$3:$D$500,Sales!$C$3:$C$500,$A122,Sales!$B$3:$B$500,"&gt;="&amp;DATE($B122,1,1),Sales!$B$3:$B$500,"&lt;="&amp;DATE($B122,12,31))&gt;0,SUMIFS(Sales!$D$3:$D$500,Sales!$C$3:$C$500,$A122,Sales!$B$3:$B$500,"&gt;="&amp;DATE($B122,1,1),Sales!$B$3:$B$500,"&lt;="&amp;DATE($B122,12,31))/1000,SUMIFS('Asset Value'!$F$4:$F$500,'Asset Value'!$C$4:$C$500,$A122,'Asset Value'!$B$4:$B$500,$B122)/1000)</f>
        <v>164240</v>
      </c>
      <c r="F122" s="9" t="n">
        <f aca="false">SUMIFS(Rent!$E$3:$E$500,Rent!$D$3:$D$500,$A122,Rent!$C$3:$C$500,$B122)/1000</f>
        <v>5962.879125</v>
      </c>
      <c r="G122" s="9" t="n">
        <f aca="false">SUMIFS(Costs!$D$3:$D$500,Costs!$C$3:$C$500,$A122,Costs!$B$3:$B$500,"&gt;="&amp;DATE($B122,1,1),Costs!$B$3:$B$500,"&lt;="&amp;DATE($B122,12,31))/1000</f>
        <v>0</v>
      </c>
      <c r="H122" s="9" t="n">
        <f aca="false">SUMIFS('Partial Sales'!$D$3:$D$500,'Partial Sales'!$C$3:$C$500,$A122,'Partial Sales'!$B$3:$B$500,"&gt;="&amp;DATE($B122,1,1),'Partial Sales'!$B$3:$B$500,"&lt;="&amp;DATE($B122,12,31))/1000</f>
        <v>0</v>
      </c>
      <c r="I122" s="9" t="n">
        <f aca="false">SUMIFS('Partial Purchases'!$D$3:$D$500,'Partial Purchases'!$C$3:$C$500,$A122,'Partial Purchases'!$B$3:$B$500,"&gt;="&amp;DATE($B122,1,1),'Partial Purchases'!$B$3:$B$500,"&lt;="&amp;DATE($B122,12,31))/1000</f>
        <v>0</v>
      </c>
      <c r="J122" s="9" t="n">
        <f aca="false">C122*(D122+0.5*(G122-H122+I122-F122))</f>
        <v>155238.5604375</v>
      </c>
      <c r="K122" s="9" t="n">
        <f aca="false">C122*(E122-D122+H122-G122-I122)</f>
        <v>6020</v>
      </c>
      <c r="L122" s="13" t="n">
        <f aca="false">IF(J122=0,"",C122*F122/J122)</f>
        <v>0.0384110694417364</v>
      </c>
      <c r="M122" s="13" t="n">
        <f aca="false">IF(J122=0,"",K122/J122)</f>
        <v>0.0387790248958389</v>
      </c>
      <c r="N122" s="13" t="n">
        <f aca="false">IF(J122=0,"",L122+M122)</f>
        <v>0.0771900943375752</v>
      </c>
    </row>
    <row r="123" customFormat="false" ht="15" hidden="false" customHeight="false" outlineLevel="0" collapsed="false">
      <c r="A123" s="8" t="s">
        <v>19</v>
      </c>
      <c r="B123" s="48" t="n">
        <v>2011</v>
      </c>
      <c r="C123" s="10" t="n">
        <f aca="false">IF(D123&gt;0,1,0)</f>
        <v>1</v>
      </c>
      <c r="D123" s="9" t="n">
        <f aca="false">IF(SUMIFS(Sales!$D$3:$D$500,Sales!$C$3:$C$500,$A123,Sales!$B$3:$B$500,"&lt;="&amp;DATE($B123-1,12,31))&gt;0,0,SUMIFS('Asset Value'!$F$4:$F$500,'Asset Value'!$C$4:$C$500,$A123,'Asset Value'!$B$4:$B$500,$B123-1)/1000)</f>
        <v>164240</v>
      </c>
      <c r="E123" s="9" t="n">
        <f aca="false">IF(SUMIFS(Sales!$D$3:$D$500,Sales!$C$3:$C$500,$A123,Sales!$B$3:$B$500,"&gt;="&amp;DATE($B123,1,1),Sales!$B$3:$B$500,"&lt;="&amp;DATE($B123,12,31))&gt;0,SUMIFS(Sales!$D$3:$D$500,Sales!$C$3:$C$500,$A123,Sales!$B$3:$B$500,"&gt;="&amp;DATE($B123,1,1),Sales!$B$3:$B$500,"&lt;="&amp;DATE($B123,12,31))/1000,SUMIFS('Asset Value'!$F$4:$F$500,'Asset Value'!$C$4:$C$500,$A123,'Asset Value'!$B$4:$B$500,$B123)/1000)</f>
        <v>179570</v>
      </c>
      <c r="F123" s="9" t="n">
        <f aca="false">SUMIFS(Rent!$E$3:$E$500,Rent!$D$3:$D$500,$A123,Rent!$C$3:$C$500,$B123)/1000</f>
        <v>4000.30904</v>
      </c>
      <c r="G123" s="9" t="n">
        <f aca="false">SUMIFS(Costs!$D$3:$D$500,Costs!$C$3:$C$500,$A123,Costs!$B$3:$B$500,"&gt;="&amp;DATE($B123,1,1),Costs!$B$3:$B$500,"&lt;="&amp;DATE($B123,12,31))/1000</f>
        <v>0</v>
      </c>
      <c r="H123" s="9" t="n">
        <f aca="false">SUMIFS('Partial Sales'!$D$3:$D$500,'Partial Sales'!$C$3:$C$500,$A123,'Partial Sales'!$B$3:$B$500,"&gt;="&amp;DATE($B123,1,1),'Partial Sales'!$B$3:$B$500,"&lt;="&amp;DATE($B123,12,31))/1000</f>
        <v>0</v>
      </c>
      <c r="I123" s="9" t="n">
        <f aca="false">SUMIFS('Partial Purchases'!$D$3:$D$500,'Partial Purchases'!$C$3:$C$500,$A123,'Partial Purchases'!$B$3:$B$500,"&gt;="&amp;DATE($B123,1,1),'Partial Purchases'!$B$3:$B$500,"&lt;="&amp;DATE($B123,12,31))/1000</f>
        <v>0</v>
      </c>
      <c r="J123" s="9" t="n">
        <f aca="false">C123*(D123+0.5*(G123-H123+I123-F123))</f>
        <v>162239.84548</v>
      </c>
      <c r="K123" s="9" t="n">
        <f aca="false">C123*(E123-D123+H123-G123-I123)</f>
        <v>15330</v>
      </c>
      <c r="L123" s="13" t="n">
        <f aca="false">IF(J123=0,"",C123*F123/J123)</f>
        <v>0.0246567606629848</v>
      </c>
      <c r="M123" s="13" t="n">
        <f aca="false">IF(J123=0,"",K123/J123)</f>
        <v>0.094489734963966</v>
      </c>
      <c r="N123" s="13" t="n">
        <f aca="false">IF(J123=0,"",L123+M123)</f>
        <v>0.119146495626951</v>
      </c>
    </row>
    <row r="124" customFormat="false" ht="15" hidden="false" customHeight="false" outlineLevel="0" collapsed="false">
      <c r="A124" s="8" t="s">
        <v>19</v>
      </c>
      <c r="B124" s="48" t="n">
        <v>2012</v>
      </c>
      <c r="C124" s="10" t="n">
        <f aca="false">IF(D124&gt;0,1,0)</f>
        <v>1</v>
      </c>
      <c r="D124" s="9" t="n">
        <f aca="false">IF(SUMIFS(Sales!$D$3:$D$500,Sales!$C$3:$C$500,$A124,Sales!$B$3:$B$500,"&lt;="&amp;DATE($B124-1,12,31))&gt;0,0,SUMIFS('Asset Value'!$F$4:$F$500,'Asset Value'!$C$4:$C$500,$A124,'Asset Value'!$B$4:$B$500,$B124-1)/1000)</f>
        <v>179570</v>
      </c>
      <c r="E124" s="9" t="n">
        <f aca="false">IF(SUMIFS(Sales!$D$3:$D$500,Sales!$C$3:$C$500,$A124,Sales!$B$3:$B$500,"&gt;="&amp;DATE($B124,1,1),Sales!$B$3:$B$500,"&lt;="&amp;DATE($B124,12,31))&gt;0,SUMIFS(Sales!$D$3:$D$500,Sales!$C$3:$C$500,$A124,Sales!$B$3:$B$500,"&gt;="&amp;DATE($B124,1,1),Sales!$B$3:$B$500,"&lt;="&amp;DATE($B124,12,31))/1000,SUMIFS('Asset Value'!$F$4:$F$500,'Asset Value'!$C$4:$C$500,$A124,'Asset Value'!$B$4:$B$500,$B124)/1000)</f>
        <v>215630</v>
      </c>
      <c r="F124" s="9" t="n">
        <f aca="false">SUMIFS(Rent!$E$3:$E$500,Rent!$D$3:$D$500,$A124,Rent!$C$3:$C$500,$B124)/1000</f>
        <v>6522</v>
      </c>
      <c r="G124" s="9" t="n">
        <f aca="false">SUMIFS(Costs!$D$3:$D$500,Costs!$C$3:$C$500,$A124,Costs!$B$3:$B$500,"&gt;="&amp;DATE($B124,1,1),Costs!$B$3:$B$500,"&lt;="&amp;DATE($B124,12,31))/1000</f>
        <v>0</v>
      </c>
      <c r="H124" s="9" t="n">
        <f aca="false">SUMIFS('Partial Sales'!$D$3:$D$500,'Partial Sales'!$C$3:$C$500,$A124,'Partial Sales'!$B$3:$B$500,"&gt;="&amp;DATE($B124,1,1),'Partial Sales'!$B$3:$B$500,"&lt;="&amp;DATE($B124,12,31))/1000</f>
        <v>0</v>
      </c>
      <c r="I124" s="9" t="n">
        <f aca="false">SUMIFS('Partial Purchases'!$D$3:$D$500,'Partial Purchases'!$C$3:$C$500,$A124,'Partial Purchases'!$B$3:$B$500,"&gt;="&amp;DATE($B124,1,1),'Partial Purchases'!$B$3:$B$500,"&lt;="&amp;DATE($B124,12,31))/1000</f>
        <v>0</v>
      </c>
      <c r="J124" s="9" t="n">
        <f aca="false">C124*(D124+0.5*(G124-H124+I124-F124))</f>
        <v>176309</v>
      </c>
      <c r="K124" s="9" t="n">
        <f aca="false">C124*(E124-D124+H124-G124-I124)</f>
        <v>36060</v>
      </c>
      <c r="L124" s="13" t="n">
        <f aca="false">IF(J124=0,"",C124*F124/J124)</f>
        <v>0.0369918722243334</v>
      </c>
      <c r="M124" s="13" t="n">
        <f aca="false">IF(J124=0,"",K124/J124)</f>
        <v>0.204527278811632</v>
      </c>
      <c r="N124" s="13" t="n">
        <f aca="false">IF(J124=0,"",L124+M124)</f>
        <v>0.241519151035965</v>
      </c>
    </row>
    <row r="125" customFormat="false" ht="15" hidden="false" customHeight="false" outlineLevel="0" collapsed="false">
      <c r="A125" s="8" t="s">
        <v>19</v>
      </c>
      <c r="B125" s="48" t="n">
        <v>2013</v>
      </c>
      <c r="C125" s="10" t="n">
        <f aca="false">IF(D125&gt;0,1,0)</f>
        <v>1</v>
      </c>
      <c r="D125" s="9" t="n">
        <f aca="false">IF(SUMIFS(Sales!$D$3:$D$500,Sales!$C$3:$C$500,$A125,Sales!$B$3:$B$500,"&lt;="&amp;DATE($B125-1,12,31))&gt;0,0,SUMIFS('Asset Value'!$F$4:$F$500,'Asset Value'!$C$4:$C$500,$A125,'Asset Value'!$B$4:$B$500,$B125-1)/1000)</f>
        <v>215630</v>
      </c>
      <c r="E125" s="9" t="n">
        <f aca="false">IF(SUMIFS(Sales!$D$3:$D$500,Sales!$C$3:$C$500,$A125,Sales!$B$3:$B$500,"&gt;="&amp;DATE($B125,1,1),Sales!$B$3:$B$500,"&lt;="&amp;DATE($B125,12,31))&gt;0,SUMIFS(Sales!$D$3:$D$500,Sales!$C$3:$C$500,$A125,Sales!$B$3:$B$500,"&gt;="&amp;DATE($B125,1,1),Sales!$B$3:$B$500,"&lt;="&amp;DATE($B125,12,31))/1000,SUMIFS('Asset Value'!$F$4:$F$500,'Asset Value'!$C$4:$C$500,$A125,'Asset Value'!$B$4:$B$500,$B125)/1000)</f>
        <v>224342</v>
      </c>
      <c r="F125" s="9" t="n">
        <f aca="false">SUMIFS(Rent!$E$3:$E$500,Rent!$D$3:$D$500,$A125,Rent!$C$3:$C$500,$B125)/1000</f>
        <v>5902</v>
      </c>
      <c r="G125" s="9" t="n">
        <f aca="false">SUMIFS(Costs!$D$3:$D$500,Costs!$C$3:$C$500,$A125,Costs!$B$3:$B$500,"&gt;="&amp;DATE($B125,1,1),Costs!$B$3:$B$500,"&lt;="&amp;DATE($B125,12,31))/1000</f>
        <v>0</v>
      </c>
      <c r="H125" s="9" t="n">
        <f aca="false">SUMIFS('Partial Sales'!$D$3:$D$500,'Partial Sales'!$C$3:$C$500,$A125,'Partial Sales'!$B$3:$B$500,"&gt;="&amp;DATE($B125,1,1),'Partial Sales'!$B$3:$B$500,"&lt;="&amp;DATE($B125,12,31))/1000</f>
        <v>0</v>
      </c>
      <c r="I125" s="9" t="n">
        <f aca="false">SUMIFS('Partial Purchases'!$D$3:$D$500,'Partial Purchases'!$C$3:$C$500,$A125,'Partial Purchases'!$B$3:$B$500,"&gt;="&amp;DATE($B125,1,1),'Partial Purchases'!$B$3:$B$500,"&lt;="&amp;DATE($B125,12,31))/1000</f>
        <v>0</v>
      </c>
      <c r="J125" s="9" t="n">
        <f aca="false">C125*(D125+0.5*(G125-H125+I125-F125))</f>
        <v>212679</v>
      </c>
      <c r="K125" s="9" t="n">
        <f aca="false">C125*(E125-D125+H125-G125-I125)</f>
        <v>8712</v>
      </c>
      <c r="L125" s="13" t="n">
        <f aca="false">IF(J125=0,"",C125*F125/J125)</f>
        <v>0.0277507417281443</v>
      </c>
      <c r="M125" s="13" t="n">
        <f aca="false">IF(J125=0,"",K125/J125)</f>
        <v>0.0409631416359866</v>
      </c>
      <c r="N125" s="13" t="n">
        <f aca="false">IF(J125=0,"",L125+M125)</f>
        <v>0.0687138833641309</v>
      </c>
    </row>
    <row r="126" customFormat="false" ht="15" hidden="false" customHeight="false" outlineLevel="0" collapsed="false">
      <c r="A126" s="8" t="s">
        <v>19</v>
      </c>
      <c r="B126" s="48" t="n">
        <v>2014</v>
      </c>
      <c r="C126" s="10" t="n">
        <f aca="false">IF(D126&gt;0,1,0)</f>
        <v>1</v>
      </c>
      <c r="D126" s="9" t="n">
        <f aca="false">IF(SUMIFS(Sales!$D$3:$D$500,Sales!$C$3:$C$500,$A126,Sales!$B$3:$B$500,"&lt;="&amp;DATE($B126-1,12,31))&gt;0,0,SUMIFS('Asset Value'!$F$4:$F$500,'Asset Value'!$C$4:$C$500,$A126,'Asset Value'!$B$4:$B$500,$B126-1)/1000)</f>
        <v>224342</v>
      </c>
      <c r="E126" s="9" t="n">
        <f aca="false">IF(SUMIFS(Sales!$D$3:$D$500,Sales!$C$3:$C$500,$A126,Sales!$B$3:$B$500,"&gt;="&amp;DATE($B126,1,1),Sales!$B$3:$B$500,"&lt;="&amp;DATE($B126,12,31))&gt;0,SUMIFS(Sales!$D$3:$D$500,Sales!$C$3:$C$500,$A126,Sales!$B$3:$B$500,"&gt;="&amp;DATE($B126,1,1),Sales!$B$3:$B$500,"&lt;="&amp;DATE($B126,12,31))/1000,SUMIFS('Asset Value'!$F$4:$F$500,'Asset Value'!$C$4:$C$500,$A126,'Asset Value'!$B$4:$B$500,$B126)/1000)</f>
        <v>269921</v>
      </c>
      <c r="F126" s="9" t="n">
        <f aca="false">SUMIFS(Rent!$E$3:$E$500,Rent!$D$3:$D$500,$A126,Rent!$C$3:$C$500,$B126)/1000</f>
        <v>6567</v>
      </c>
      <c r="G126" s="9" t="n">
        <f aca="false">SUMIFS(Costs!$D$3:$D$500,Costs!$C$3:$C$500,$A126,Costs!$B$3:$B$500,"&gt;="&amp;DATE($B126,1,1),Costs!$B$3:$B$500,"&lt;="&amp;DATE($B126,12,31))/1000</f>
        <v>0</v>
      </c>
      <c r="H126" s="9" t="n">
        <f aca="false">SUMIFS('Partial Sales'!$D$3:$D$500,'Partial Sales'!$C$3:$C$500,$A126,'Partial Sales'!$B$3:$B$500,"&gt;="&amp;DATE($B126,1,1),'Partial Sales'!$B$3:$B$500,"&lt;="&amp;DATE($B126,12,31))/1000</f>
        <v>0</v>
      </c>
      <c r="I126" s="9" t="n">
        <f aca="false">SUMIFS('Partial Purchases'!$D$3:$D$500,'Partial Purchases'!$C$3:$C$500,$A126,'Partial Purchases'!$B$3:$B$500,"&gt;="&amp;DATE($B126,1,1),'Partial Purchases'!$B$3:$B$500,"&lt;="&amp;DATE($B126,12,31))/1000</f>
        <v>0</v>
      </c>
      <c r="J126" s="9" t="n">
        <f aca="false">C126*(D126+0.5*(G126-H126+I126-F126))</f>
        <v>221058.5</v>
      </c>
      <c r="K126" s="9" t="n">
        <f aca="false">C126*(E126-D126+H126-G126-I126)</f>
        <v>45579</v>
      </c>
      <c r="L126" s="13" t="n">
        <f aca="false">IF(J126=0,"",C126*F126/J126)</f>
        <v>0.0297070684909198</v>
      </c>
      <c r="M126" s="13" t="n">
        <f aca="false">IF(J126=0,"",K126/J126)</f>
        <v>0.206185240558495</v>
      </c>
      <c r="N126" s="13" t="n">
        <f aca="false">IF(J126=0,"",L126+M126)</f>
        <v>0.235892309049415</v>
      </c>
    </row>
    <row r="127" customFormat="false" ht="15" hidden="false" customHeight="false" outlineLevel="0" collapsed="false">
      <c r="A127" s="49" t="s">
        <v>19</v>
      </c>
      <c r="B127" s="50" t="n">
        <v>2015</v>
      </c>
      <c r="C127" s="51" t="n">
        <f aca="false">IF(D127&gt;0,1,0)</f>
        <v>1</v>
      </c>
      <c r="D127" s="52" t="n">
        <f aca="false">IF(SUMIFS(Sales!$D$3:$D$500,Sales!$C$3:$C$500,$A127,Sales!$B$3:$B$500,"&lt;="&amp;DATE($B127-1,12,31))&gt;0,0,SUMIFS('Asset Value'!$F$4:$F$500,'Asset Value'!$C$4:$C$500,$A127,'Asset Value'!$B$4:$B$500,$B127-1)/1000)</f>
        <v>269921</v>
      </c>
      <c r="E127" s="52" t="n">
        <f aca="false">IF(SUMIFS(Sales!$D$3:$D$500,Sales!$C$3:$C$500,$A127,Sales!$B$3:$B$500,"&gt;="&amp;DATE($B127,1,1),Sales!$B$3:$B$500,"&lt;="&amp;DATE($B127,12,31))&gt;0,SUMIFS(Sales!$D$3:$D$500,Sales!$C$3:$C$500,$A127,Sales!$B$3:$B$500,"&gt;="&amp;DATE($B127,1,1),Sales!$B$3:$B$500,"&lt;="&amp;DATE($B127,12,31))/1000,SUMIFS('Asset Value'!$F$4:$F$500,'Asset Value'!$C$4:$C$500,$A127,'Asset Value'!$B$4:$B$500,$B127)/1000)</f>
        <v>290900</v>
      </c>
      <c r="F127" s="52" t="n">
        <f aca="false">SUMIFS(Rent!$E$3:$E$500,Rent!$D$3:$D$500,$A127,Rent!$C$3:$C$500,$B127)/1000</f>
        <v>8312</v>
      </c>
      <c r="G127" s="52" t="n">
        <f aca="false">SUMIFS(Costs!$D$3:$D$500,Costs!$C$3:$C$500,$A127,Costs!$B$3:$B$500,"&gt;="&amp;DATE($B127,1,1),Costs!$B$3:$B$500,"&lt;="&amp;DATE($B127,12,31))/1000</f>
        <v>0</v>
      </c>
      <c r="H127" s="52" t="n">
        <f aca="false">SUMIFS('Partial Sales'!$D$3:$D$500,'Partial Sales'!$C$3:$C$500,$A127,'Partial Sales'!$B$3:$B$500,"&gt;="&amp;DATE($B127,1,1),'Partial Sales'!$B$3:$B$500,"&lt;="&amp;DATE($B127,12,31))/1000</f>
        <v>0</v>
      </c>
      <c r="I127" s="52" t="n">
        <f aca="false">SUMIFS('Partial Purchases'!$D$3:$D$500,'Partial Purchases'!$C$3:$C$500,$A127,'Partial Purchases'!$B$3:$B$500,"&gt;="&amp;DATE($B127,1,1),'Partial Purchases'!$B$3:$B$500,"&lt;="&amp;DATE($B127,12,31))/1000</f>
        <v>0</v>
      </c>
      <c r="J127" s="52" t="n">
        <f aca="false">C127*(D127+0.5*(G127-H127+I127-F127))</f>
        <v>265765</v>
      </c>
      <c r="K127" s="52" t="n">
        <f aca="false">C127*(E127-D127+H127-G127-I127)</f>
        <v>20979</v>
      </c>
      <c r="L127" s="46" t="n">
        <f aca="false">IF(J127=0,"",C127*F127/J127)</f>
        <v>0.0312757511335202</v>
      </c>
      <c r="M127" s="46" t="n">
        <f aca="false">IF(J127=0,"",K127/J127)</f>
        <v>0.0789381596523244</v>
      </c>
      <c r="N127" s="46" t="n">
        <f aca="false">IF(J127=0,"",L127+M127)</f>
        <v>0.110213910785845</v>
      </c>
    </row>
    <row r="128" customFormat="false" ht="15" hidden="false" customHeight="false" outlineLevel="0" collapsed="false">
      <c r="A128" s="8" t="s">
        <v>20</v>
      </c>
      <c r="B128" s="48" t="n">
        <v>2008</v>
      </c>
      <c r="C128" s="10" t="n">
        <f aca="false">IF(D128&gt;0,1,0)</f>
        <v>0</v>
      </c>
      <c r="D128" s="9" t="n">
        <f aca="false">IF(SUMIFS(Sales!$D$3:$D$500,Sales!$C$3:$C$500,$A128,Sales!$B$3:$B$500,"&lt;="&amp;DATE($B128-1,12,31))&gt;0,0,SUMIFS('Asset Value'!$F$4:$F$500,'Asset Value'!$C$4:$C$500,$A128,'Asset Value'!$B$4:$B$500,$B128-1)/1000)</f>
        <v>0</v>
      </c>
      <c r="E128" s="9" t="n">
        <f aca="false">IF(SUMIFS(Sales!$D$3:$D$500,Sales!$C$3:$C$500,$A128,Sales!$B$3:$B$500,"&gt;="&amp;DATE($B128,1,1),Sales!$B$3:$B$500,"&lt;="&amp;DATE($B128,12,31))&gt;0,SUMIFS(Sales!$D$3:$D$500,Sales!$C$3:$C$500,$A128,Sales!$B$3:$B$500,"&gt;="&amp;DATE($B128,1,1),Sales!$B$3:$B$500,"&lt;="&amp;DATE($B128,12,31))/1000,SUMIFS('Asset Value'!$F$4:$F$500,'Asset Value'!$C$4:$C$500,$A128,'Asset Value'!$B$4:$B$500,$B128)/1000)</f>
        <v>207710</v>
      </c>
      <c r="F128" s="9" t="n">
        <f aca="false">SUMIFS(Rent!$E$3:$E$500,Rent!$D$3:$D$500,$A128,Rent!$C$3:$C$500,$B128)/1000</f>
        <v>6078.89436</v>
      </c>
      <c r="G128" s="9" t="n">
        <f aca="false">SUMIFS(Costs!$D$3:$D$500,Costs!$C$3:$C$500,$A128,Costs!$B$3:$B$500,"&gt;="&amp;DATE($B128,1,1),Costs!$B$3:$B$500,"&lt;="&amp;DATE($B128,12,31))/1000</f>
        <v>0</v>
      </c>
      <c r="H128" s="9" t="n">
        <f aca="false">SUMIFS('Partial Sales'!$D$3:$D$500,'Partial Sales'!$C$3:$C$500,$A128,'Partial Sales'!$B$3:$B$500,"&gt;="&amp;DATE($B128,1,1),'Partial Sales'!$B$3:$B$500,"&lt;="&amp;DATE($B128,12,31))/1000</f>
        <v>0</v>
      </c>
      <c r="I128" s="9" t="n">
        <f aca="false">SUMIFS('Partial Purchases'!$D$3:$D$500,'Partial Purchases'!$C$3:$C$500,$A128,'Partial Purchases'!$B$3:$B$500,"&gt;="&amp;DATE($B128,1,1),'Partial Purchases'!$B$3:$B$500,"&lt;="&amp;DATE($B128,12,31))/1000</f>
        <v>0</v>
      </c>
      <c r="J128" s="9" t="n">
        <f aca="false">C128*(D128+0.5*(G128-H128+I128-F128))</f>
        <v>-0</v>
      </c>
      <c r="K128" s="9" t="n">
        <f aca="false">C128*(E128-D128+H128-G128-I128)</f>
        <v>0</v>
      </c>
      <c r="L128" s="13" t="str">
        <f aca="false">IF(J128=0,"",C128*F128/J128)</f>
        <v/>
      </c>
      <c r="M128" s="13" t="str">
        <f aca="false">IF(J128=0,"",K128/J128)</f>
        <v/>
      </c>
      <c r="N128" s="13" t="str">
        <f aca="false">IF(J128=0,"",L128+M128)</f>
        <v/>
      </c>
    </row>
    <row r="129" customFormat="false" ht="15" hidden="false" customHeight="false" outlineLevel="0" collapsed="false">
      <c r="A129" s="8" t="s">
        <v>20</v>
      </c>
      <c r="B129" s="48" t="n">
        <v>2009</v>
      </c>
      <c r="C129" s="10" t="n">
        <f aca="false">IF(D129&gt;0,1,0)</f>
        <v>1</v>
      </c>
      <c r="D129" s="9" t="n">
        <f aca="false">IF(SUMIFS(Sales!$D$3:$D$500,Sales!$C$3:$C$500,$A129,Sales!$B$3:$B$500,"&lt;="&amp;DATE($B129-1,12,31))&gt;0,0,SUMIFS('Asset Value'!$F$4:$F$500,'Asset Value'!$C$4:$C$500,$A129,'Asset Value'!$B$4:$B$500,$B129-1)/1000)</f>
        <v>207710</v>
      </c>
      <c r="E129" s="9" t="n">
        <f aca="false">IF(SUMIFS(Sales!$D$3:$D$500,Sales!$C$3:$C$500,$A129,Sales!$B$3:$B$500,"&gt;="&amp;DATE($B129,1,1),Sales!$B$3:$B$500,"&lt;="&amp;DATE($B129,12,31))&gt;0,SUMIFS(Sales!$D$3:$D$500,Sales!$C$3:$C$500,$A129,Sales!$B$3:$B$500,"&gt;="&amp;DATE($B129,1,1),Sales!$B$3:$B$500,"&lt;="&amp;DATE($B129,12,31))/1000,SUMIFS('Asset Value'!$F$4:$F$500,'Asset Value'!$C$4:$C$500,$A129,'Asset Value'!$B$4:$B$500,$B129)/1000)</f>
        <v>234810</v>
      </c>
      <c r="F129" s="9" t="n">
        <f aca="false">SUMIFS(Rent!$E$3:$E$500,Rent!$D$3:$D$500,$A129,Rent!$C$3:$C$500,$B129)/1000</f>
        <v>5934.15878</v>
      </c>
      <c r="G129" s="9" t="n">
        <f aca="false">SUMIFS(Costs!$D$3:$D$500,Costs!$C$3:$C$500,$A129,Costs!$B$3:$B$500,"&gt;="&amp;DATE($B129,1,1),Costs!$B$3:$B$500,"&lt;="&amp;DATE($B129,12,31))/1000</f>
        <v>0</v>
      </c>
      <c r="H129" s="9" t="n">
        <f aca="false">SUMIFS('Partial Sales'!$D$3:$D$500,'Partial Sales'!$C$3:$C$500,$A129,'Partial Sales'!$B$3:$B$500,"&gt;="&amp;DATE($B129,1,1),'Partial Sales'!$B$3:$B$500,"&lt;="&amp;DATE($B129,12,31))/1000</f>
        <v>0</v>
      </c>
      <c r="I129" s="9" t="n">
        <f aca="false">SUMIFS('Partial Purchases'!$D$3:$D$500,'Partial Purchases'!$C$3:$C$500,$A129,'Partial Purchases'!$B$3:$B$500,"&gt;="&amp;DATE($B129,1,1),'Partial Purchases'!$B$3:$B$500,"&lt;="&amp;DATE($B129,12,31))/1000</f>
        <v>0</v>
      </c>
      <c r="J129" s="9" t="n">
        <f aca="false">C129*(D129+0.5*(G129-H129+I129-F129))</f>
        <v>204742.92061</v>
      </c>
      <c r="K129" s="9" t="n">
        <f aca="false">C129*(E129-D129+H129-G129-I129)</f>
        <v>27100</v>
      </c>
      <c r="L129" s="13" t="n">
        <f aca="false">IF(J129=0,"",C129*F129/J129)</f>
        <v>0.0289834625896714</v>
      </c>
      <c r="M129" s="13" t="n">
        <f aca="false">IF(J129=0,"",K129/J129)</f>
        <v>0.132361108844495</v>
      </c>
      <c r="N129" s="13" t="n">
        <f aca="false">IF(J129=0,"",L129+M129)</f>
        <v>0.161344571434166</v>
      </c>
    </row>
    <row r="130" customFormat="false" ht="15" hidden="false" customHeight="false" outlineLevel="0" collapsed="false">
      <c r="A130" s="8" t="s">
        <v>20</v>
      </c>
      <c r="B130" s="48" t="n">
        <v>2010</v>
      </c>
      <c r="C130" s="10" t="n">
        <f aca="false">IF(D130&gt;0,1,0)</f>
        <v>1</v>
      </c>
      <c r="D130" s="9" t="n">
        <f aca="false">IF(SUMIFS(Sales!$D$3:$D$500,Sales!$C$3:$C$500,$A130,Sales!$B$3:$B$500,"&lt;="&amp;DATE($B130-1,12,31))&gt;0,0,SUMIFS('Asset Value'!$F$4:$F$500,'Asset Value'!$C$4:$C$500,$A130,'Asset Value'!$B$4:$B$500,$B130-1)/1000)</f>
        <v>234810</v>
      </c>
      <c r="E130" s="9" t="n">
        <f aca="false">IF(SUMIFS(Sales!$D$3:$D$500,Sales!$C$3:$C$500,$A130,Sales!$B$3:$B$500,"&gt;="&amp;DATE($B130,1,1),Sales!$B$3:$B$500,"&lt;="&amp;DATE($B130,12,31))&gt;0,SUMIFS(Sales!$D$3:$D$500,Sales!$C$3:$C$500,$A130,Sales!$B$3:$B$500,"&gt;="&amp;DATE($B130,1,1),Sales!$B$3:$B$500,"&lt;="&amp;DATE($B130,12,31))/1000,SUMIFS('Asset Value'!$F$4:$F$500,'Asset Value'!$C$4:$C$500,$A130,'Asset Value'!$B$4:$B$500,$B130)/1000)</f>
        <v>241810</v>
      </c>
      <c r="F130" s="9" t="n">
        <f aca="false">SUMIFS(Rent!$E$3:$E$500,Rent!$D$3:$D$500,$A130,Rent!$C$3:$C$500,$B130)/1000</f>
        <v>6802.57226</v>
      </c>
      <c r="G130" s="9" t="n">
        <f aca="false">SUMIFS(Costs!$D$3:$D$500,Costs!$C$3:$C$500,$A130,Costs!$B$3:$B$500,"&gt;="&amp;DATE($B130,1,1),Costs!$B$3:$B$500,"&lt;="&amp;DATE($B130,12,31))/1000</f>
        <v>0</v>
      </c>
      <c r="H130" s="9" t="n">
        <f aca="false">SUMIFS('Partial Sales'!$D$3:$D$500,'Partial Sales'!$C$3:$C$500,$A130,'Partial Sales'!$B$3:$B$500,"&gt;="&amp;DATE($B130,1,1),'Partial Sales'!$B$3:$B$500,"&lt;="&amp;DATE($B130,12,31))/1000</f>
        <v>0</v>
      </c>
      <c r="I130" s="9" t="n">
        <f aca="false">SUMIFS('Partial Purchases'!$D$3:$D$500,'Partial Purchases'!$C$3:$C$500,$A130,'Partial Purchases'!$B$3:$B$500,"&gt;="&amp;DATE($B130,1,1),'Partial Purchases'!$B$3:$B$500,"&lt;="&amp;DATE($B130,12,31))/1000</f>
        <v>0</v>
      </c>
      <c r="J130" s="9" t="n">
        <f aca="false">C130*(D130+0.5*(G130-H130+I130-F130))</f>
        <v>231408.71387</v>
      </c>
      <c r="K130" s="9" t="n">
        <f aca="false">C130*(E130-D130+H130-G130-I130)</f>
        <v>7000</v>
      </c>
      <c r="L130" s="13" t="n">
        <f aca="false">IF(J130=0,"",C130*F130/J130)</f>
        <v>0.0293963530855693</v>
      </c>
      <c r="M130" s="13" t="n">
        <f aca="false">IF(J130=0,"",K130/J130)</f>
        <v>0.0302495091171564</v>
      </c>
      <c r="N130" s="13" t="n">
        <f aca="false">IF(J130=0,"",L130+M130)</f>
        <v>0.0596458622027257</v>
      </c>
    </row>
    <row r="131" customFormat="false" ht="15" hidden="false" customHeight="false" outlineLevel="0" collapsed="false">
      <c r="A131" s="8" t="s">
        <v>20</v>
      </c>
      <c r="B131" s="48" t="n">
        <v>2011</v>
      </c>
      <c r="C131" s="10" t="n">
        <f aca="false">IF(D131&gt;0,1,0)</f>
        <v>1</v>
      </c>
      <c r="D131" s="9" t="n">
        <f aca="false">IF(SUMIFS(Sales!$D$3:$D$500,Sales!$C$3:$C$500,$A131,Sales!$B$3:$B$500,"&lt;="&amp;DATE($B131-1,12,31))&gt;0,0,SUMIFS('Asset Value'!$F$4:$F$500,'Asset Value'!$C$4:$C$500,$A131,'Asset Value'!$B$4:$B$500,$B131-1)/1000)</f>
        <v>241810</v>
      </c>
      <c r="E131" s="9" t="n">
        <f aca="false">IF(SUMIFS(Sales!$D$3:$D$500,Sales!$C$3:$C$500,$A131,Sales!$B$3:$B$500,"&gt;="&amp;DATE($B131,1,1),Sales!$B$3:$B$500,"&lt;="&amp;DATE($B131,12,31))&gt;0,SUMIFS(Sales!$D$3:$D$500,Sales!$C$3:$C$500,$A131,Sales!$B$3:$B$500,"&gt;="&amp;DATE($B131,1,1),Sales!$B$3:$B$500,"&lt;="&amp;DATE($B131,12,31))/1000,SUMIFS('Asset Value'!$F$4:$F$500,'Asset Value'!$C$4:$C$500,$A131,'Asset Value'!$B$4:$B$500,$B131)/1000)</f>
        <v>273920</v>
      </c>
      <c r="F131" s="9" t="n">
        <f aca="false">SUMIFS(Rent!$E$3:$E$500,Rent!$D$3:$D$500,$A131,Rent!$C$3:$C$500,$B131)/1000</f>
        <v>4563.6751968</v>
      </c>
      <c r="G131" s="9" t="n">
        <f aca="false">SUMIFS(Costs!$D$3:$D$500,Costs!$C$3:$C$500,$A131,Costs!$B$3:$B$500,"&gt;="&amp;DATE($B131,1,1),Costs!$B$3:$B$500,"&lt;="&amp;DATE($B131,12,31))/1000</f>
        <v>0</v>
      </c>
      <c r="H131" s="9" t="n">
        <f aca="false">SUMIFS('Partial Sales'!$D$3:$D$500,'Partial Sales'!$C$3:$C$500,$A131,'Partial Sales'!$B$3:$B$500,"&gt;="&amp;DATE($B131,1,1),'Partial Sales'!$B$3:$B$500,"&lt;="&amp;DATE($B131,12,31))/1000</f>
        <v>0</v>
      </c>
      <c r="I131" s="9" t="n">
        <f aca="false">SUMIFS('Partial Purchases'!$D$3:$D$500,'Partial Purchases'!$C$3:$C$500,$A131,'Partial Purchases'!$B$3:$B$500,"&gt;="&amp;DATE($B131,1,1),'Partial Purchases'!$B$3:$B$500,"&lt;="&amp;DATE($B131,12,31))/1000</f>
        <v>0</v>
      </c>
      <c r="J131" s="9" t="n">
        <f aca="false">C131*(D131+0.5*(G131-H131+I131-F131))</f>
        <v>239528.1624016</v>
      </c>
      <c r="K131" s="9" t="n">
        <f aca="false">C131*(E131-D131+H131-G131-I131)</f>
        <v>32110</v>
      </c>
      <c r="L131" s="13" t="n">
        <f aca="false">IF(J131=0,"",C131*F131/J131)</f>
        <v>0.0190527708768892</v>
      </c>
      <c r="M131" s="13" t="n">
        <f aca="false">IF(J131=0,"",K131/J131)</f>
        <v>0.13405521788358</v>
      </c>
      <c r="N131" s="13" t="n">
        <f aca="false">IF(J131=0,"",L131+M131)</f>
        <v>0.153107988760469</v>
      </c>
    </row>
    <row r="132" customFormat="false" ht="15" hidden="false" customHeight="false" outlineLevel="0" collapsed="false">
      <c r="A132" s="8" t="s">
        <v>20</v>
      </c>
      <c r="B132" s="48" t="n">
        <v>2012</v>
      </c>
      <c r="C132" s="10" t="n">
        <f aca="false">IF(D132&gt;0,1,0)</f>
        <v>1</v>
      </c>
      <c r="D132" s="9" t="n">
        <f aca="false">IF(SUMIFS(Sales!$D$3:$D$500,Sales!$C$3:$C$500,$A132,Sales!$B$3:$B$500,"&lt;="&amp;DATE($B132-1,12,31))&gt;0,0,SUMIFS('Asset Value'!$F$4:$F$500,'Asset Value'!$C$4:$C$500,$A132,'Asset Value'!$B$4:$B$500,$B132-1)/1000)</f>
        <v>273920</v>
      </c>
      <c r="E132" s="9" t="n">
        <f aca="false">IF(SUMIFS(Sales!$D$3:$D$500,Sales!$C$3:$C$500,$A132,Sales!$B$3:$B$500,"&gt;="&amp;DATE($B132,1,1),Sales!$B$3:$B$500,"&lt;="&amp;DATE($B132,12,31))&gt;0,SUMIFS(Sales!$D$3:$D$500,Sales!$C$3:$C$500,$A132,Sales!$B$3:$B$500,"&gt;="&amp;DATE($B132,1,1),Sales!$B$3:$B$500,"&lt;="&amp;DATE($B132,12,31))/1000,SUMIFS('Asset Value'!$F$4:$F$500,'Asset Value'!$C$4:$C$500,$A132,'Asset Value'!$B$4:$B$500,$B132)/1000)</f>
        <v>322340</v>
      </c>
      <c r="F132" s="9" t="n">
        <f aca="false">SUMIFS(Rent!$E$3:$E$500,Rent!$D$3:$D$500,$A132,Rent!$C$3:$C$500,$B132)/1000</f>
        <v>7795</v>
      </c>
      <c r="G132" s="9" t="n">
        <f aca="false">SUMIFS(Costs!$D$3:$D$500,Costs!$C$3:$C$500,$A132,Costs!$B$3:$B$500,"&gt;="&amp;DATE($B132,1,1),Costs!$B$3:$B$500,"&lt;="&amp;DATE($B132,12,31))/1000</f>
        <v>0</v>
      </c>
      <c r="H132" s="9" t="n">
        <f aca="false">SUMIFS('Partial Sales'!$D$3:$D$500,'Partial Sales'!$C$3:$C$500,$A132,'Partial Sales'!$B$3:$B$500,"&gt;="&amp;DATE($B132,1,1),'Partial Sales'!$B$3:$B$500,"&lt;="&amp;DATE($B132,12,31))/1000</f>
        <v>0</v>
      </c>
      <c r="I132" s="9" t="n">
        <f aca="false">SUMIFS('Partial Purchases'!$D$3:$D$500,'Partial Purchases'!$C$3:$C$500,$A132,'Partial Purchases'!$B$3:$B$500,"&gt;="&amp;DATE($B132,1,1),'Partial Purchases'!$B$3:$B$500,"&lt;="&amp;DATE($B132,12,31))/1000</f>
        <v>0</v>
      </c>
      <c r="J132" s="9" t="n">
        <f aca="false">C132*(D132+0.5*(G132-H132+I132-F132))</f>
        <v>270022.5</v>
      </c>
      <c r="K132" s="9" t="n">
        <f aca="false">C132*(E132-D132+H132-G132-I132)</f>
        <v>48420</v>
      </c>
      <c r="L132" s="13" t="n">
        <f aca="false">IF(J132=0,"",C132*F132/J132)</f>
        <v>0.0288679647066448</v>
      </c>
      <c r="M132" s="13" t="n">
        <f aca="false">IF(J132=0,"",K132/J132)</f>
        <v>0.179318390134156</v>
      </c>
      <c r="N132" s="13" t="n">
        <f aca="false">IF(J132=0,"",L132+M132)</f>
        <v>0.2081863548408</v>
      </c>
    </row>
    <row r="133" customFormat="false" ht="15" hidden="false" customHeight="false" outlineLevel="0" collapsed="false">
      <c r="A133" s="8" t="s">
        <v>20</v>
      </c>
      <c r="B133" s="48" t="n">
        <v>2013</v>
      </c>
      <c r="C133" s="10" t="n">
        <f aca="false">IF(D133&gt;0,1,0)</f>
        <v>1</v>
      </c>
      <c r="D133" s="9" t="n">
        <f aca="false">IF(SUMIFS(Sales!$D$3:$D$500,Sales!$C$3:$C$500,$A133,Sales!$B$3:$B$500,"&lt;="&amp;DATE($B133-1,12,31))&gt;0,0,SUMIFS('Asset Value'!$F$4:$F$500,'Asset Value'!$C$4:$C$500,$A133,'Asset Value'!$B$4:$B$500,$B133-1)/1000)</f>
        <v>322340</v>
      </c>
      <c r="E133" s="9" t="n">
        <f aca="false">IF(SUMIFS(Sales!$D$3:$D$500,Sales!$C$3:$C$500,$A133,Sales!$B$3:$B$500,"&gt;="&amp;DATE($B133,1,1),Sales!$B$3:$B$500,"&lt;="&amp;DATE($B133,12,31))&gt;0,SUMIFS(Sales!$D$3:$D$500,Sales!$C$3:$C$500,$A133,Sales!$B$3:$B$500,"&gt;="&amp;DATE($B133,1,1),Sales!$B$3:$B$500,"&lt;="&amp;DATE($B133,12,31))/1000,SUMIFS('Asset Value'!$F$4:$F$500,'Asset Value'!$C$4:$C$500,$A133,'Asset Value'!$B$4:$B$500,$B133)/1000)</f>
        <v>331712</v>
      </c>
      <c r="F133" s="9" t="n">
        <f aca="false">SUMIFS(Rent!$E$3:$E$500,Rent!$D$3:$D$500,$A133,Rent!$C$3:$C$500,$B133)/1000</f>
        <v>7483</v>
      </c>
      <c r="G133" s="9" t="n">
        <f aca="false">SUMIFS(Costs!$D$3:$D$500,Costs!$C$3:$C$500,$A133,Costs!$B$3:$B$500,"&gt;="&amp;DATE($B133,1,1),Costs!$B$3:$B$500,"&lt;="&amp;DATE($B133,12,31))/1000</f>
        <v>0</v>
      </c>
      <c r="H133" s="9" t="n">
        <f aca="false">SUMIFS('Partial Sales'!$D$3:$D$500,'Partial Sales'!$C$3:$C$500,$A133,'Partial Sales'!$B$3:$B$500,"&gt;="&amp;DATE($B133,1,1),'Partial Sales'!$B$3:$B$500,"&lt;="&amp;DATE($B133,12,31))/1000</f>
        <v>0</v>
      </c>
      <c r="I133" s="9" t="n">
        <f aca="false">SUMIFS('Partial Purchases'!$D$3:$D$500,'Partial Purchases'!$C$3:$C$500,$A133,'Partial Purchases'!$B$3:$B$500,"&gt;="&amp;DATE($B133,1,1),'Partial Purchases'!$B$3:$B$500,"&lt;="&amp;DATE($B133,12,31))/1000</f>
        <v>0</v>
      </c>
      <c r="J133" s="9" t="n">
        <f aca="false">C133*(D133+0.5*(G133-H133+I133-F133))</f>
        <v>318598.5</v>
      </c>
      <c r="K133" s="9" t="n">
        <f aca="false">C133*(E133-D133+H133-G133-I133)</f>
        <v>9372</v>
      </c>
      <c r="L133" s="13" t="n">
        <f aca="false">IF(J133=0,"",C133*F133/J133)</f>
        <v>0.02348724177923</v>
      </c>
      <c r="M133" s="13" t="n">
        <f aca="false">IF(J133=0,"",K133/J133)</f>
        <v>0.0294163343518566</v>
      </c>
      <c r="N133" s="13" t="n">
        <f aca="false">IF(J133=0,"",L133+M133)</f>
        <v>0.0529035761310866</v>
      </c>
    </row>
    <row r="134" customFormat="false" ht="15" hidden="false" customHeight="false" outlineLevel="0" collapsed="false">
      <c r="A134" s="8" t="s">
        <v>20</v>
      </c>
      <c r="B134" s="48" t="n">
        <v>2014</v>
      </c>
      <c r="C134" s="10" t="n">
        <f aca="false">IF(D134&gt;0,1,0)</f>
        <v>1</v>
      </c>
      <c r="D134" s="9" t="n">
        <f aca="false">IF(SUMIFS(Sales!$D$3:$D$500,Sales!$C$3:$C$500,$A134,Sales!$B$3:$B$500,"&lt;="&amp;DATE($B134-1,12,31))&gt;0,0,SUMIFS('Asset Value'!$F$4:$F$500,'Asset Value'!$C$4:$C$500,$A134,'Asset Value'!$B$4:$B$500,$B134-1)/1000)</f>
        <v>331712</v>
      </c>
      <c r="E134" s="9" t="n">
        <f aca="false">IF(SUMIFS(Sales!$D$3:$D$500,Sales!$C$3:$C$500,$A134,Sales!$B$3:$B$500,"&gt;="&amp;DATE($B134,1,1),Sales!$B$3:$B$500,"&lt;="&amp;DATE($B134,12,31))&gt;0,SUMIFS(Sales!$D$3:$D$500,Sales!$C$3:$C$500,$A134,Sales!$B$3:$B$500,"&gt;="&amp;DATE($B134,1,1),Sales!$B$3:$B$500,"&lt;="&amp;DATE($B134,12,31))/1000,SUMIFS('Asset Value'!$F$4:$F$500,'Asset Value'!$C$4:$C$500,$A134,'Asset Value'!$B$4:$B$500,$B134)/1000)</f>
        <v>453258</v>
      </c>
      <c r="F134" s="9" t="n">
        <f aca="false">SUMIFS(Rent!$E$3:$E$500,Rent!$D$3:$D$500,$A134,Rent!$C$3:$C$500,$B134)/1000</f>
        <v>10660</v>
      </c>
      <c r="G134" s="9" t="n">
        <f aca="false">SUMIFS(Costs!$D$3:$D$500,Costs!$C$3:$C$500,$A134,Costs!$B$3:$B$500,"&gt;="&amp;DATE($B134,1,1),Costs!$B$3:$B$500,"&lt;="&amp;DATE($B134,12,31))/1000</f>
        <v>0</v>
      </c>
      <c r="H134" s="9" t="n">
        <f aca="false">SUMIFS('Partial Sales'!$D$3:$D$500,'Partial Sales'!$C$3:$C$500,$A134,'Partial Sales'!$B$3:$B$500,"&gt;="&amp;DATE($B134,1,1),'Partial Sales'!$B$3:$B$500,"&lt;="&amp;DATE($B134,12,31))/1000</f>
        <v>0</v>
      </c>
      <c r="I134" s="9" t="n">
        <f aca="false">SUMIFS('Partial Purchases'!$D$3:$D$500,'Partial Purchases'!$C$3:$C$500,$A134,'Partial Purchases'!$B$3:$B$500,"&gt;="&amp;DATE($B134,1,1),'Partial Purchases'!$B$3:$B$500,"&lt;="&amp;DATE($B134,12,31))/1000</f>
        <v>0</v>
      </c>
      <c r="J134" s="9" t="n">
        <f aca="false">C134*(D134+0.5*(G134-H134+I134-F134))</f>
        <v>326382</v>
      </c>
      <c r="K134" s="9" t="n">
        <f aca="false">C134*(E134-D134+H134-G134-I134)</f>
        <v>121546</v>
      </c>
      <c r="L134" s="13" t="n">
        <f aca="false">IF(J134=0,"",C134*F134/J134)</f>
        <v>0.0326611148899143</v>
      </c>
      <c r="M134" s="13" t="n">
        <f aca="false">IF(J134=0,"",K134/J134)</f>
        <v>0.372404115423032</v>
      </c>
      <c r="N134" s="13" t="n">
        <f aca="false">IF(J134=0,"",L134+M134)</f>
        <v>0.405065230312946</v>
      </c>
    </row>
    <row r="135" customFormat="false" ht="15" hidden="false" customHeight="false" outlineLevel="0" collapsed="false">
      <c r="A135" s="49" t="s">
        <v>20</v>
      </c>
      <c r="B135" s="50" t="n">
        <v>2015</v>
      </c>
      <c r="C135" s="51" t="n">
        <f aca="false">IF(D135&gt;0,1,0)</f>
        <v>1</v>
      </c>
      <c r="D135" s="52" t="n">
        <f aca="false">IF(SUMIFS(Sales!$D$3:$D$500,Sales!$C$3:$C$500,$A135,Sales!$B$3:$B$500,"&lt;="&amp;DATE($B135-1,12,31))&gt;0,0,SUMIFS('Asset Value'!$F$4:$F$500,'Asset Value'!$C$4:$C$500,$A135,'Asset Value'!$B$4:$B$500,$B135-1)/1000)</f>
        <v>453258</v>
      </c>
      <c r="E135" s="52" t="n">
        <f aca="false">IF(SUMIFS(Sales!$D$3:$D$500,Sales!$C$3:$C$500,$A135,Sales!$B$3:$B$500,"&gt;="&amp;DATE($B135,1,1),Sales!$B$3:$B$500,"&lt;="&amp;DATE($B135,12,31))&gt;0,SUMIFS(Sales!$D$3:$D$500,Sales!$C$3:$C$500,$A135,Sales!$B$3:$B$500,"&gt;="&amp;DATE($B135,1,1),Sales!$B$3:$B$500,"&lt;="&amp;DATE($B135,12,31))/1000,SUMIFS('Asset Value'!$F$4:$F$500,'Asset Value'!$C$4:$C$500,$A135,'Asset Value'!$B$4:$B$500,$B135)/1000)</f>
        <v>473550</v>
      </c>
      <c r="F135" s="52" t="n">
        <f aca="false">SUMIFS(Rent!$E$3:$E$500,Rent!$D$3:$D$500,$A135,Rent!$C$3:$C$500,$B135)/1000</f>
        <v>13057</v>
      </c>
      <c r="G135" s="52" t="n">
        <f aca="false">SUMIFS(Costs!$D$3:$D$500,Costs!$C$3:$C$500,$A135,Costs!$B$3:$B$500,"&gt;="&amp;DATE($B135,1,1),Costs!$B$3:$B$500,"&lt;="&amp;DATE($B135,12,31))/1000</f>
        <v>0</v>
      </c>
      <c r="H135" s="52" t="n">
        <f aca="false">SUMIFS('Partial Sales'!$D$3:$D$500,'Partial Sales'!$C$3:$C$500,$A135,'Partial Sales'!$B$3:$B$500,"&gt;="&amp;DATE($B135,1,1),'Partial Sales'!$B$3:$B$500,"&lt;="&amp;DATE($B135,12,31))/1000</f>
        <v>0</v>
      </c>
      <c r="I135" s="52" t="n">
        <f aca="false">SUMIFS('Partial Purchases'!$D$3:$D$500,'Partial Purchases'!$C$3:$C$500,$A135,'Partial Purchases'!$B$3:$B$500,"&gt;="&amp;DATE($B135,1,1),'Partial Purchases'!$B$3:$B$500,"&lt;="&amp;DATE($B135,12,31))/1000</f>
        <v>0</v>
      </c>
      <c r="J135" s="52" t="n">
        <f aca="false">C135*(D135+0.5*(G135-H135+I135-F135))</f>
        <v>446729.5</v>
      </c>
      <c r="K135" s="52" t="n">
        <f aca="false">C135*(E135-D135+H135-G135-I135)</f>
        <v>20292</v>
      </c>
      <c r="L135" s="46" t="n">
        <f aca="false">IF(J135=0,"",C135*F135/J135)</f>
        <v>0.0292279780045867</v>
      </c>
      <c r="M135" s="46" t="n">
        <f aca="false">IF(J135=0,"",K135/J135)</f>
        <v>0.0454234609534405</v>
      </c>
      <c r="N135" s="46" t="n">
        <f aca="false">IF(J135=0,"",L135+M135)</f>
        <v>0.0746514389580272</v>
      </c>
    </row>
    <row r="136" customFormat="false" ht="15" hidden="false" customHeight="false" outlineLevel="0" collapsed="false">
      <c r="A136" s="8" t="s">
        <v>21</v>
      </c>
      <c r="B136" s="48" t="n">
        <v>2008</v>
      </c>
      <c r="C136" s="10" t="n">
        <f aca="false">IF(D136&gt;0,1,0)</f>
        <v>0</v>
      </c>
      <c r="D136" s="9" t="n">
        <f aca="false">IF(SUMIFS(Sales!$D$3:$D$500,Sales!$C$3:$C$500,$A136,Sales!$B$3:$B$500,"&lt;="&amp;DATE($B136-1,12,31))&gt;0,0,SUMIFS('Asset Value'!$F$4:$F$500,'Asset Value'!$C$4:$C$500,$A136,'Asset Value'!$B$4:$B$500,$B136-1)/1000)</f>
        <v>0</v>
      </c>
      <c r="E136" s="9" t="n">
        <f aca="false">IF(SUMIFS(Sales!$D$3:$D$500,Sales!$C$3:$C$500,$A136,Sales!$B$3:$B$500,"&gt;="&amp;DATE($B136,1,1),Sales!$B$3:$B$500,"&lt;="&amp;DATE($B136,12,31))&gt;0,SUMIFS(Sales!$D$3:$D$500,Sales!$C$3:$C$500,$A136,Sales!$B$3:$B$500,"&gt;="&amp;DATE($B136,1,1),Sales!$B$3:$B$500,"&lt;="&amp;DATE($B136,12,31))/1000,SUMIFS('Asset Value'!$F$4:$F$500,'Asset Value'!$C$4:$C$500,$A136,'Asset Value'!$B$4:$B$500,$B136)/1000)</f>
        <v>106940</v>
      </c>
      <c r="F136" s="9" t="n">
        <f aca="false">SUMIFS(Rent!$E$3:$E$500,Rent!$D$3:$D$500,$A136,Rent!$C$3:$C$500,$B136)/1000</f>
        <v>3727.49265</v>
      </c>
      <c r="G136" s="9" t="n">
        <f aca="false">SUMIFS(Costs!$D$3:$D$500,Costs!$C$3:$C$500,$A136,Costs!$B$3:$B$500,"&gt;="&amp;DATE($B136,1,1),Costs!$B$3:$B$500,"&lt;="&amp;DATE($B136,12,31))/1000</f>
        <v>0</v>
      </c>
      <c r="H136" s="9" t="n">
        <f aca="false">SUMIFS('Partial Sales'!$D$3:$D$500,'Partial Sales'!$C$3:$C$500,$A136,'Partial Sales'!$B$3:$B$500,"&gt;="&amp;DATE($B136,1,1),'Partial Sales'!$B$3:$B$500,"&lt;="&amp;DATE($B136,12,31))/1000</f>
        <v>0</v>
      </c>
      <c r="I136" s="9" t="n">
        <f aca="false">SUMIFS('Partial Purchases'!$D$3:$D$500,'Partial Purchases'!$C$3:$C$500,$A136,'Partial Purchases'!$B$3:$B$500,"&gt;="&amp;DATE($B136,1,1),'Partial Purchases'!$B$3:$B$500,"&lt;="&amp;DATE($B136,12,31))/1000</f>
        <v>0</v>
      </c>
      <c r="J136" s="9" t="n">
        <f aca="false">C136*(D136+0.5*(G136-H136+I136-F136))</f>
        <v>-0</v>
      </c>
      <c r="K136" s="9" t="n">
        <f aca="false">C136*(E136-D136+H136-G136-I136)</f>
        <v>0</v>
      </c>
      <c r="L136" s="13" t="str">
        <f aca="false">IF(J136=0,"",C136*F136/J136)</f>
        <v/>
      </c>
      <c r="M136" s="13" t="str">
        <f aca="false">IF(J136=0,"",K136/J136)</f>
        <v/>
      </c>
      <c r="N136" s="13" t="str">
        <f aca="false">IF(J136=0,"",L136+M136)</f>
        <v/>
      </c>
    </row>
    <row r="137" customFormat="false" ht="15" hidden="false" customHeight="false" outlineLevel="0" collapsed="false">
      <c r="A137" s="8" t="s">
        <v>21</v>
      </c>
      <c r="B137" s="48" t="n">
        <v>2009</v>
      </c>
      <c r="C137" s="10" t="n">
        <f aca="false">IF(D137&gt;0,1,0)</f>
        <v>1</v>
      </c>
      <c r="D137" s="9" t="n">
        <f aca="false">IF(SUMIFS(Sales!$D$3:$D$500,Sales!$C$3:$C$500,$A137,Sales!$B$3:$B$500,"&lt;="&amp;DATE($B137-1,12,31))&gt;0,0,SUMIFS('Asset Value'!$F$4:$F$500,'Asset Value'!$C$4:$C$500,$A137,'Asset Value'!$B$4:$B$500,$B137-1)/1000)</f>
        <v>106940</v>
      </c>
      <c r="E137" s="9" t="n">
        <f aca="false">IF(SUMIFS(Sales!$D$3:$D$500,Sales!$C$3:$C$500,$A137,Sales!$B$3:$B$500,"&gt;="&amp;DATE($B137,1,1),Sales!$B$3:$B$500,"&lt;="&amp;DATE($B137,12,31))&gt;0,SUMIFS(Sales!$D$3:$D$500,Sales!$C$3:$C$500,$A137,Sales!$B$3:$B$500,"&gt;="&amp;DATE($B137,1,1),Sales!$B$3:$B$500,"&lt;="&amp;DATE($B137,12,31))/1000,SUMIFS('Asset Value'!$F$4:$F$500,'Asset Value'!$C$4:$C$500,$A137,'Asset Value'!$B$4:$B$500,$B137)/1000)</f>
        <v>118040</v>
      </c>
      <c r="F137" s="9" t="n">
        <f aca="false">SUMIFS(Rent!$E$3:$E$500,Rent!$D$3:$D$500,$A137,Rent!$C$3:$C$500,$B137)/1000</f>
        <v>3502.9449</v>
      </c>
      <c r="G137" s="9" t="n">
        <f aca="false">SUMIFS(Costs!$D$3:$D$500,Costs!$C$3:$C$500,$A137,Costs!$B$3:$B$500,"&gt;="&amp;DATE($B137,1,1),Costs!$B$3:$B$500,"&lt;="&amp;DATE($B137,12,31))/1000</f>
        <v>0</v>
      </c>
      <c r="H137" s="9" t="n">
        <f aca="false">SUMIFS('Partial Sales'!$D$3:$D$500,'Partial Sales'!$C$3:$C$500,$A137,'Partial Sales'!$B$3:$B$500,"&gt;="&amp;DATE($B137,1,1),'Partial Sales'!$B$3:$B$500,"&lt;="&amp;DATE($B137,12,31))/1000</f>
        <v>0</v>
      </c>
      <c r="I137" s="9" t="n">
        <f aca="false">SUMIFS('Partial Purchases'!$D$3:$D$500,'Partial Purchases'!$C$3:$C$500,$A137,'Partial Purchases'!$B$3:$B$500,"&gt;="&amp;DATE($B137,1,1),'Partial Purchases'!$B$3:$B$500,"&lt;="&amp;DATE($B137,12,31))/1000</f>
        <v>0</v>
      </c>
      <c r="J137" s="9" t="n">
        <f aca="false">C137*(D137+0.5*(G137-H137+I137-F137))</f>
        <v>105188.52755</v>
      </c>
      <c r="K137" s="9" t="n">
        <f aca="false">C137*(E137-D137+H137-G137-I137)</f>
        <v>11100</v>
      </c>
      <c r="L137" s="13" t="n">
        <f aca="false">IF(J137=0,"",C137*F137/J137)</f>
        <v>0.0333015869847111</v>
      </c>
      <c r="M137" s="13" t="n">
        <f aca="false">IF(J137=0,"",K137/J137)</f>
        <v>0.105524815857164</v>
      </c>
      <c r="N137" s="13" t="n">
        <f aca="false">IF(J137=0,"",L137+M137)</f>
        <v>0.138826402841875</v>
      </c>
    </row>
    <row r="138" customFormat="false" ht="15" hidden="false" customHeight="false" outlineLevel="0" collapsed="false">
      <c r="A138" s="8" t="s">
        <v>21</v>
      </c>
      <c r="B138" s="48" t="n">
        <v>2010</v>
      </c>
      <c r="C138" s="10" t="n">
        <f aca="false">IF(D138&gt;0,1,0)</f>
        <v>1</v>
      </c>
      <c r="D138" s="9" t="n">
        <f aca="false">IF(SUMIFS(Sales!$D$3:$D$500,Sales!$C$3:$C$500,$A138,Sales!$B$3:$B$500,"&lt;="&amp;DATE($B138-1,12,31))&gt;0,0,SUMIFS('Asset Value'!$F$4:$F$500,'Asset Value'!$C$4:$C$500,$A138,'Asset Value'!$B$4:$B$500,$B138-1)/1000)</f>
        <v>118040</v>
      </c>
      <c r="E138" s="9" t="n">
        <f aca="false">IF(SUMIFS(Sales!$D$3:$D$500,Sales!$C$3:$C$500,$A138,Sales!$B$3:$B$500,"&gt;="&amp;DATE($B138,1,1),Sales!$B$3:$B$500,"&lt;="&amp;DATE($B138,12,31))&gt;0,SUMIFS(Sales!$D$3:$D$500,Sales!$C$3:$C$500,$A138,Sales!$B$3:$B$500,"&gt;="&amp;DATE($B138,1,1),Sales!$B$3:$B$500,"&lt;="&amp;DATE($B138,12,31))/1000,SUMIFS('Asset Value'!$F$4:$F$500,'Asset Value'!$C$4:$C$500,$A138,'Asset Value'!$B$4:$B$500,$B138)/1000)</f>
        <v>142170</v>
      </c>
      <c r="F138" s="9" t="n">
        <f aca="false">SUMIFS(Rent!$E$3:$E$500,Rent!$D$3:$D$500,$A138,Rent!$C$3:$C$500,$B138)/1000</f>
        <v>3907.13085</v>
      </c>
      <c r="G138" s="9" t="n">
        <f aca="false">SUMIFS(Costs!$D$3:$D$500,Costs!$C$3:$C$500,$A138,Costs!$B$3:$B$500,"&gt;="&amp;DATE($B138,1,1),Costs!$B$3:$B$500,"&lt;="&amp;DATE($B138,12,31))/1000</f>
        <v>0</v>
      </c>
      <c r="H138" s="9" t="n">
        <f aca="false">SUMIFS('Partial Sales'!$D$3:$D$500,'Partial Sales'!$C$3:$C$500,$A138,'Partial Sales'!$B$3:$B$500,"&gt;="&amp;DATE($B138,1,1),'Partial Sales'!$B$3:$B$500,"&lt;="&amp;DATE($B138,12,31))/1000</f>
        <v>0</v>
      </c>
      <c r="I138" s="9" t="n">
        <f aca="false">SUMIFS('Partial Purchases'!$D$3:$D$500,'Partial Purchases'!$C$3:$C$500,$A138,'Partial Purchases'!$B$3:$B$500,"&gt;="&amp;DATE($B138,1,1),'Partial Purchases'!$B$3:$B$500,"&lt;="&amp;DATE($B138,12,31))/1000</f>
        <v>0</v>
      </c>
      <c r="J138" s="9" t="n">
        <f aca="false">C138*(D138+0.5*(G138-H138+I138-F138))</f>
        <v>116086.434575</v>
      </c>
      <c r="K138" s="9" t="n">
        <f aca="false">C138*(E138-D138+H138-G138-I138)</f>
        <v>24130</v>
      </c>
      <c r="L138" s="13" t="n">
        <f aca="false">IF(J138=0,"",C138*F138/J138)</f>
        <v>0.0336570837437144</v>
      </c>
      <c r="M138" s="13" t="n">
        <f aca="false">IF(J138=0,"",K138/J138)</f>
        <v>0.207862357805557</v>
      </c>
      <c r="N138" s="13" t="n">
        <f aca="false">IF(J138=0,"",L138+M138)</f>
        <v>0.241519441549271</v>
      </c>
    </row>
    <row r="139" customFormat="false" ht="15" hidden="false" customHeight="false" outlineLevel="0" collapsed="false">
      <c r="A139" s="8" t="s">
        <v>21</v>
      </c>
      <c r="B139" s="48" t="n">
        <v>2011</v>
      </c>
      <c r="C139" s="10" t="n">
        <f aca="false">IF(D139&gt;0,1,0)</f>
        <v>1</v>
      </c>
      <c r="D139" s="9" t="n">
        <f aca="false">IF(SUMIFS(Sales!$D$3:$D$500,Sales!$C$3:$C$500,$A139,Sales!$B$3:$B$500,"&lt;="&amp;DATE($B139-1,12,31))&gt;0,0,SUMIFS('Asset Value'!$F$4:$F$500,'Asset Value'!$C$4:$C$500,$A139,'Asset Value'!$B$4:$B$500,$B139-1)/1000)</f>
        <v>142170</v>
      </c>
      <c r="E139" s="9" t="n">
        <f aca="false">IF(SUMIFS(Sales!$D$3:$D$500,Sales!$C$3:$C$500,$A139,Sales!$B$3:$B$500,"&gt;="&amp;DATE($B139,1,1),Sales!$B$3:$B$500,"&lt;="&amp;DATE($B139,12,31))&gt;0,SUMIFS(Sales!$D$3:$D$500,Sales!$C$3:$C$500,$A139,Sales!$B$3:$B$500,"&gt;="&amp;DATE($B139,1,1),Sales!$B$3:$B$500,"&lt;="&amp;DATE($B139,12,31))/1000,SUMIFS('Asset Value'!$F$4:$F$500,'Asset Value'!$C$4:$C$500,$A139,'Asset Value'!$B$4:$B$500,$B139)/1000)</f>
        <v>172970</v>
      </c>
      <c r="F139" s="9" t="n">
        <f aca="false">SUMIFS(Rent!$E$3:$E$500,Rent!$D$3:$D$500,$A139,Rent!$C$3:$C$500,$B139)/1000</f>
        <v>4417.44924</v>
      </c>
      <c r="G139" s="9" t="n">
        <f aca="false">SUMIFS(Costs!$D$3:$D$500,Costs!$C$3:$C$500,$A139,Costs!$B$3:$B$500,"&gt;="&amp;DATE($B139,1,1),Costs!$B$3:$B$500,"&lt;="&amp;DATE($B139,12,31))/1000</f>
        <v>0</v>
      </c>
      <c r="H139" s="9" t="n">
        <f aca="false">SUMIFS('Partial Sales'!$D$3:$D$500,'Partial Sales'!$C$3:$C$500,$A139,'Partial Sales'!$B$3:$B$500,"&gt;="&amp;DATE($B139,1,1),'Partial Sales'!$B$3:$B$500,"&lt;="&amp;DATE($B139,12,31))/1000</f>
        <v>0</v>
      </c>
      <c r="I139" s="9" t="n">
        <f aca="false">SUMIFS('Partial Purchases'!$D$3:$D$500,'Partial Purchases'!$C$3:$C$500,$A139,'Partial Purchases'!$B$3:$B$500,"&gt;="&amp;DATE($B139,1,1),'Partial Purchases'!$B$3:$B$500,"&lt;="&amp;DATE($B139,12,31))/1000</f>
        <v>0</v>
      </c>
      <c r="J139" s="9" t="n">
        <f aca="false">C139*(D139+0.5*(G139-H139+I139-F139))</f>
        <v>139961.27538</v>
      </c>
      <c r="K139" s="9" t="n">
        <f aca="false">C139*(E139-D139+H139-G139-I139)</f>
        <v>30800</v>
      </c>
      <c r="L139" s="13" t="n">
        <f aca="false">IF(J139=0,"",C139*F139/J139)</f>
        <v>0.0315619390292526</v>
      </c>
      <c r="M139" s="13" t="n">
        <f aca="false">IF(J139=0,"",K139/J139)</f>
        <v>0.220060869811145</v>
      </c>
      <c r="N139" s="13" t="n">
        <f aca="false">IF(J139=0,"",L139+M139)</f>
        <v>0.251622808840398</v>
      </c>
    </row>
    <row r="140" customFormat="false" ht="15" hidden="false" customHeight="false" outlineLevel="0" collapsed="false">
      <c r="A140" s="8" t="s">
        <v>21</v>
      </c>
      <c r="B140" s="48" t="n">
        <v>2012</v>
      </c>
      <c r="C140" s="10" t="n">
        <f aca="false">IF(D140&gt;0,1,0)</f>
        <v>1</v>
      </c>
      <c r="D140" s="9" t="n">
        <f aca="false">IF(SUMIFS(Sales!$D$3:$D$500,Sales!$C$3:$C$500,$A140,Sales!$B$3:$B$500,"&lt;="&amp;DATE($B140-1,12,31))&gt;0,0,SUMIFS('Asset Value'!$F$4:$F$500,'Asset Value'!$C$4:$C$500,$A140,'Asset Value'!$B$4:$B$500,$B140-1)/1000)</f>
        <v>172970</v>
      </c>
      <c r="E140" s="9" t="n">
        <f aca="false">IF(SUMIFS(Sales!$D$3:$D$500,Sales!$C$3:$C$500,$A140,Sales!$B$3:$B$500,"&gt;="&amp;DATE($B140,1,1),Sales!$B$3:$B$500,"&lt;="&amp;DATE($B140,12,31))&gt;0,SUMIFS(Sales!$D$3:$D$500,Sales!$C$3:$C$500,$A140,Sales!$B$3:$B$500,"&gt;="&amp;DATE($B140,1,1),Sales!$B$3:$B$500,"&lt;="&amp;DATE($B140,12,31))/1000,SUMIFS('Asset Value'!$F$4:$F$500,'Asset Value'!$C$4:$C$500,$A140,'Asset Value'!$B$4:$B$500,$B140)/1000)</f>
        <v>197471</v>
      </c>
      <c r="F140" s="9" t="n">
        <f aca="false">SUMIFS(Rent!$E$3:$E$500,Rent!$D$3:$D$500,$A140,Rent!$C$3:$C$500,$B140)/1000</f>
        <v>9821</v>
      </c>
      <c r="G140" s="9" t="n">
        <f aca="false">SUMIFS(Costs!$D$3:$D$500,Costs!$C$3:$C$500,$A140,Costs!$B$3:$B$500,"&gt;="&amp;DATE($B140,1,1),Costs!$B$3:$B$500,"&lt;="&amp;DATE($B140,12,31))/1000</f>
        <v>0</v>
      </c>
      <c r="H140" s="9" t="n">
        <f aca="false">SUMIFS('Partial Sales'!$D$3:$D$500,'Partial Sales'!$C$3:$C$500,$A140,'Partial Sales'!$B$3:$B$500,"&gt;="&amp;DATE($B140,1,1),'Partial Sales'!$B$3:$B$500,"&lt;="&amp;DATE($B140,12,31))/1000</f>
        <v>0</v>
      </c>
      <c r="I140" s="9" t="n">
        <f aca="false">SUMIFS('Partial Purchases'!$D$3:$D$500,'Partial Purchases'!$C$3:$C$500,$A140,'Partial Purchases'!$B$3:$B$500,"&gt;="&amp;DATE($B140,1,1),'Partial Purchases'!$B$3:$B$500,"&lt;="&amp;DATE($B140,12,31))/1000</f>
        <v>0</v>
      </c>
      <c r="J140" s="9" t="n">
        <f aca="false">C140*(D140+0.5*(G140-H140+I140-F140))</f>
        <v>168059.5</v>
      </c>
      <c r="K140" s="9" t="n">
        <f aca="false">C140*(E140-D140+H140-G140-I140)</f>
        <v>24501</v>
      </c>
      <c r="L140" s="13" t="n">
        <f aca="false">IF(J140=0,"",C140*F140/J140)</f>
        <v>0.0584376366703459</v>
      </c>
      <c r="M140" s="13" t="n">
        <f aca="false">IF(J140=0,"",K140/J140)</f>
        <v>0.145787652587328</v>
      </c>
      <c r="N140" s="13" t="n">
        <f aca="false">IF(J140=0,"",L140+M140)</f>
        <v>0.204225289257674</v>
      </c>
    </row>
    <row r="141" customFormat="false" ht="15" hidden="false" customHeight="false" outlineLevel="0" collapsed="false">
      <c r="A141" s="8" t="s">
        <v>21</v>
      </c>
      <c r="B141" s="48" t="n">
        <v>2013</v>
      </c>
      <c r="C141" s="10" t="n">
        <f aca="false">IF(D141&gt;0,1,0)</f>
        <v>1</v>
      </c>
      <c r="D141" s="9" t="n">
        <f aca="false">IF(SUMIFS(Sales!$D$3:$D$500,Sales!$C$3:$C$500,$A141,Sales!$B$3:$B$500,"&lt;="&amp;DATE($B141-1,12,31))&gt;0,0,SUMIFS('Asset Value'!$F$4:$F$500,'Asset Value'!$C$4:$C$500,$A141,'Asset Value'!$B$4:$B$500,$B141-1)/1000)</f>
        <v>197471</v>
      </c>
      <c r="E141" s="9" t="n">
        <f aca="false">IF(SUMIFS(Sales!$D$3:$D$500,Sales!$C$3:$C$500,$A141,Sales!$B$3:$B$500,"&gt;="&amp;DATE($B141,1,1),Sales!$B$3:$B$500,"&lt;="&amp;DATE($B141,12,31))&gt;0,SUMIFS(Sales!$D$3:$D$500,Sales!$C$3:$C$500,$A141,Sales!$B$3:$B$500,"&gt;="&amp;DATE($B141,1,1),Sales!$B$3:$B$500,"&lt;="&amp;DATE($B141,12,31))/1000,SUMIFS('Asset Value'!$F$4:$F$500,'Asset Value'!$C$4:$C$500,$A141,'Asset Value'!$B$4:$B$500,$B141)/1000)</f>
        <v>220203</v>
      </c>
      <c r="F141" s="9" t="n">
        <f aca="false">SUMIFS(Rent!$E$3:$E$500,Rent!$D$3:$D$500,$A141,Rent!$C$3:$C$500,$B141)/1000</f>
        <v>7371</v>
      </c>
      <c r="G141" s="9" t="n">
        <f aca="false">SUMIFS(Costs!$D$3:$D$500,Costs!$C$3:$C$500,$A141,Costs!$B$3:$B$500,"&gt;="&amp;DATE($B141,1,1),Costs!$B$3:$B$500,"&lt;="&amp;DATE($B141,12,31))/1000</f>
        <v>0</v>
      </c>
      <c r="H141" s="9" t="n">
        <f aca="false">SUMIFS('Partial Sales'!$D$3:$D$500,'Partial Sales'!$C$3:$C$500,$A141,'Partial Sales'!$B$3:$B$500,"&gt;="&amp;DATE($B141,1,1),'Partial Sales'!$B$3:$B$500,"&lt;="&amp;DATE($B141,12,31))/1000</f>
        <v>0</v>
      </c>
      <c r="I141" s="9" t="n">
        <f aca="false">SUMIFS('Partial Purchases'!$D$3:$D$500,'Partial Purchases'!$C$3:$C$500,$A141,'Partial Purchases'!$B$3:$B$500,"&gt;="&amp;DATE($B141,1,1),'Partial Purchases'!$B$3:$B$500,"&lt;="&amp;DATE($B141,12,31))/1000</f>
        <v>0</v>
      </c>
      <c r="J141" s="9" t="n">
        <f aca="false">C141*(D141+0.5*(G141-H141+I141-F141))</f>
        <v>193785.5</v>
      </c>
      <c r="K141" s="9" t="n">
        <f aca="false">C141*(E141-D141+H141-G141-I141)</f>
        <v>22732</v>
      </c>
      <c r="L141" s="13" t="n">
        <f aca="false">IF(J141=0,"",C141*F141/J141)</f>
        <v>0.0380369016257666</v>
      </c>
      <c r="M141" s="13" t="n">
        <f aca="false">IF(J141=0,"",K141/J141)</f>
        <v>0.117304958317315</v>
      </c>
      <c r="N141" s="13" t="n">
        <f aca="false">IF(J141=0,"",L141+M141)</f>
        <v>0.155341859943081</v>
      </c>
    </row>
    <row r="142" customFormat="false" ht="15" hidden="false" customHeight="false" outlineLevel="0" collapsed="false">
      <c r="A142" s="8" t="s">
        <v>21</v>
      </c>
      <c r="B142" s="48" t="n">
        <v>2014</v>
      </c>
      <c r="C142" s="10" t="n">
        <f aca="false">IF(D142&gt;0,1,0)</f>
        <v>1</v>
      </c>
      <c r="D142" s="9" t="n">
        <f aca="false">IF(SUMIFS(Sales!$D$3:$D$500,Sales!$C$3:$C$500,$A142,Sales!$B$3:$B$500,"&lt;="&amp;DATE($B142-1,12,31))&gt;0,0,SUMIFS('Asset Value'!$F$4:$F$500,'Asset Value'!$C$4:$C$500,$A142,'Asset Value'!$B$4:$B$500,$B142-1)/1000)</f>
        <v>220203</v>
      </c>
      <c r="E142" s="9" t="n">
        <f aca="false">IF(SUMIFS(Sales!$D$3:$D$500,Sales!$C$3:$C$500,$A142,Sales!$B$3:$B$500,"&gt;="&amp;DATE($B142,1,1),Sales!$B$3:$B$500,"&lt;="&amp;DATE($B142,12,31))&gt;0,SUMIFS(Sales!$D$3:$D$500,Sales!$C$3:$C$500,$A142,Sales!$B$3:$B$500,"&gt;="&amp;DATE($B142,1,1),Sales!$B$3:$B$500,"&lt;="&amp;DATE($B142,12,31))/1000,SUMIFS('Asset Value'!$F$4:$F$500,'Asset Value'!$C$4:$C$500,$A142,'Asset Value'!$B$4:$B$500,$B142)/1000)</f>
        <v>229674</v>
      </c>
      <c r="F142" s="9" t="n">
        <f aca="false">SUMIFS(Rent!$E$3:$E$500,Rent!$D$3:$D$500,$A142,Rent!$C$3:$C$500,$B142)/1000</f>
        <v>8241</v>
      </c>
      <c r="G142" s="9" t="n">
        <f aca="false">SUMIFS(Costs!$D$3:$D$500,Costs!$C$3:$C$500,$A142,Costs!$B$3:$B$500,"&gt;="&amp;DATE($B142,1,1),Costs!$B$3:$B$500,"&lt;="&amp;DATE($B142,12,31))/1000</f>
        <v>0</v>
      </c>
      <c r="H142" s="9" t="n">
        <f aca="false">SUMIFS('Partial Sales'!$D$3:$D$500,'Partial Sales'!$C$3:$C$500,$A142,'Partial Sales'!$B$3:$B$500,"&gt;="&amp;DATE($B142,1,1),'Partial Sales'!$B$3:$B$500,"&lt;="&amp;DATE($B142,12,31))/1000</f>
        <v>0</v>
      </c>
      <c r="I142" s="9" t="n">
        <f aca="false">SUMIFS('Partial Purchases'!$D$3:$D$500,'Partial Purchases'!$C$3:$C$500,$A142,'Partial Purchases'!$B$3:$B$500,"&gt;="&amp;DATE($B142,1,1),'Partial Purchases'!$B$3:$B$500,"&lt;="&amp;DATE($B142,12,31))/1000</f>
        <v>0</v>
      </c>
      <c r="J142" s="9" t="n">
        <f aca="false">C142*(D142+0.5*(G142-H142+I142-F142))</f>
        <v>216082.5</v>
      </c>
      <c r="K142" s="9" t="n">
        <f aca="false">C142*(E142-D142+H142-G142-I142)</f>
        <v>9471</v>
      </c>
      <c r="L142" s="13" t="n">
        <f aca="false">IF(J142=0,"",C142*F142/J142)</f>
        <v>0.0381382110999271</v>
      </c>
      <c r="M142" s="13" t="n">
        <f aca="false">IF(J142=0,"",K142/J142)</f>
        <v>0.0438304814133491</v>
      </c>
      <c r="N142" s="13" t="n">
        <f aca="false">IF(J142=0,"",L142+M142)</f>
        <v>0.0819686925132762</v>
      </c>
    </row>
    <row r="143" customFormat="false" ht="15" hidden="false" customHeight="false" outlineLevel="0" collapsed="false">
      <c r="A143" s="49" t="s">
        <v>21</v>
      </c>
      <c r="B143" s="50" t="n">
        <v>2015</v>
      </c>
      <c r="C143" s="51" t="n">
        <f aca="false">IF(D143&gt;0,1,0)</f>
        <v>1</v>
      </c>
      <c r="D143" s="52" t="n">
        <f aca="false">IF(SUMIFS(Sales!$D$3:$D$500,Sales!$C$3:$C$500,$A143,Sales!$B$3:$B$500,"&lt;="&amp;DATE($B143-1,12,31))&gt;0,0,SUMIFS('Asset Value'!$F$4:$F$500,'Asset Value'!$C$4:$C$500,$A143,'Asset Value'!$B$4:$B$500,$B143-1)/1000)</f>
        <v>229674</v>
      </c>
      <c r="E143" s="52" t="n">
        <f aca="false">IF(SUMIFS(Sales!$D$3:$D$500,Sales!$C$3:$C$500,$A143,Sales!$B$3:$B$500,"&gt;="&amp;DATE($B143,1,1),Sales!$B$3:$B$500,"&lt;="&amp;DATE($B143,12,31))&gt;0,SUMIFS(Sales!$D$3:$D$500,Sales!$C$3:$C$500,$A143,Sales!$B$3:$B$500,"&gt;="&amp;DATE($B143,1,1),Sales!$B$3:$B$500,"&lt;="&amp;DATE($B143,12,31))/1000,SUMIFS('Asset Value'!$F$4:$F$500,'Asset Value'!$C$4:$C$500,$A143,'Asset Value'!$B$4:$B$500,$B143)/1000)</f>
        <v>234550</v>
      </c>
      <c r="F143" s="52" t="n">
        <f aca="false">SUMIFS(Rent!$E$3:$E$500,Rent!$D$3:$D$500,$A143,Rent!$C$3:$C$500,$B143)/1000</f>
        <v>8398</v>
      </c>
      <c r="G143" s="52" t="n">
        <f aca="false">SUMIFS(Costs!$D$3:$D$500,Costs!$C$3:$C$500,$A143,Costs!$B$3:$B$500,"&gt;="&amp;DATE($B143,1,1),Costs!$B$3:$B$500,"&lt;="&amp;DATE($B143,12,31))/1000</f>
        <v>0</v>
      </c>
      <c r="H143" s="52" t="n">
        <f aca="false">SUMIFS('Partial Sales'!$D$3:$D$500,'Partial Sales'!$C$3:$C$500,$A143,'Partial Sales'!$B$3:$B$500,"&gt;="&amp;DATE($B143,1,1),'Partial Sales'!$B$3:$B$500,"&lt;="&amp;DATE($B143,12,31))/1000</f>
        <v>0</v>
      </c>
      <c r="I143" s="52" t="n">
        <f aca="false">SUMIFS('Partial Purchases'!$D$3:$D$500,'Partial Purchases'!$C$3:$C$500,$A143,'Partial Purchases'!$B$3:$B$500,"&gt;="&amp;DATE($B143,1,1),'Partial Purchases'!$B$3:$B$500,"&lt;="&amp;DATE($B143,12,31))/1000</f>
        <v>0</v>
      </c>
      <c r="J143" s="52" t="n">
        <f aca="false">C143*(D143+0.5*(G143-H143+I143-F143))</f>
        <v>225475</v>
      </c>
      <c r="K143" s="52" t="n">
        <f aca="false">C143*(E143-D143+H143-G143-I143)</f>
        <v>4876</v>
      </c>
      <c r="L143" s="46" t="n">
        <f aca="false">IF(J143=0,"",C143*F143/J143)</f>
        <v>0.0372458143918395</v>
      </c>
      <c r="M143" s="46" t="n">
        <f aca="false">IF(J143=0,"",K143/J143)</f>
        <v>0.0216254573677791</v>
      </c>
      <c r="N143" s="46" t="n">
        <f aca="false">IF(J143=0,"",L143+M143)</f>
        <v>0.0588712717596186</v>
      </c>
    </row>
    <row r="144" customFormat="false" ht="15" hidden="false" customHeight="false" outlineLevel="0" collapsed="false">
      <c r="A144" s="8" t="s">
        <v>22</v>
      </c>
      <c r="B144" s="48" t="n">
        <v>2008</v>
      </c>
      <c r="C144" s="10" t="n">
        <f aca="false">IF(D144&gt;0,1,0)</f>
        <v>0</v>
      </c>
      <c r="D144" s="9" t="n">
        <f aca="false">IF(SUMIFS(Sales!$D$3:$D$500,Sales!$C$3:$C$500,$A144,Sales!$B$3:$B$500,"&lt;="&amp;DATE($B144-1,12,31))&gt;0,0,SUMIFS('Asset Value'!$F$4:$F$500,'Asset Value'!$C$4:$C$500,$A144,'Asset Value'!$B$4:$B$500,$B144-1)/1000)</f>
        <v>0</v>
      </c>
      <c r="E144" s="9" t="n">
        <f aca="false">IF(SUMIFS(Sales!$D$3:$D$500,Sales!$C$3:$C$500,$A144,Sales!$B$3:$B$500,"&gt;="&amp;DATE($B144,1,1),Sales!$B$3:$B$500,"&lt;="&amp;DATE($B144,12,31))&gt;0,SUMIFS(Sales!$D$3:$D$500,Sales!$C$3:$C$500,$A144,Sales!$B$3:$B$500,"&gt;="&amp;DATE($B144,1,1),Sales!$B$3:$B$500,"&lt;="&amp;DATE($B144,12,31))/1000,SUMIFS('Asset Value'!$F$4:$F$500,'Asset Value'!$C$4:$C$500,$A144,'Asset Value'!$B$4:$B$500,$B144)/1000)</f>
        <v>75090</v>
      </c>
      <c r="F144" s="9" t="n">
        <f aca="false">SUMIFS(Rent!$E$3:$E$500,Rent!$D$3:$D$500,$A144,Rent!$C$3:$C$500,$B144)/1000</f>
        <v>2181.24</v>
      </c>
      <c r="G144" s="9" t="n">
        <f aca="false">SUMIFS(Costs!$D$3:$D$500,Costs!$C$3:$C$500,$A144,Costs!$B$3:$B$500,"&gt;="&amp;DATE($B144,1,1),Costs!$B$3:$B$500,"&lt;="&amp;DATE($B144,12,31))/1000</f>
        <v>0</v>
      </c>
      <c r="H144" s="9" t="n">
        <f aca="false">SUMIFS('Partial Sales'!$D$3:$D$500,'Partial Sales'!$C$3:$C$500,$A144,'Partial Sales'!$B$3:$B$500,"&gt;="&amp;DATE($B144,1,1),'Partial Sales'!$B$3:$B$500,"&lt;="&amp;DATE($B144,12,31))/1000</f>
        <v>0</v>
      </c>
      <c r="I144" s="9" t="n">
        <f aca="false">SUMIFS('Partial Purchases'!$D$3:$D$500,'Partial Purchases'!$C$3:$C$500,$A144,'Partial Purchases'!$B$3:$B$500,"&gt;="&amp;DATE($B144,1,1),'Partial Purchases'!$B$3:$B$500,"&lt;="&amp;DATE($B144,12,31))/1000</f>
        <v>0</v>
      </c>
      <c r="J144" s="9" t="n">
        <f aca="false">C144*(D144+0.5*(G144-H144+I144-F144))</f>
        <v>-0</v>
      </c>
      <c r="K144" s="9" t="n">
        <f aca="false">C144*(E144-D144+H144-G144-I144)</f>
        <v>0</v>
      </c>
      <c r="L144" s="13" t="str">
        <f aca="false">IF(J144=0,"",C144*F144/J144)</f>
        <v/>
      </c>
      <c r="M144" s="13" t="str">
        <f aca="false">IF(J144=0,"",K144/J144)</f>
        <v/>
      </c>
      <c r="N144" s="13" t="str">
        <f aca="false">IF(J144=0,"",L144+M144)</f>
        <v/>
      </c>
    </row>
    <row r="145" customFormat="false" ht="15" hidden="false" customHeight="false" outlineLevel="0" collapsed="false">
      <c r="A145" s="8" t="s">
        <v>22</v>
      </c>
      <c r="B145" s="48" t="n">
        <v>2009</v>
      </c>
      <c r="C145" s="10" t="n">
        <f aca="false">IF(D145&gt;0,1,0)</f>
        <v>1</v>
      </c>
      <c r="D145" s="9" t="n">
        <f aca="false">IF(SUMIFS(Sales!$D$3:$D$500,Sales!$C$3:$C$500,$A145,Sales!$B$3:$B$500,"&lt;="&amp;DATE($B145-1,12,31))&gt;0,0,SUMIFS('Asset Value'!$F$4:$F$500,'Asset Value'!$C$4:$C$500,$A145,'Asset Value'!$B$4:$B$500,$B145-1)/1000)</f>
        <v>75090</v>
      </c>
      <c r="E145" s="9" t="n">
        <f aca="false">IF(SUMIFS(Sales!$D$3:$D$500,Sales!$C$3:$C$500,$A145,Sales!$B$3:$B$500,"&gt;="&amp;DATE($B145,1,1),Sales!$B$3:$B$500,"&lt;="&amp;DATE($B145,12,31))&gt;0,SUMIFS(Sales!$D$3:$D$500,Sales!$C$3:$C$500,$A145,Sales!$B$3:$B$500,"&gt;="&amp;DATE($B145,1,1),Sales!$B$3:$B$500,"&lt;="&amp;DATE($B145,12,31))/1000,SUMIFS('Asset Value'!$F$4:$F$500,'Asset Value'!$C$4:$C$500,$A145,'Asset Value'!$B$4:$B$500,$B145)/1000)</f>
        <v>86360</v>
      </c>
      <c r="F145" s="9" t="n">
        <f aca="false">SUMIFS(Rent!$E$3:$E$500,Rent!$D$3:$D$500,$A145,Rent!$C$3:$C$500,$B145)/1000</f>
        <v>2049.84</v>
      </c>
      <c r="G145" s="9" t="n">
        <f aca="false">SUMIFS(Costs!$D$3:$D$500,Costs!$C$3:$C$500,$A145,Costs!$B$3:$B$500,"&gt;="&amp;DATE($B145,1,1),Costs!$B$3:$B$500,"&lt;="&amp;DATE($B145,12,31))/1000</f>
        <v>0</v>
      </c>
      <c r="H145" s="9" t="n">
        <f aca="false">SUMIFS('Partial Sales'!$D$3:$D$500,'Partial Sales'!$C$3:$C$500,$A145,'Partial Sales'!$B$3:$B$500,"&gt;="&amp;DATE($B145,1,1),'Partial Sales'!$B$3:$B$500,"&lt;="&amp;DATE($B145,12,31))/1000</f>
        <v>0</v>
      </c>
      <c r="I145" s="9" t="n">
        <f aca="false">SUMIFS('Partial Purchases'!$D$3:$D$500,'Partial Purchases'!$C$3:$C$500,$A145,'Partial Purchases'!$B$3:$B$500,"&gt;="&amp;DATE($B145,1,1),'Partial Purchases'!$B$3:$B$500,"&lt;="&amp;DATE($B145,12,31))/1000</f>
        <v>0</v>
      </c>
      <c r="J145" s="9" t="n">
        <f aca="false">C145*(D145+0.5*(G145-H145+I145-F145))</f>
        <v>74065.08</v>
      </c>
      <c r="K145" s="9" t="n">
        <f aca="false">C145*(E145-D145+H145-G145-I145)</f>
        <v>11270</v>
      </c>
      <c r="L145" s="13" t="n">
        <f aca="false">IF(J145=0,"",C145*F145/J145)</f>
        <v>0.0276762004442579</v>
      </c>
      <c r="M145" s="13" t="n">
        <f aca="false">IF(J145=0,"",K145/J145)</f>
        <v>0.152163475689218</v>
      </c>
      <c r="N145" s="13" t="n">
        <f aca="false">IF(J145=0,"",L145+M145)</f>
        <v>0.179839676133476</v>
      </c>
    </row>
    <row r="146" customFormat="false" ht="15" hidden="false" customHeight="false" outlineLevel="0" collapsed="false">
      <c r="A146" s="8" t="s">
        <v>22</v>
      </c>
      <c r="B146" s="48" t="n">
        <v>2010</v>
      </c>
      <c r="C146" s="10" t="n">
        <f aca="false">IF(D146&gt;0,1,0)</f>
        <v>1</v>
      </c>
      <c r="D146" s="9" t="n">
        <f aca="false">IF(SUMIFS(Sales!$D$3:$D$500,Sales!$C$3:$C$500,$A146,Sales!$B$3:$B$500,"&lt;="&amp;DATE($B146-1,12,31))&gt;0,0,SUMIFS('Asset Value'!$F$4:$F$500,'Asset Value'!$C$4:$C$500,$A146,'Asset Value'!$B$4:$B$500,$B146-1)/1000)</f>
        <v>86360</v>
      </c>
      <c r="E146" s="9" t="n">
        <f aca="false">IF(SUMIFS(Sales!$D$3:$D$500,Sales!$C$3:$C$500,$A146,Sales!$B$3:$B$500,"&gt;="&amp;DATE($B146,1,1),Sales!$B$3:$B$500,"&lt;="&amp;DATE($B146,12,31))&gt;0,SUMIFS(Sales!$D$3:$D$500,Sales!$C$3:$C$500,$A146,Sales!$B$3:$B$500,"&gt;="&amp;DATE($B146,1,1),Sales!$B$3:$B$500,"&lt;="&amp;DATE($B146,12,31))/1000,SUMIFS('Asset Value'!$F$4:$F$500,'Asset Value'!$C$4:$C$500,$A146,'Asset Value'!$B$4:$B$500,$B146)/1000)</f>
        <v>102810</v>
      </c>
      <c r="F146" s="9" t="n">
        <f aca="false">SUMIFS(Rent!$E$3:$E$500,Rent!$D$3:$D$500,$A146,Rent!$C$3:$C$500,$B146)/1000</f>
        <v>2897.28</v>
      </c>
      <c r="G146" s="9" t="n">
        <f aca="false">SUMIFS(Costs!$D$3:$D$500,Costs!$C$3:$C$500,$A146,Costs!$B$3:$B$500,"&gt;="&amp;DATE($B146,1,1),Costs!$B$3:$B$500,"&lt;="&amp;DATE($B146,12,31))/1000</f>
        <v>0</v>
      </c>
      <c r="H146" s="9" t="n">
        <f aca="false">SUMIFS('Partial Sales'!$D$3:$D$500,'Partial Sales'!$C$3:$C$500,$A146,'Partial Sales'!$B$3:$B$500,"&gt;="&amp;DATE($B146,1,1),'Partial Sales'!$B$3:$B$500,"&lt;="&amp;DATE($B146,12,31))/1000</f>
        <v>0</v>
      </c>
      <c r="I146" s="9" t="n">
        <f aca="false">SUMIFS('Partial Purchases'!$D$3:$D$500,'Partial Purchases'!$C$3:$C$500,$A146,'Partial Purchases'!$B$3:$B$500,"&gt;="&amp;DATE($B146,1,1),'Partial Purchases'!$B$3:$B$500,"&lt;="&amp;DATE($B146,12,31))/1000</f>
        <v>0</v>
      </c>
      <c r="J146" s="9" t="n">
        <f aca="false">C146*(D146+0.5*(G146-H146+I146-F146))</f>
        <v>84911.36</v>
      </c>
      <c r="K146" s="9" t="n">
        <f aca="false">C146*(E146-D146+H146-G146-I146)</f>
        <v>16450</v>
      </c>
      <c r="L146" s="13" t="n">
        <f aca="false">IF(J146=0,"",C146*F146/J146)</f>
        <v>0.0341212294797775</v>
      </c>
      <c r="M146" s="13" t="n">
        <f aca="false">IF(J146=0,"",K146/J146)</f>
        <v>0.19373143946817</v>
      </c>
      <c r="N146" s="13" t="n">
        <f aca="false">IF(J146=0,"",L146+M146)</f>
        <v>0.227852668947948</v>
      </c>
    </row>
    <row r="147" customFormat="false" ht="15" hidden="false" customHeight="false" outlineLevel="0" collapsed="false">
      <c r="A147" s="8" t="s">
        <v>22</v>
      </c>
      <c r="B147" s="48" t="n">
        <v>2011</v>
      </c>
      <c r="C147" s="10" t="n">
        <f aca="false">IF(D147&gt;0,1,0)</f>
        <v>1</v>
      </c>
      <c r="D147" s="9" t="n">
        <f aca="false">IF(SUMIFS(Sales!$D$3:$D$500,Sales!$C$3:$C$500,$A147,Sales!$B$3:$B$500,"&lt;="&amp;DATE($B147-1,12,31))&gt;0,0,SUMIFS('Asset Value'!$F$4:$F$500,'Asset Value'!$C$4:$C$500,$A147,'Asset Value'!$B$4:$B$500,$B147-1)/1000)</f>
        <v>102810</v>
      </c>
      <c r="E147" s="9" t="n">
        <f aca="false">IF(SUMIFS(Sales!$D$3:$D$500,Sales!$C$3:$C$500,$A147,Sales!$B$3:$B$500,"&gt;="&amp;DATE($B147,1,1),Sales!$B$3:$B$500,"&lt;="&amp;DATE($B147,12,31))&gt;0,SUMIFS(Sales!$D$3:$D$500,Sales!$C$3:$C$500,$A147,Sales!$B$3:$B$500,"&gt;="&amp;DATE($B147,1,1),Sales!$B$3:$B$500,"&lt;="&amp;DATE($B147,12,31))/1000,SUMIFS('Asset Value'!$F$4:$F$500,'Asset Value'!$C$4:$C$500,$A147,'Asset Value'!$B$4:$B$500,$B147)/1000)</f>
        <v>146710</v>
      </c>
      <c r="F147" s="9" t="n">
        <f aca="false">SUMIFS(Rent!$E$3:$E$500,Rent!$D$3:$D$500,$A147,Rent!$C$3:$C$500,$B147)/1000</f>
        <v>3924.8868575</v>
      </c>
      <c r="G147" s="9" t="n">
        <f aca="false">SUMIFS(Costs!$D$3:$D$500,Costs!$C$3:$C$500,$A147,Costs!$B$3:$B$500,"&gt;="&amp;DATE($B147,1,1),Costs!$B$3:$B$500,"&lt;="&amp;DATE($B147,12,31))/1000</f>
        <v>0</v>
      </c>
      <c r="H147" s="9" t="n">
        <f aca="false">SUMIFS('Partial Sales'!$D$3:$D$500,'Partial Sales'!$C$3:$C$500,$A147,'Partial Sales'!$B$3:$B$500,"&gt;="&amp;DATE($B147,1,1),'Partial Sales'!$B$3:$B$500,"&lt;="&amp;DATE($B147,12,31))/1000</f>
        <v>0</v>
      </c>
      <c r="I147" s="9" t="n">
        <f aca="false">SUMIFS('Partial Purchases'!$D$3:$D$500,'Partial Purchases'!$C$3:$C$500,$A147,'Partial Purchases'!$B$3:$B$500,"&gt;="&amp;DATE($B147,1,1),'Partial Purchases'!$B$3:$B$500,"&lt;="&amp;DATE($B147,12,31))/1000</f>
        <v>0</v>
      </c>
      <c r="J147" s="9" t="n">
        <f aca="false">C147*(D147+0.5*(G147-H147+I147-F147))</f>
        <v>100847.55657125</v>
      </c>
      <c r="K147" s="9" t="n">
        <f aca="false">C147*(E147-D147+H147-G147-I147)</f>
        <v>43900</v>
      </c>
      <c r="L147" s="13" t="n">
        <f aca="false">IF(J147=0,"",C147*F147/J147)</f>
        <v>0.0389190079655229</v>
      </c>
      <c r="M147" s="13" t="n">
        <f aca="false">IF(J147=0,"",K147/J147)</f>
        <v>0.435310497275005</v>
      </c>
      <c r="N147" s="13" t="n">
        <f aca="false">IF(J147=0,"",L147+M147)</f>
        <v>0.474229505240528</v>
      </c>
    </row>
    <row r="148" customFormat="false" ht="15" hidden="false" customHeight="false" outlineLevel="0" collapsed="false">
      <c r="A148" s="8" t="s">
        <v>22</v>
      </c>
      <c r="B148" s="48" t="n">
        <v>2012</v>
      </c>
      <c r="C148" s="10" t="n">
        <f aca="false">IF(D148&gt;0,1,0)</f>
        <v>1</v>
      </c>
      <c r="D148" s="9" t="n">
        <f aca="false">IF(SUMIFS(Sales!$D$3:$D$500,Sales!$C$3:$C$500,$A148,Sales!$B$3:$B$500,"&lt;="&amp;DATE($B148-1,12,31))&gt;0,0,SUMIFS('Asset Value'!$F$4:$F$500,'Asset Value'!$C$4:$C$500,$A148,'Asset Value'!$B$4:$B$500,$B148-1)/1000)</f>
        <v>146710</v>
      </c>
      <c r="E148" s="9" t="n">
        <f aca="false">IF(SUMIFS(Sales!$D$3:$D$500,Sales!$C$3:$C$500,$A148,Sales!$B$3:$B$500,"&gt;="&amp;DATE($B148,1,1),Sales!$B$3:$B$500,"&lt;="&amp;DATE($B148,12,31))&gt;0,SUMIFS(Sales!$D$3:$D$500,Sales!$C$3:$C$500,$A148,Sales!$B$3:$B$500,"&gt;="&amp;DATE($B148,1,1),Sales!$B$3:$B$500,"&lt;="&amp;DATE($B148,12,31))/1000,SUMIFS('Asset Value'!$F$4:$F$500,'Asset Value'!$C$4:$C$500,$A148,'Asset Value'!$B$4:$B$500,$B148)/1000)</f>
        <v>167470</v>
      </c>
      <c r="F148" s="9" t="n">
        <f aca="false">SUMIFS(Rent!$E$3:$E$500,Rent!$D$3:$D$500,$A148,Rent!$C$3:$C$500,$B148)/1000</f>
        <v>7989</v>
      </c>
      <c r="G148" s="9" t="n">
        <f aca="false">SUMIFS(Costs!$D$3:$D$500,Costs!$C$3:$C$500,$A148,Costs!$B$3:$B$500,"&gt;="&amp;DATE($B148,1,1),Costs!$B$3:$B$500,"&lt;="&amp;DATE($B148,12,31))/1000</f>
        <v>0</v>
      </c>
      <c r="H148" s="9" t="n">
        <f aca="false">SUMIFS('Partial Sales'!$D$3:$D$500,'Partial Sales'!$C$3:$C$500,$A148,'Partial Sales'!$B$3:$B$500,"&gt;="&amp;DATE($B148,1,1),'Partial Sales'!$B$3:$B$500,"&lt;="&amp;DATE($B148,12,31))/1000</f>
        <v>0</v>
      </c>
      <c r="I148" s="9" t="n">
        <f aca="false">SUMIFS('Partial Purchases'!$D$3:$D$500,'Partial Purchases'!$C$3:$C$500,$A148,'Partial Purchases'!$B$3:$B$500,"&gt;="&amp;DATE($B148,1,1),'Partial Purchases'!$B$3:$B$500,"&lt;="&amp;DATE($B148,12,31))/1000</f>
        <v>0</v>
      </c>
      <c r="J148" s="9" t="n">
        <f aca="false">C148*(D148+0.5*(G148-H148+I148-F148))</f>
        <v>142715.5</v>
      </c>
      <c r="K148" s="9" t="n">
        <f aca="false">C148*(E148-D148+H148-G148-I148)</f>
        <v>20760</v>
      </c>
      <c r="L148" s="13" t="n">
        <f aca="false">IF(J148=0,"",C148*F148/J148)</f>
        <v>0.0559785026854126</v>
      </c>
      <c r="M148" s="13" t="n">
        <f aca="false">IF(J148=0,"",K148/J148)</f>
        <v>0.145464227781846</v>
      </c>
      <c r="N148" s="13" t="n">
        <f aca="false">IF(J148=0,"",L148+M148)</f>
        <v>0.201442730467258</v>
      </c>
    </row>
    <row r="149" customFormat="false" ht="15" hidden="false" customHeight="false" outlineLevel="0" collapsed="false">
      <c r="A149" s="8" t="s">
        <v>22</v>
      </c>
      <c r="B149" s="48" t="n">
        <v>2013</v>
      </c>
      <c r="C149" s="10" t="n">
        <f aca="false">IF(D149&gt;0,1,0)</f>
        <v>1</v>
      </c>
      <c r="D149" s="9" t="n">
        <f aca="false">IF(SUMIFS(Sales!$D$3:$D$500,Sales!$C$3:$C$500,$A149,Sales!$B$3:$B$500,"&lt;="&amp;DATE($B149-1,12,31))&gt;0,0,SUMIFS('Asset Value'!$F$4:$F$500,'Asset Value'!$C$4:$C$500,$A149,'Asset Value'!$B$4:$B$500,$B149-1)/1000)</f>
        <v>167470</v>
      </c>
      <c r="E149" s="9" t="n">
        <f aca="false">IF(SUMIFS(Sales!$D$3:$D$500,Sales!$C$3:$C$500,$A149,Sales!$B$3:$B$500,"&gt;="&amp;DATE($B149,1,1),Sales!$B$3:$B$500,"&lt;="&amp;DATE($B149,12,31))&gt;0,SUMIFS(Sales!$D$3:$D$500,Sales!$C$3:$C$500,$A149,Sales!$B$3:$B$500,"&gt;="&amp;DATE($B149,1,1),Sales!$B$3:$B$500,"&lt;="&amp;DATE($B149,12,31))/1000,SUMIFS('Asset Value'!$F$4:$F$500,'Asset Value'!$C$4:$C$500,$A149,'Asset Value'!$B$4:$B$500,$B149)/1000)</f>
        <v>145456</v>
      </c>
      <c r="F149" s="9" t="n">
        <f aca="false">SUMIFS(Rent!$E$3:$E$500,Rent!$D$3:$D$500,$A149,Rent!$C$3:$C$500,$B149)/1000</f>
        <v>5372</v>
      </c>
      <c r="G149" s="9" t="n">
        <f aca="false">SUMIFS(Costs!$D$3:$D$500,Costs!$C$3:$C$500,$A149,Costs!$B$3:$B$500,"&gt;="&amp;DATE($B149,1,1),Costs!$B$3:$B$500,"&lt;="&amp;DATE($B149,12,31))/1000</f>
        <v>0</v>
      </c>
      <c r="H149" s="9" t="n">
        <f aca="false">SUMIFS('Partial Sales'!$D$3:$D$500,'Partial Sales'!$C$3:$C$500,$A149,'Partial Sales'!$B$3:$B$500,"&gt;="&amp;DATE($B149,1,1),'Partial Sales'!$B$3:$B$500,"&lt;="&amp;DATE($B149,12,31))/1000</f>
        <v>0</v>
      </c>
      <c r="I149" s="9" t="n">
        <f aca="false">SUMIFS('Partial Purchases'!$D$3:$D$500,'Partial Purchases'!$C$3:$C$500,$A149,'Partial Purchases'!$B$3:$B$500,"&gt;="&amp;DATE($B149,1,1),'Partial Purchases'!$B$3:$B$500,"&lt;="&amp;DATE($B149,12,31))/1000</f>
        <v>0</v>
      </c>
      <c r="J149" s="9" t="n">
        <f aca="false">C149*(D149+0.5*(G149-H149+I149-F149))</f>
        <v>164784</v>
      </c>
      <c r="K149" s="9" t="n">
        <f aca="false">C149*(E149-D149+H149-G149-I149)</f>
        <v>-22014</v>
      </c>
      <c r="L149" s="13" t="n">
        <f aca="false">IF(J149=0,"",C149*F149/J149)</f>
        <v>0.0326002524516943</v>
      </c>
      <c r="M149" s="13" t="n">
        <f aca="false">IF(J149=0,"",K149/J149)</f>
        <v>-0.133593067288086</v>
      </c>
      <c r="N149" s="13" t="n">
        <f aca="false">IF(J149=0,"",L149+M149)</f>
        <v>-0.100992814836392</v>
      </c>
    </row>
    <row r="150" customFormat="false" ht="15" hidden="false" customHeight="false" outlineLevel="0" collapsed="false">
      <c r="A150" s="8" t="s">
        <v>22</v>
      </c>
      <c r="B150" s="48" t="n">
        <v>2014</v>
      </c>
      <c r="C150" s="10" t="n">
        <f aca="false">IF(D150&gt;0,1,0)</f>
        <v>1</v>
      </c>
      <c r="D150" s="9" t="n">
        <f aca="false">IF(SUMIFS(Sales!$D$3:$D$500,Sales!$C$3:$C$500,$A150,Sales!$B$3:$B$500,"&lt;="&amp;DATE($B150-1,12,31))&gt;0,0,SUMIFS('Asset Value'!$F$4:$F$500,'Asset Value'!$C$4:$C$500,$A150,'Asset Value'!$B$4:$B$500,$B150-1)/1000)</f>
        <v>145456</v>
      </c>
      <c r="E150" s="9" t="n">
        <f aca="false">IF(SUMIFS(Sales!$D$3:$D$500,Sales!$C$3:$C$500,$A150,Sales!$B$3:$B$500,"&gt;="&amp;DATE($B150,1,1),Sales!$B$3:$B$500,"&lt;="&amp;DATE($B150,12,31))&gt;0,SUMIFS(Sales!$D$3:$D$500,Sales!$C$3:$C$500,$A150,Sales!$B$3:$B$500,"&gt;="&amp;DATE($B150,1,1),Sales!$B$3:$B$500,"&lt;="&amp;DATE($B150,12,31))/1000,SUMIFS('Asset Value'!$F$4:$F$500,'Asset Value'!$C$4:$C$500,$A150,'Asset Value'!$B$4:$B$500,$B150)/1000)</f>
        <v>156350</v>
      </c>
      <c r="F150" s="9" t="n">
        <f aca="false">SUMIFS(Rent!$E$3:$E$500,Rent!$D$3:$D$500,$A150,Rent!$C$3:$C$500,$B150)/1000</f>
        <v>5792</v>
      </c>
      <c r="G150" s="9" t="n">
        <f aca="false">SUMIFS(Costs!$D$3:$D$500,Costs!$C$3:$C$500,$A150,Costs!$B$3:$B$500,"&gt;="&amp;DATE($B150,1,1),Costs!$B$3:$B$500,"&lt;="&amp;DATE($B150,12,31))/1000</f>
        <v>0</v>
      </c>
      <c r="H150" s="9" t="n">
        <f aca="false">SUMIFS('Partial Sales'!$D$3:$D$500,'Partial Sales'!$C$3:$C$500,$A150,'Partial Sales'!$B$3:$B$500,"&gt;="&amp;DATE($B150,1,1),'Partial Sales'!$B$3:$B$500,"&lt;="&amp;DATE($B150,12,31))/1000</f>
        <v>0</v>
      </c>
      <c r="I150" s="9" t="n">
        <f aca="false">SUMIFS('Partial Purchases'!$D$3:$D$500,'Partial Purchases'!$C$3:$C$500,$A150,'Partial Purchases'!$B$3:$B$500,"&gt;="&amp;DATE($B150,1,1),'Partial Purchases'!$B$3:$B$500,"&lt;="&amp;DATE($B150,12,31))/1000</f>
        <v>0</v>
      </c>
      <c r="J150" s="9" t="n">
        <f aca="false">C150*(D150+0.5*(G150-H150+I150-F150))</f>
        <v>142560</v>
      </c>
      <c r="K150" s="9" t="n">
        <f aca="false">C150*(E150-D150+H150-G150-I150)</f>
        <v>10894</v>
      </c>
      <c r="L150" s="13" t="n">
        <f aca="false">IF(J150=0,"",C150*F150/J150)</f>
        <v>0.040628507295174</v>
      </c>
      <c r="M150" s="13" t="n">
        <f aca="false">IF(J150=0,"",K150/J150)</f>
        <v>0.0764169472502806</v>
      </c>
      <c r="N150" s="13" t="n">
        <f aca="false">IF(J150=0,"",L150+M150)</f>
        <v>0.117045454545455</v>
      </c>
    </row>
    <row r="151" customFormat="false" ht="15" hidden="false" customHeight="false" outlineLevel="0" collapsed="false">
      <c r="A151" s="49" t="s">
        <v>22</v>
      </c>
      <c r="B151" s="50" t="n">
        <v>2015</v>
      </c>
      <c r="C151" s="51" t="n">
        <f aca="false">IF(D151&gt;0,1,0)</f>
        <v>1</v>
      </c>
      <c r="D151" s="52" t="n">
        <f aca="false">IF(SUMIFS(Sales!$D$3:$D$500,Sales!$C$3:$C$500,$A151,Sales!$B$3:$B$500,"&lt;="&amp;DATE($B151-1,12,31))&gt;0,0,SUMIFS('Asset Value'!$F$4:$F$500,'Asset Value'!$C$4:$C$500,$A151,'Asset Value'!$B$4:$B$500,$B151-1)/1000)</f>
        <v>156350</v>
      </c>
      <c r="E151" s="52" t="n">
        <f aca="false">IF(SUMIFS(Sales!$D$3:$D$500,Sales!$C$3:$C$500,$A151,Sales!$B$3:$B$500,"&gt;="&amp;DATE($B151,1,1),Sales!$B$3:$B$500,"&lt;="&amp;DATE($B151,12,31))&gt;0,SUMIFS(Sales!$D$3:$D$500,Sales!$C$3:$C$500,$A151,Sales!$B$3:$B$500,"&gt;="&amp;DATE($B151,1,1),Sales!$B$3:$B$500,"&lt;="&amp;DATE($B151,12,31))/1000,SUMIFS('Asset Value'!$F$4:$F$500,'Asset Value'!$C$4:$C$500,$A151,'Asset Value'!$B$4:$B$500,$B151)/1000)</f>
        <v>166430</v>
      </c>
      <c r="F151" s="52" t="n">
        <f aca="false">SUMIFS(Rent!$E$3:$E$500,Rent!$D$3:$D$500,$A151,Rent!$C$3:$C$500,$B151)/1000</f>
        <v>6119</v>
      </c>
      <c r="G151" s="52" t="n">
        <f aca="false">SUMIFS(Costs!$D$3:$D$500,Costs!$C$3:$C$500,$A151,Costs!$B$3:$B$500,"&gt;="&amp;DATE($B151,1,1),Costs!$B$3:$B$500,"&lt;="&amp;DATE($B151,12,31))/1000</f>
        <v>0</v>
      </c>
      <c r="H151" s="52" t="n">
        <f aca="false">SUMIFS('Partial Sales'!$D$3:$D$500,'Partial Sales'!$C$3:$C$500,$A151,'Partial Sales'!$B$3:$B$500,"&gt;="&amp;DATE($B151,1,1),'Partial Sales'!$B$3:$B$500,"&lt;="&amp;DATE($B151,12,31))/1000</f>
        <v>0</v>
      </c>
      <c r="I151" s="52" t="n">
        <f aca="false">SUMIFS('Partial Purchases'!$D$3:$D$500,'Partial Purchases'!$C$3:$C$500,$A151,'Partial Purchases'!$B$3:$B$500,"&gt;="&amp;DATE($B151,1,1),'Partial Purchases'!$B$3:$B$500,"&lt;="&amp;DATE($B151,12,31))/1000</f>
        <v>0</v>
      </c>
      <c r="J151" s="52" t="n">
        <f aca="false">C151*(D151+0.5*(G151-H151+I151-F151))</f>
        <v>153290.5</v>
      </c>
      <c r="K151" s="52" t="n">
        <f aca="false">C151*(E151-D151+H151-G151-I151)</f>
        <v>10080</v>
      </c>
      <c r="L151" s="46" t="n">
        <f aca="false">IF(J151=0,"",C151*F151/J151)</f>
        <v>0.0399176726542088</v>
      </c>
      <c r="M151" s="46" t="n">
        <f aca="false">IF(J151=0,"",K151/J151)</f>
        <v>0.0657574996493586</v>
      </c>
      <c r="N151" s="46" t="n">
        <f aca="false">IF(J151=0,"",L151+M151)</f>
        <v>0.105675172303567</v>
      </c>
    </row>
    <row r="152" customFormat="false" ht="15" hidden="false" customHeight="false" outlineLevel="0" collapsed="false">
      <c r="A152" s="8" t="s">
        <v>23</v>
      </c>
      <c r="B152" s="48" t="n">
        <v>2008</v>
      </c>
      <c r="C152" s="10" t="n">
        <f aca="false">IF(D152&gt;0,1,0)</f>
        <v>0</v>
      </c>
      <c r="D152" s="9" t="n">
        <f aca="false">IF(SUMIFS(Sales!$D$3:$D$500,Sales!$C$3:$C$500,$A152,Sales!$B$3:$B$500,"&lt;="&amp;DATE($B152-1,12,31))&gt;0,0,SUMIFS('Asset Value'!$F$4:$F$500,'Asset Value'!$C$4:$C$500,$A152,'Asset Value'!$B$4:$B$500,$B152-1)/1000)</f>
        <v>0</v>
      </c>
      <c r="E152" s="9" t="n">
        <f aca="false">IF(SUMIFS(Sales!$D$3:$D$500,Sales!$C$3:$C$500,$A152,Sales!$B$3:$B$500,"&gt;="&amp;DATE($B152,1,1),Sales!$B$3:$B$500,"&lt;="&amp;DATE($B152,12,31))&gt;0,SUMIFS(Sales!$D$3:$D$500,Sales!$C$3:$C$500,$A152,Sales!$B$3:$B$500,"&gt;="&amp;DATE($B152,1,1),Sales!$B$3:$B$500,"&lt;="&amp;DATE($B152,12,31))/1000,SUMIFS('Asset Value'!$F$4:$F$500,'Asset Value'!$C$4:$C$500,$A152,'Asset Value'!$B$4:$B$500,$B152)/1000)</f>
        <v>58920</v>
      </c>
      <c r="F152" s="9" t="n">
        <f aca="false">SUMIFS(Rent!$E$3:$E$500,Rent!$D$3:$D$500,$A152,Rent!$C$3:$C$500,$B152)/1000</f>
        <v>0</v>
      </c>
      <c r="G152" s="9" t="n">
        <f aca="false">SUMIFS(Costs!$D$3:$D$500,Costs!$C$3:$C$500,$A152,Costs!$B$3:$B$500,"&gt;="&amp;DATE($B152,1,1),Costs!$B$3:$B$500,"&lt;="&amp;DATE($B152,12,31))/1000</f>
        <v>0</v>
      </c>
      <c r="H152" s="9" t="n">
        <f aca="false">SUMIFS('Partial Sales'!$D$3:$D$500,'Partial Sales'!$C$3:$C$500,$A152,'Partial Sales'!$B$3:$B$500,"&gt;="&amp;DATE($B152,1,1),'Partial Sales'!$B$3:$B$500,"&lt;="&amp;DATE($B152,12,31))/1000</f>
        <v>0</v>
      </c>
      <c r="I152" s="9" t="n">
        <f aca="false">SUMIFS('Partial Purchases'!$D$3:$D$500,'Partial Purchases'!$C$3:$C$500,$A152,'Partial Purchases'!$B$3:$B$500,"&gt;="&amp;DATE($B152,1,1),'Partial Purchases'!$B$3:$B$500,"&lt;="&amp;DATE($B152,12,31))/1000</f>
        <v>0</v>
      </c>
      <c r="J152" s="9" t="n">
        <f aca="false">C152*(D152+0.5*(G152-H152+I152-F152))</f>
        <v>0</v>
      </c>
      <c r="K152" s="9" t="n">
        <f aca="false">C152*(E152-D152+H152-G152-I152)</f>
        <v>0</v>
      </c>
      <c r="L152" s="13" t="str">
        <f aca="false">IF(J152=0,"",C152*F152/J152)</f>
        <v/>
      </c>
      <c r="M152" s="13" t="str">
        <f aca="false">IF(J152=0,"",K152/J152)</f>
        <v/>
      </c>
      <c r="N152" s="13" t="str">
        <f aca="false">IF(J152=0,"",L152+M152)</f>
        <v/>
      </c>
    </row>
    <row r="153" customFormat="false" ht="15" hidden="false" customHeight="false" outlineLevel="0" collapsed="false">
      <c r="A153" s="8" t="s">
        <v>23</v>
      </c>
      <c r="B153" s="48" t="n">
        <v>2009</v>
      </c>
      <c r="C153" s="10" t="n">
        <f aca="false">IF(D153&gt;0,1,0)</f>
        <v>1</v>
      </c>
      <c r="D153" s="9" t="n">
        <f aca="false">IF(SUMIFS(Sales!$D$3:$D$500,Sales!$C$3:$C$500,$A153,Sales!$B$3:$B$500,"&lt;="&amp;DATE($B153-1,12,31))&gt;0,0,SUMIFS('Asset Value'!$F$4:$F$500,'Asset Value'!$C$4:$C$500,$A153,'Asset Value'!$B$4:$B$500,$B153-1)/1000)</f>
        <v>58920</v>
      </c>
      <c r="E153" s="9" t="n">
        <f aca="false">IF(SUMIFS(Sales!$D$3:$D$500,Sales!$C$3:$C$500,$A153,Sales!$B$3:$B$500,"&gt;="&amp;DATE($B153,1,1),Sales!$B$3:$B$500,"&lt;="&amp;DATE($B153,12,31))&gt;0,SUMIFS(Sales!$D$3:$D$500,Sales!$C$3:$C$500,$A153,Sales!$B$3:$B$500,"&gt;="&amp;DATE($B153,1,1),Sales!$B$3:$B$500,"&lt;="&amp;DATE($B153,12,31))/1000,SUMIFS('Asset Value'!$F$4:$F$500,'Asset Value'!$C$4:$C$500,$A153,'Asset Value'!$B$4:$B$500,$B153)/1000)</f>
        <v>94840</v>
      </c>
      <c r="F153" s="9" t="n">
        <f aca="false">SUMIFS(Rent!$E$3:$E$500,Rent!$D$3:$D$500,$A153,Rent!$C$3:$C$500,$B153)/1000</f>
        <v>0</v>
      </c>
      <c r="G153" s="9" t="n">
        <f aca="false">SUMIFS(Costs!$D$3:$D$500,Costs!$C$3:$C$500,$A153,Costs!$B$3:$B$500,"&gt;="&amp;DATE($B153,1,1),Costs!$B$3:$B$500,"&lt;="&amp;DATE($B153,12,31))/1000</f>
        <v>0</v>
      </c>
      <c r="H153" s="9" t="n">
        <f aca="false">SUMIFS('Partial Sales'!$D$3:$D$500,'Partial Sales'!$C$3:$C$500,$A153,'Partial Sales'!$B$3:$B$500,"&gt;="&amp;DATE($B153,1,1),'Partial Sales'!$B$3:$B$500,"&lt;="&amp;DATE($B153,12,31))/1000</f>
        <v>0</v>
      </c>
      <c r="I153" s="9" t="n">
        <f aca="false">SUMIFS('Partial Purchases'!$D$3:$D$500,'Partial Purchases'!$C$3:$C$500,$A153,'Partial Purchases'!$B$3:$B$500,"&gt;="&amp;DATE($B153,1,1),'Partial Purchases'!$B$3:$B$500,"&lt;="&amp;DATE($B153,12,31))/1000</f>
        <v>0</v>
      </c>
      <c r="J153" s="9" t="n">
        <f aca="false">C153*(D153+0.5*(G153-H153+I153-F153))</f>
        <v>58920</v>
      </c>
      <c r="K153" s="9" t="n">
        <f aca="false">C153*(E153-D153+H153-G153-I153)</f>
        <v>35920</v>
      </c>
      <c r="L153" s="13" t="n">
        <f aca="false">IF(J153=0,"",C153*F153/J153)</f>
        <v>0</v>
      </c>
      <c r="M153" s="13" t="n">
        <f aca="false">IF(J153=0,"",K153/J153)</f>
        <v>0.609640190088255</v>
      </c>
      <c r="N153" s="13" t="n">
        <f aca="false">IF(J153=0,"",L153+M153)</f>
        <v>0.609640190088255</v>
      </c>
    </row>
    <row r="154" customFormat="false" ht="15" hidden="false" customHeight="false" outlineLevel="0" collapsed="false">
      <c r="A154" s="8" t="s">
        <v>23</v>
      </c>
      <c r="B154" s="48" t="n">
        <v>2010</v>
      </c>
      <c r="C154" s="10" t="n">
        <f aca="false">IF(D154&gt;0,1,0)</f>
        <v>1</v>
      </c>
      <c r="D154" s="9" t="n">
        <f aca="false">IF(SUMIFS(Sales!$D$3:$D$500,Sales!$C$3:$C$500,$A154,Sales!$B$3:$B$500,"&lt;="&amp;DATE($B154-1,12,31))&gt;0,0,SUMIFS('Asset Value'!$F$4:$F$500,'Asset Value'!$C$4:$C$500,$A154,'Asset Value'!$B$4:$B$500,$B154-1)/1000)</f>
        <v>94840</v>
      </c>
      <c r="E154" s="9" t="n">
        <f aca="false">IF(SUMIFS(Sales!$D$3:$D$500,Sales!$C$3:$C$500,$A154,Sales!$B$3:$B$500,"&gt;="&amp;DATE($B154,1,1),Sales!$B$3:$B$500,"&lt;="&amp;DATE($B154,12,31))&gt;0,SUMIFS(Sales!$D$3:$D$500,Sales!$C$3:$C$500,$A154,Sales!$B$3:$B$500,"&gt;="&amp;DATE($B154,1,1),Sales!$B$3:$B$500,"&lt;="&amp;DATE($B154,12,31))/1000,SUMIFS('Asset Value'!$F$4:$F$500,'Asset Value'!$C$4:$C$500,$A154,'Asset Value'!$B$4:$B$500,$B154)/1000)</f>
        <v>81810</v>
      </c>
      <c r="F154" s="9" t="n">
        <f aca="false">SUMIFS(Rent!$E$3:$E$500,Rent!$D$3:$D$500,$A154,Rent!$C$3:$C$500,$B154)/1000</f>
        <v>455</v>
      </c>
      <c r="G154" s="9" t="n">
        <f aca="false">SUMIFS(Costs!$D$3:$D$500,Costs!$C$3:$C$500,$A154,Costs!$B$3:$B$500,"&gt;="&amp;DATE($B154,1,1),Costs!$B$3:$B$500,"&lt;="&amp;DATE($B154,12,31))/1000</f>
        <v>0</v>
      </c>
      <c r="H154" s="9" t="n">
        <f aca="false">SUMIFS('Partial Sales'!$D$3:$D$500,'Partial Sales'!$C$3:$C$500,$A154,'Partial Sales'!$B$3:$B$500,"&gt;="&amp;DATE($B154,1,1),'Partial Sales'!$B$3:$B$500,"&lt;="&amp;DATE($B154,12,31))/1000</f>
        <v>0</v>
      </c>
      <c r="I154" s="9" t="n">
        <f aca="false">SUMIFS('Partial Purchases'!$D$3:$D$500,'Partial Purchases'!$C$3:$C$500,$A154,'Partial Purchases'!$B$3:$B$500,"&gt;="&amp;DATE($B154,1,1),'Partial Purchases'!$B$3:$B$500,"&lt;="&amp;DATE($B154,12,31))/1000</f>
        <v>0</v>
      </c>
      <c r="J154" s="9" t="n">
        <f aca="false">C154*(D154+0.5*(G154-H154+I154-F154))</f>
        <v>94612.5</v>
      </c>
      <c r="K154" s="9" t="n">
        <f aca="false">C154*(E154-D154+H154-G154-I154)</f>
        <v>-13030</v>
      </c>
      <c r="L154" s="13" t="n">
        <f aca="false">IF(J154=0,"",C154*F154/J154)</f>
        <v>0.00480908970801955</v>
      </c>
      <c r="M154" s="13" t="n">
        <f aca="false">IF(J154=0,"",K154/J154)</f>
        <v>-0.137719645924164</v>
      </c>
      <c r="N154" s="13" t="n">
        <f aca="false">IF(J154=0,"",L154+M154)</f>
        <v>-0.132910556216145</v>
      </c>
    </row>
    <row r="155" customFormat="false" ht="15" hidden="false" customHeight="false" outlineLevel="0" collapsed="false">
      <c r="A155" s="8" t="s">
        <v>23</v>
      </c>
      <c r="B155" s="48" t="n">
        <v>2011</v>
      </c>
      <c r="C155" s="10" t="n">
        <f aca="false">IF(D155&gt;0,1,0)</f>
        <v>1</v>
      </c>
      <c r="D155" s="9" t="n">
        <f aca="false">IF(SUMIFS(Sales!$D$3:$D$500,Sales!$C$3:$C$500,$A155,Sales!$B$3:$B$500,"&lt;="&amp;DATE($B155-1,12,31))&gt;0,0,SUMIFS('Asset Value'!$F$4:$F$500,'Asset Value'!$C$4:$C$500,$A155,'Asset Value'!$B$4:$B$500,$B155-1)/1000)</f>
        <v>81810</v>
      </c>
      <c r="E155" s="9" t="n">
        <f aca="false">IF(SUMIFS(Sales!$D$3:$D$500,Sales!$C$3:$C$500,$A155,Sales!$B$3:$B$500,"&gt;="&amp;DATE($B155,1,1),Sales!$B$3:$B$500,"&lt;="&amp;DATE($B155,12,31))&gt;0,SUMIFS(Sales!$D$3:$D$500,Sales!$C$3:$C$500,$A155,Sales!$B$3:$B$500,"&gt;="&amp;DATE($B155,1,1),Sales!$B$3:$B$500,"&lt;="&amp;DATE($B155,12,31))/1000,SUMIFS('Asset Value'!$F$4:$F$500,'Asset Value'!$C$4:$C$500,$A155,'Asset Value'!$B$4:$B$500,$B155)/1000)</f>
        <v>117020</v>
      </c>
      <c r="F155" s="9" t="n">
        <f aca="false">SUMIFS(Rent!$E$3:$E$500,Rent!$D$3:$D$500,$A155,Rent!$C$3:$C$500,$B155)/1000</f>
        <v>2193.42048</v>
      </c>
      <c r="G155" s="9" t="n">
        <f aca="false">SUMIFS(Costs!$D$3:$D$500,Costs!$C$3:$C$500,$A155,Costs!$B$3:$B$500,"&gt;="&amp;DATE($B155,1,1),Costs!$B$3:$B$500,"&lt;="&amp;DATE($B155,12,31))/1000</f>
        <v>0</v>
      </c>
      <c r="H155" s="9" t="n">
        <f aca="false">SUMIFS('Partial Sales'!$D$3:$D$500,'Partial Sales'!$C$3:$C$500,$A155,'Partial Sales'!$B$3:$B$500,"&gt;="&amp;DATE($B155,1,1),'Partial Sales'!$B$3:$B$500,"&lt;="&amp;DATE($B155,12,31))/1000</f>
        <v>0</v>
      </c>
      <c r="I155" s="9" t="n">
        <f aca="false">SUMIFS('Partial Purchases'!$D$3:$D$500,'Partial Purchases'!$C$3:$C$500,$A155,'Partial Purchases'!$B$3:$B$500,"&gt;="&amp;DATE($B155,1,1),'Partial Purchases'!$B$3:$B$500,"&lt;="&amp;DATE($B155,12,31))/1000</f>
        <v>0</v>
      </c>
      <c r="J155" s="9" t="n">
        <f aca="false">C155*(D155+0.5*(G155-H155+I155-F155))</f>
        <v>80713.28976</v>
      </c>
      <c r="K155" s="9" t="n">
        <f aca="false">C155*(E155-D155+H155-G155-I155)</f>
        <v>35210</v>
      </c>
      <c r="L155" s="13" t="n">
        <f aca="false">IF(J155=0,"",C155*F155/J155)</f>
        <v>0.0271754563160802</v>
      </c>
      <c r="M155" s="13" t="n">
        <f aca="false">IF(J155=0,"",K155/J155)</f>
        <v>0.43623547131701</v>
      </c>
      <c r="N155" s="13" t="n">
        <f aca="false">IF(J155=0,"",L155+M155)</f>
        <v>0.46341092763309</v>
      </c>
    </row>
    <row r="156" customFormat="false" ht="15" hidden="false" customHeight="false" outlineLevel="0" collapsed="false">
      <c r="A156" s="8" t="s">
        <v>23</v>
      </c>
      <c r="B156" s="48" t="n">
        <v>2012</v>
      </c>
      <c r="C156" s="10" t="n">
        <f aca="false">IF(D156&gt;0,1,0)</f>
        <v>1</v>
      </c>
      <c r="D156" s="9" t="n">
        <f aca="false">IF(SUMIFS(Sales!$D$3:$D$500,Sales!$C$3:$C$500,$A156,Sales!$B$3:$B$500,"&lt;="&amp;DATE($B156-1,12,31))&gt;0,0,SUMIFS('Asset Value'!$F$4:$F$500,'Asset Value'!$C$4:$C$500,$A156,'Asset Value'!$B$4:$B$500,$B156-1)/1000)</f>
        <v>117020</v>
      </c>
      <c r="E156" s="9" t="n">
        <f aca="false">IF(SUMIFS(Sales!$D$3:$D$500,Sales!$C$3:$C$500,$A156,Sales!$B$3:$B$500,"&gt;="&amp;DATE($B156,1,1),Sales!$B$3:$B$500,"&lt;="&amp;DATE($B156,12,31))&gt;0,SUMIFS(Sales!$D$3:$D$500,Sales!$C$3:$C$500,$A156,Sales!$B$3:$B$500,"&gt;="&amp;DATE($B156,1,1),Sales!$B$3:$B$500,"&lt;="&amp;DATE($B156,12,31))/1000,SUMIFS('Asset Value'!$F$4:$F$500,'Asset Value'!$C$4:$C$500,$A156,'Asset Value'!$B$4:$B$500,$B156)/1000)</f>
        <v>133583</v>
      </c>
      <c r="F156" s="9" t="n">
        <f aca="false">SUMIFS(Rent!$E$3:$E$500,Rent!$D$3:$D$500,$A156,Rent!$C$3:$C$500,$B156)/1000</f>
        <v>3466</v>
      </c>
      <c r="G156" s="9" t="n">
        <f aca="false">SUMIFS(Costs!$D$3:$D$500,Costs!$C$3:$C$500,$A156,Costs!$B$3:$B$500,"&gt;="&amp;DATE($B156,1,1),Costs!$B$3:$B$500,"&lt;="&amp;DATE($B156,12,31))/1000</f>
        <v>0</v>
      </c>
      <c r="H156" s="9" t="n">
        <f aca="false">SUMIFS('Partial Sales'!$D$3:$D$500,'Partial Sales'!$C$3:$C$500,$A156,'Partial Sales'!$B$3:$B$500,"&gt;="&amp;DATE($B156,1,1),'Partial Sales'!$B$3:$B$500,"&lt;="&amp;DATE($B156,12,31))/1000</f>
        <v>0</v>
      </c>
      <c r="I156" s="9" t="n">
        <f aca="false">SUMIFS('Partial Purchases'!$D$3:$D$500,'Partial Purchases'!$C$3:$C$500,$A156,'Partial Purchases'!$B$3:$B$500,"&gt;="&amp;DATE($B156,1,1),'Partial Purchases'!$B$3:$B$500,"&lt;="&amp;DATE($B156,12,31))/1000</f>
        <v>0</v>
      </c>
      <c r="J156" s="9" t="n">
        <f aca="false">C156*(D156+0.5*(G156-H156+I156-F156))</f>
        <v>115287</v>
      </c>
      <c r="K156" s="9" t="n">
        <f aca="false">C156*(E156-D156+H156-G156-I156)</f>
        <v>16563</v>
      </c>
      <c r="L156" s="13" t="n">
        <f aca="false">IF(J156=0,"",C156*F156/J156)</f>
        <v>0.0300641008960247</v>
      </c>
      <c r="M156" s="13" t="n">
        <f aca="false">IF(J156=0,"",K156/J156)</f>
        <v>0.143667542741159</v>
      </c>
      <c r="N156" s="13" t="n">
        <f aca="false">IF(J156=0,"",L156+M156)</f>
        <v>0.173731643637184</v>
      </c>
    </row>
    <row r="157" customFormat="false" ht="15" hidden="false" customHeight="false" outlineLevel="0" collapsed="false">
      <c r="A157" s="8" t="s">
        <v>23</v>
      </c>
      <c r="B157" s="48" t="n">
        <v>2013</v>
      </c>
      <c r="C157" s="10" t="n">
        <f aca="false">IF(D157&gt;0,1,0)</f>
        <v>1</v>
      </c>
      <c r="D157" s="9" t="n">
        <f aca="false">IF(SUMIFS(Sales!$D$3:$D$500,Sales!$C$3:$C$500,$A157,Sales!$B$3:$B$500,"&lt;="&amp;DATE($B157-1,12,31))&gt;0,0,SUMIFS('Asset Value'!$F$4:$F$500,'Asset Value'!$C$4:$C$500,$A157,'Asset Value'!$B$4:$B$500,$B157-1)/1000)</f>
        <v>133583</v>
      </c>
      <c r="E157" s="9" t="n">
        <f aca="false">IF(SUMIFS(Sales!$D$3:$D$500,Sales!$C$3:$C$500,$A157,Sales!$B$3:$B$500,"&gt;="&amp;DATE($B157,1,1),Sales!$B$3:$B$500,"&lt;="&amp;DATE($B157,12,31))&gt;0,SUMIFS(Sales!$D$3:$D$500,Sales!$C$3:$C$500,$A157,Sales!$B$3:$B$500,"&gt;="&amp;DATE($B157,1,1),Sales!$B$3:$B$500,"&lt;="&amp;DATE($B157,12,31))/1000,SUMIFS('Asset Value'!$F$4:$F$500,'Asset Value'!$C$4:$C$500,$A157,'Asset Value'!$B$4:$B$500,$B157)/1000)</f>
        <v>176404</v>
      </c>
      <c r="F157" s="9" t="n">
        <f aca="false">SUMIFS(Rent!$E$3:$E$500,Rent!$D$3:$D$500,$A157,Rent!$C$3:$C$500,$B157)/1000</f>
        <v>2818</v>
      </c>
      <c r="G157" s="9" t="n">
        <f aca="false">SUMIFS(Costs!$D$3:$D$500,Costs!$C$3:$C$500,$A157,Costs!$B$3:$B$500,"&gt;="&amp;DATE($B157,1,1),Costs!$B$3:$B$500,"&lt;="&amp;DATE($B157,12,31))/1000</f>
        <v>0</v>
      </c>
      <c r="H157" s="9" t="n">
        <f aca="false">SUMIFS('Partial Sales'!$D$3:$D$500,'Partial Sales'!$C$3:$C$500,$A157,'Partial Sales'!$B$3:$B$500,"&gt;="&amp;DATE($B157,1,1),'Partial Sales'!$B$3:$B$500,"&lt;="&amp;DATE($B157,12,31))/1000</f>
        <v>0</v>
      </c>
      <c r="I157" s="9" t="n">
        <f aca="false">SUMIFS('Partial Purchases'!$D$3:$D$500,'Partial Purchases'!$C$3:$C$500,$A157,'Partial Purchases'!$B$3:$B$500,"&gt;="&amp;DATE($B157,1,1),'Partial Purchases'!$B$3:$B$500,"&lt;="&amp;DATE($B157,12,31))/1000</f>
        <v>0</v>
      </c>
      <c r="J157" s="9" t="n">
        <f aca="false">C157*(D157+0.5*(G157-H157+I157-F157))</f>
        <v>132174</v>
      </c>
      <c r="K157" s="9" t="n">
        <f aca="false">C157*(E157-D157+H157-G157-I157)</f>
        <v>42821</v>
      </c>
      <c r="L157" s="13" t="n">
        <f aca="false">IF(J157=0,"",C157*F157/J157)</f>
        <v>0.0213203807102759</v>
      </c>
      <c r="M157" s="13" t="n">
        <f aca="false">IF(J157=0,"",K157/J157)</f>
        <v>0.323974457911541</v>
      </c>
      <c r="N157" s="13" t="n">
        <f aca="false">IF(J157=0,"",L157+M157)</f>
        <v>0.345294838621817</v>
      </c>
    </row>
    <row r="158" customFormat="false" ht="15" hidden="false" customHeight="false" outlineLevel="0" collapsed="false">
      <c r="A158" s="8" t="s">
        <v>23</v>
      </c>
      <c r="B158" s="48" t="n">
        <v>2014</v>
      </c>
      <c r="C158" s="10" t="n">
        <f aca="false">IF(D158&gt;0,1,0)</f>
        <v>1</v>
      </c>
      <c r="D158" s="9" t="n">
        <f aca="false">IF(SUMIFS(Sales!$D$3:$D$500,Sales!$C$3:$C$500,$A158,Sales!$B$3:$B$500,"&lt;="&amp;DATE($B158-1,12,31))&gt;0,0,SUMIFS('Asset Value'!$F$4:$F$500,'Asset Value'!$C$4:$C$500,$A158,'Asset Value'!$B$4:$B$500,$B158-1)/1000)</f>
        <v>176404</v>
      </c>
      <c r="E158" s="9" t="n">
        <f aca="false">IF(SUMIFS(Sales!$D$3:$D$500,Sales!$C$3:$C$500,$A158,Sales!$B$3:$B$500,"&gt;="&amp;DATE($B158,1,1),Sales!$B$3:$B$500,"&lt;="&amp;DATE($B158,12,31))&gt;0,SUMIFS(Sales!$D$3:$D$500,Sales!$C$3:$C$500,$A158,Sales!$B$3:$B$500,"&gt;="&amp;DATE($B158,1,1),Sales!$B$3:$B$500,"&lt;="&amp;DATE($B158,12,31))/1000,SUMIFS('Asset Value'!$F$4:$F$500,'Asset Value'!$C$4:$C$500,$A158,'Asset Value'!$B$4:$B$500,$B158)/1000)</f>
        <v>198210</v>
      </c>
      <c r="F158" s="9" t="n">
        <f aca="false">SUMIFS(Rent!$E$3:$E$500,Rent!$D$3:$D$500,$A158,Rent!$C$3:$C$500,$B158)/1000</f>
        <v>3235</v>
      </c>
      <c r="G158" s="9" t="n">
        <f aca="false">SUMIFS(Costs!$D$3:$D$500,Costs!$C$3:$C$500,$A158,Costs!$B$3:$B$500,"&gt;="&amp;DATE($B158,1,1),Costs!$B$3:$B$500,"&lt;="&amp;DATE($B158,12,31))/1000</f>
        <v>0</v>
      </c>
      <c r="H158" s="9" t="n">
        <f aca="false">SUMIFS('Partial Sales'!$D$3:$D$500,'Partial Sales'!$C$3:$C$500,$A158,'Partial Sales'!$B$3:$B$500,"&gt;="&amp;DATE($B158,1,1),'Partial Sales'!$B$3:$B$500,"&lt;="&amp;DATE($B158,12,31))/1000</f>
        <v>0</v>
      </c>
      <c r="I158" s="9" t="n">
        <f aca="false">SUMIFS('Partial Purchases'!$D$3:$D$500,'Partial Purchases'!$C$3:$C$500,$A158,'Partial Purchases'!$B$3:$B$500,"&gt;="&amp;DATE($B158,1,1),'Partial Purchases'!$B$3:$B$500,"&lt;="&amp;DATE($B158,12,31))/1000</f>
        <v>0</v>
      </c>
      <c r="J158" s="9" t="n">
        <f aca="false">C158*(D158+0.5*(G158-H158+I158-F158))</f>
        <v>174786.5</v>
      </c>
      <c r="K158" s="9" t="n">
        <f aca="false">C158*(E158-D158+H158-G158-I158)</f>
        <v>21806</v>
      </c>
      <c r="L158" s="13" t="n">
        <f aca="false">IF(J158=0,"",C158*F158/J158)</f>
        <v>0.0185082944048883</v>
      </c>
      <c r="M158" s="13" t="n">
        <f aca="false">IF(J158=0,"",K158/J158)</f>
        <v>0.124757918946829</v>
      </c>
      <c r="N158" s="13" t="n">
        <f aca="false">IF(J158=0,"",L158+M158)</f>
        <v>0.143266213351718</v>
      </c>
    </row>
    <row r="159" customFormat="false" ht="15" hidden="false" customHeight="false" outlineLevel="0" collapsed="false">
      <c r="A159" s="49" t="s">
        <v>23</v>
      </c>
      <c r="B159" s="50" t="n">
        <v>2015</v>
      </c>
      <c r="C159" s="51" t="n">
        <f aca="false">IF(D159&gt;0,1,0)</f>
        <v>1</v>
      </c>
      <c r="D159" s="52" t="n">
        <f aca="false">IF(SUMIFS(Sales!$D$3:$D$500,Sales!$C$3:$C$500,$A159,Sales!$B$3:$B$500,"&lt;="&amp;DATE($B159-1,12,31))&gt;0,0,SUMIFS('Asset Value'!$F$4:$F$500,'Asset Value'!$C$4:$C$500,$A159,'Asset Value'!$B$4:$B$500,$B159-1)/1000)</f>
        <v>198210</v>
      </c>
      <c r="E159" s="52" t="n">
        <f aca="false">IF(SUMIFS(Sales!$D$3:$D$500,Sales!$C$3:$C$500,$A159,Sales!$B$3:$B$500,"&gt;="&amp;DATE($B159,1,1),Sales!$B$3:$B$500,"&lt;="&amp;DATE($B159,12,31))&gt;0,SUMIFS(Sales!$D$3:$D$500,Sales!$C$3:$C$500,$A159,Sales!$B$3:$B$500,"&gt;="&amp;DATE($B159,1,1),Sales!$B$3:$B$500,"&lt;="&amp;DATE($B159,12,31))/1000,SUMIFS('Asset Value'!$F$4:$F$500,'Asset Value'!$C$4:$C$500,$A159,'Asset Value'!$B$4:$B$500,$B159)/1000)</f>
        <v>222860</v>
      </c>
      <c r="F159" s="52" t="n">
        <f aca="false">SUMIFS(Rent!$E$3:$E$500,Rent!$D$3:$D$500,$A159,Rent!$C$3:$C$500,$B159)/1000</f>
        <v>3602</v>
      </c>
      <c r="G159" s="52" t="n">
        <f aca="false">SUMIFS(Costs!$D$3:$D$500,Costs!$C$3:$C$500,$A159,Costs!$B$3:$B$500,"&gt;="&amp;DATE($B159,1,1),Costs!$B$3:$B$500,"&lt;="&amp;DATE($B159,12,31))/1000</f>
        <v>0</v>
      </c>
      <c r="H159" s="52" t="n">
        <f aca="false">SUMIFS('Partial Sales'!$D$3:$D$500,'Partial Sales'!$C$3:$C$500,$A159,'Partial Sales'!$B$3:$B$500,"&gt;="&amp;DATE($B159,1,1),'Partial Sales'!$B$3:$B$500,"&lt;="&amp;DATE($B159,12,31))/1000</f>
        <v>0</v>
      </c>
      <c r="I159" s="52" t="n">
        <f aca="false">SUMIFS('Partial Purchases'!$D$3:$D$500,'Partial Purchases'!$C$3:$C$500,$A159,'Partial Purchases'!$B$3:$B$500,"&gt;="&amp;DATE($B159,1,1),'Partial Purchases'!$B$3:$B$500,"&lt;="&amp;DATE($B159,12,31))/1000</f>
        <v>0</v>
      </c>
      <c r="J159" s="52" t="n">
        <f aca="false">C159*(D159+0.5*(G159-H159+I159-F159))</f>
        <v>196409</v>
      </c>
      <c r="K159" s="52" t="n">
        <f aca="false">C159*(E159-D159+H159-G159-I159)</f>
        <v>24650</v>
      </c>
      <c r="L159" s="46" t="n">
        <f aca="false">IF(J159=0,"",C159*F159/J159)</f>
        <v>0.0183392818048053</v>
      </c>
      <c r="M159" s="46" t="n">
        <f aca="false">IF(J159=0,"",K159/J159)</f>
        <v>0.125503413794684</v>
      </c>
      <c r="N159" s="46" t="n">
        <f aca="false">IF(J159=0,"",L159+M159)</f>
        <v>0.143842695599489</v>
      </c>
    </row>
    <row r="160" customFormat="false" ht="15" hidden="false" customHeight="false" outlineLevel="0" collapsed="false">
      <c r="A160" s="8" t="s">
        <v>24</v>
      </c>
      <c r="B160" s="48" t="n">
        <v>2008</v>
      </c>
      <c r="C160" s="10" t="n">
        <f aca="false">IF(D160&gt;0,1,0)</f>
        <v>0</v>
      </c>
      <c r="D160" s="9" t="n">
        <f aca="false">IF(SUMIFS(Sales!$D$3:$D$500,Sales!$C$3:$C$500,$A160,Sales!$B$3:$B$500,"&lt;="&amp;DATE($B160-1,12,31))&gt;0,0,SUMIFS('Asset Value'!$F$4:$F$500,'Asset Value'!$C$4:$C$500,$A160,'Asset Value'!$B$4:$B$500,$B160-1)/1000)</f>
        <v>0</v>
      </c>
      <c r="E160" s="9" t="n">
        <f aca="false">IF(SUMIFS(Sales!$D$3:$D$500,Sales!$C$3:$C$500,$A160,Sales!$B$3:$B$500,"&gt;="&amp;DATE($B160,1,1),Sales!$B$3:$B$500,"&lt;="&amp;DATE($B160,12,31))&gt;0,SUMIFS(Sales!$D$3:$D$500,Sales!$C$3:$C$500,$A160,Sales!$B$3:$B$500,"&gt;="&amp;DATE($B160,1,1),Sales!$B$3:$B$500,"&lt;="&amp;DATE($B160,12,31))/1000,SUMIFS('Asset Value'!$F$4:$F$500,'Asset Value'!$C$4:$C$500,$A160,'Asset Value'!$B$4:$B$500,$B160)/1000)</f>
        <v>0</v>
      </c>
      <c r="F160" s="9" t="n">
        <f aca="false">SUMIFS(Rent!$E$3:$E$500,Rent!$D$3:$D$500,$A160,Rent!$C$3:$C$500,$B160)/1000</f>
        <v>565.677</v>
      </c>
      <c r="G160" s="9" t="n">
        <f aca="false">SUMIFS(Costs!$D$3:$D$500,Costs!$C$3:$C$500,$A160,Costs!$B$3:$B$500,"&gt;="&amp;DATE($B160,1,1),Costs!$B$3:$B$500,"&lt;="&amp;DATE($B160,12,31))/1000</f>
        <v>0</v>
      </c>
      <c r="H160" s="9" t="n">
        <f aca="false">SUMIFS('Partial Sales'!$D$3:$D$500,'Partial Sales'!$C$3:$C$500,$A160,'Partial Sales'!$B$3:$B$500,"&gt;="&amp;DATE($B160,1,1),'Partial Sales'!$B$3:$B$500,"&lt;="&amp;DATE($B160,12,31))/1000</f>
        <v>0</v>
      </c>
      <c r="I160" s="9" t="n">
        <f aca="false">SUMIFS('Partial Purchases'!$D$3:$D$500,'Partial Purchases'!$C$3:$C$500,$A160,'Partial Purchases'!$B$3:$B$500,"&gt;="&amp;DATE($B160,1,1),'Partial Purchases'!$B$3:$B$500,"&lt;="&amp;DATE($B160,12,31))/1000</f>
        <v>0</v>
      </c>
      <c r="J160" s="9" t="n">
        <f aca="false">C160*(D160+0.5*(G160-H160+I160-F160))</f>
        <v>-0</v>
      </c>
      <c r="K160" s="9" t="n">
        <f aca="false">C160*(E160-D160+H160-G160-I160)</f>
        <v>0</v>
      </c>
      <c r="L160" s="13" t="str">
        <f aca="false">IF(J160=0,"",C160*F160/J160)</f>
        <v/>
      </c>
      <c r="M160" s="13" t="str">
        <f aca="false">IF(J160=0,"",K160/J160)</f>
        <v/>
      </c>
      <c r="N160" s="13" t="str">
        <f aca="false">IF(J160=0,"",L160+M160)</f>
        <v/>
      </c>
    </row>
    <row r="161" customFormat="false" ht="15" hidden="false" customHeight="false" outlineLevel="0" collapsed="false">
      <c r="A161" s="8" t="s">
        <v>24</v>
      </c>
      <c r="B161" s="48" t="n">
        <v>2009</v>
      </c>
      <c r="C161" s="10" t="n">
        <f aca="false">IF(D161&gt;0,1,0)</f>
        <v>0</v>
      </c>
      <c r="D161" s="9" t="n">
        <f aca="false">IF(SUMIFS(Sales!$D$3:$D$500,Sales!$C$3:$C$500,$A161,Sales!$B$3:$B$500,"&lt;="&amp;DATE($B161-1,12,31))&gt;0,0,SUMIFS('Asset Value'!$F$4:$F$500,'Asset Value'!$C$4:$C$500,$A161,'Asset Value'!$B$4:$B$500,$B161-1)/1000)</f>
        <v>0</v>
      </c>
      <c r="E161" s="9" t="n">
        <f aca="false">IF(SUMIFS(Sales!$D$3:$D$500,Sales!$C$3:$C$500,$A161,Sales!$B$3:$B$500,"&gt;="&amp;DATE($B161,1,1),Sales!$B$3:$B$500,"&lt;="&amp;DATE($B161,12,31))&gt;0,SUMIFS(Sales!$D$3:$D$500,Sales!$C$3:$C$500,$A161,Sales!$B$3:$B$500,"&gt;="&amp;DATE($B161,1,1),Sales!$B$3:$B$500,"&lt;="&amp;DATE($B161,12,31))/1000,SUMIFS('Asset Value'!$F$4:$F$500,'Asset Value'!$C$4:$C$500,$A161,'Asset Value'!$B$4:$B$500,$B161)/1000)</f>
        <v>22780</v>
      </c>
      <c r="F161" s="9" t="n">
        <f aca="false">SUMIFS(Rent!$E$3:$E$500,Rent!$D$3:$D$500,$A161,Rent!$C$3:$C$500,$B161)/1000</f>
        <v>1155.04272</v>
      </c>
      <c r="G161" s="9" t="n">
        <f aca="false">SUMIFS(Costs!$D$3:$D$500,Costs!$C$3:$C$500,$A161,Costs!$B$3:$B$500,"&gt;="&amp;DATE($B161,1,1),Costs!$B$3:$B$500,"&lt;="&amp;DATE($B161,12,31))/1000</f>
        <v>0</v>
      </c>
      <c r="H161" s="9" t="n">
        <f aca="false">SUMIFS('Partial Sales'!$D$3:$D$500,'Partial Sales'!$C$3:$C$500,$A161,'Partial Sales'!$B$3:$B$500,"&gt;="&amp;DATE($B161,1,1),'Partial Sales'!$B$3:$B$500,"&lt;="&amp;DATE($B161,12,31))/1000</f>
        <v>0</v>
      </c>
      <c r="I161" s="9" t="n">
        <f aca="false">SUMIFS('Partial Purchases'!$D$3:$D$500,'Partial Purchases'!$C$3:$C$500,$A161,'Partial Purchases'!$B$3:$B$500,"&gt;="&amp;DATE($B161,1,1),'Partial Purchases'!$B$3:$B$500,"&lt;="&amp;DATE($B161,12,31))/1000</f>
        <v>0</v>
      </c>
      <c r="J161" s="9" t="n">
        <f aca="false">C161*(D161+0.5*(G161-H161+I161-F161))</f>
        <v>-0</v>
      </c>
      <c r="K161" s="9" t="n">
        <f aca="false">C161*(E161-D161+H161-G161-I161)</f>
        <v>0</v>
      </c>
      <c r="L161" s="13" t="str">
        <f aca="false">IF(J161=0,"",C161*F161/J161)</f>
        <v/>
      </c>
      <c r="M161" s="13" t="str">
        <f aca="false">IF(J161=0,"",K161/J161)</f>
        <v/>
      </c>
      <c r="N161" s="13" t="str">
        <f aca="false">IF(J161=0,"",L161+M161)</f>
        <v/>
      </c>
    </row>
    <row r="162" customFormat="false" ht="15" hidden="false" customHeight="false" outlineLevel="0" collapsed="false">
      <c r="A162" s="8" t="s">
        <v>24</v>
      </c>
      <c r="B162" s="48" t="n">
        <v>2010</v>
      </c>
      <c r="C162" s="10" t="n">
        <f aca="false">IF(D162&gt;0,1,0)</f>
        <v>1</v>
      </c>
      <c r="D162" s="9" t="n">
        <f aca="false">IF(SUMIFS(Sales!$D$3:$D$500,Sales!$C$3:$C$500,$A162,Sales!$B$3:$B$500,"&lt;="&amp;DATE($B162-1,12,31))&gt;0,0,SUMIFS('Asset Value'!$F$4:$F$500,'Asset Value'!$C$4:$C$500,$A162,'Asset Value'!$B$4:$B$500,$B162-1)/1000)</f>
        <v>22780</v>
      </c>
      <c r="E162" s="9" t="n">
        <f aca="false">IF(SUMIFS(Sales!$D$3:$D$500,Sales!$C$3:$C$500,$A162,Sales!$B$3:$B$500,"&gt;="&amp;DATE($B162,1,1),Sales!$B$3:$B$500,"&lt;="&amp;DATE($B162,12,31))&gt;0,SUMIFS(Sales!$D$3:$D$500,Sales!$C$3:$C$500,$A162,Sales!$B$3:$B$500,"&gt;="&amp;DATE($B162,1,1),Sales!$B$3:$B$500,"&lt;="&amp;DATE($B162,12,31))/1000,SUMIFS('Asset Value'!$F$4:$F$500,'Asset Value'!$C$4:$C$500,$A162,'Asset Value'!$B$4:$B$500,$B162)/1000)</f>
        <v>46320</v>
      </c>
      <c r="F162" s="9" t="n">
        <f aca="false">SUMIFS(Rent!$E$3:$E$500,Rent!$D$3:$D$500,$A162,Rent!$C$3:$C$500,$B162)/1000</f>
        <v>2568.87</v>
      </c>
      <c r="G162" s="9" t="n">
        <f aca="false">SUMIFS(Costs!$D$3:$D$500,Costs!$C$3:$C$500,$A162,Costs!$B$3:$B$500,"&gt;="&amp;DATE($B162,1,1),Costs!$B$3:$B$500,"&lt;="&amp;DATE($B162,12,31))/1000</f>
        <v>0</v>
      </c>
      <c r="H162" s="9" t="n">
        <f aca="false">SUMIFS('Partial Sales'!$D$3:$D$500,'Partial Sales'!$C$3:$C$500,$A162,'Partial Sales'!$B$3:$B$500,"&gt;="&amp;DATE($B162,1,1),'Partial Sales'!$B$3:$B$500,"&lt;="&amp;DATE($B162,12,31))/1000</f>
        <v>0</v>
      </c>
      <c r="I162" s="9" t="n">
        <f aca="false">SUMIFS('Partial Purchases'!$D$3:$D$500,'Partial Purchases'!$C$3:$C$500,$A162,'Partial Purchases'!$B$3:$B$500,"&gt;="&amp;DATE($B162,1,1),'Partial Purchases'!$B$3:$B$500,"&lt;="&amp;DATE($B162,12,31))/1000</f>
        <v>0</v>
      </c>
      <c r="J162" s="9" t="n">
        <f aca="false">C162*(D162+0.5*(G162-H162+I162-F162))</f>
        <v>21495.565</v>
      </c>
      <c r="K162" s="9" t="n">
        <f aca="false">C162*(E162-D162+H162-G162-I162)</f>
        <v>23540</v>
      </c>
      <c r="L162" s="13" t="n">
        <f aca="false">IF(J162=0,"",C162*F162/J162)</f>
        <v>0.119506977369518</v>
      </c>
      <c r="M162" s="13" t="n">
        <f aca="false">IF(J162=0,"",K162/J162)</f>
        <v>1.09510961912376</v>
      </c>
      <c r="N162" s="13" t="n">
        <f aca="false">IF(J162=0,"",L162+M162)</f>
        <v>1.21461659649328</v>
      </c>
    </row>
    <row r="163" customFormat="false" ht="15" hidden="false" customHeight="false" outlineLevel="0" collapsed="false">
      <c r="A163" s="8" t="s">
        <v>24</v>
      </c>
      <c r="B163" s="48" t="n">
        <v>2011</v>
      </c>
      <c r="C163" s="10" t="n">
        <f aca="false">IF(D163&gt;0,1,0)</f>
        <v>1</v>
      </c>
      <c r="D163" s="9" t="n">
        <f aca="false">IF(SUMIFS(Sales!$D$3:$D$500,Sales!$C$3:$C$500,$A163,Sales!$B$3:$B$500,"&lt;="&amp;DATE($B163-1,12,31))&gt;0,0,SUMIFS('Asset Value'!$F$4:$F$500,'Asset Value'!$C$4:$C$500,$A163,'Asset Value'!$B$4:$B$500,$B163-1)/1000)</f>
        <v>46320</v>
      </c>
      <c r="E163" s="9" t="n">
        <f aca="false">IF(SUMIFS(Sales!$D$3:$D$500,Sales!$C$3:$C$500,$A163,Sales!$B$3:$B$500,"&gt;="&amp;DATE($B163,1,1),Sales!$B$3:$B$500,"&lt;="&amp;DATE($B163,12,31))&gt;0,SUMIFS(Sales!$D$3:$D$500,Sales!$C$3:$C$500,$A163,Sales!$B$3:$B$500,"&gt;="&amp;DATE($B163,1,1),Sales!$B$3:$B$500,"&lt;="&amp;DATE($B163,12,31))/1000,SUMIFS('Asset Value'!$F$4:$F$500,'Asset Value'!$C$4:$C$500,$A163,'Asset Value'!$B$4:$B$500,$B163)/1000)</f>
        <v>83990</v>
      </c>
      <c r="F163" s="9" t="n">
        <f aca="false">SUMIFS(Rent!$E$3:$E$500,Rent!$D$3:$D$500,$A163,Rent!$C$3:$C$500,$B163)/1000</f>
        <v>4695.29248</v>
      </c>
      <c r="G163" s="9" t="n">
        <f aca="false">SUMIFS(Costs!$D$3:$D$500,Costs!$C$3:$C$500,$A163,Costs!$B$3:$B$500,"&gt;="&amp;DATE($B163,1,1),Costs!$B$3:$B$500,"&lt;="&amp;DATE($B163,12,31))/1000</f>
        <v>0</v>
      </c>
      <c r="H163" s="9" t="n">
        <f aca="false">SUMIFS('Partial Sales'!$D$3:$D$500,'Partial Sales'!$C$3:$C$500,$A163,'Partial Sales'!$B$3:$B$500,"&gt;="&amp;DATE($B163,1,1),'Partial Sales'!$B$3:$B$500,"&lt;="&amp;DATE($B163,12,31))/1000</f>
        <v>0</v>
      </c>
      <c r="I163" s="9" t="n">
        <f aca="false">SUMIFS('Partial Purchases'!$D$3:$D$500,'Partial Purchases'!$C$3:$C$500,$A163,'Partial Purchases'!$B$3:$B$500,"&gt;="&amp;DATE($B163,1,1),'Partial Purchases'!$B$3:$B$500,"&lt;="&amp;DATE($B163,12,31))/1000</f>
        <v>0</v>
      </c>
      <c r="J163" s="9" t="n">
        <f aca="false">C163*(D163+0.5*(G163-H163+I163-F163))</f>
        <v>43972.35376</v>
      </c>
      <c r="K163" s="9" t="n">
        <f aca="false">C163*(E163-D163+H163-G163-I163)</f>
        <v>37670</v>
      </c>
      <c r="L163" s="13" t="n">
        <f aca="false">IF(J163=0,"",C163*F163/J163)</f>
        <v>0.10677828404699</v>
      </c>
      <c r="M163" s="13" t="n">
        <f aca="false">IF(J163=0,"",K163/J163)</f>
        <v>0.856674632556672</v>
      </c>
      <c r="N163" s="13" t="n">
        <f aca="false">IF(J163=0,"",L163+M163)</f>
        <v>0.963452916603662</v>
      </c>
    </row>
    <row r="164" customFormat="false" ht="15" hidden="false" customHeight="false" outlineLevel="0" collapsed="false">
      <c r="A164" s="8" t="s">
        <v>24</v>
      </c>
      <c r="B164" s="48" t="n">
        <v>2012</v>
      </c>
      <c r="C164" s="10" t="n">
        <f aca="false">IF(D164&gt;0,1,0)</f>
        <v>1</v>
      </c>
      <c r="D164" s="9" t="n">
        <f aca="false">IF(SUMIFS(Sales!$D$3:$D$500,Sales!$C$3:$C$500,$A164,Sales!$B$3:$B$500,"&lt;="&amp;DATE($B164-1,12,31))&gt;0,0,SUMIFS('Asset Value'!$F$4:$F$500,'Asset Value'!$C$4:$C$500,$A164,'Asset Value'!$B$4:$B$500,$B164-1)/1000)</f>
        <v>83990</v>
      </c>
      <c r="E164" s="9" t="n">
        <f aca="false">IF(SUMIFS(Sales!$D$3:$D$500,Sales!$C$3:$C$500,$A164,Sales!$B$3:$B$500,"&gt;="&amp;DATE($B164,1,1),Sales!$B$3:$B$500,"&lt;="&amp;DATE($B164,12,31))&gt;0,SUMIFS(Sales!$D$3:$D$500,Sales!$C$3:$C$500,$A164,Sales!$B$3:$B$500,"&gt;="&amp;DATE($B164,1,1),Sales!$B$3:$B$500,"&lt;="&amp;DATE($B164,12,31))/1000,SUMIFS('Asset Value'!$F$4:$F$500,'Asset Value'!$C$4:$C$500,$A164,'Asset Value'!$B$4:$B$500,$B164)/1000)</f>
        <v>102260</v>
      </c>
      <c r="F164" s="9" t="n">
        <f aca="false">SUMIFS(Rent!$E$3:$E$500,Rent!$D$3:$D$500,$A164,Rent!$C$3:$C$500,$B164)/1000</f>
        <v>7902</v>
      </c>
      <c r="G164" s="9" t="n">
        <f aca="false">SUMIFS(Costs!$D$3:$D$500,Costs!$C$3:$C$500,$A164,Costs!$B$3:$B$500,"&gt;="&amp;DATE($B164,1,1),Costs!$B$3:$B$500,"&lt;="&amp;DATE($B164,12,31))/1000</f>
        <v>0</v>
      </c>
      <c r="H164" s="9" t="n">
        <f aca="false">SUMIFS('Partial Sales'!$D$3:$D$500,'Partial Sales'!$C$3:$C$500,$A164,'Partial Sales'!$B$3:$B$500,"&gt;="&amp;DATE($B164,1,1),'Partial Sales'!$B$3:$B$500,"&lt;="&amp;DATE($B164,12,31))/1000</f>
        <v>0</v>
      </c>
      <c r="I164" s="9" t="n">
        <f aca="false">SUMIFS('Partial Purchases'!$D$3:$D$500,'Partial Purchases'!$C$3:$C$500,$A164,'Partial Purchases'!$B$3:$B$500,"&gt;="&amp;DATE($B164,1,1),'Partial Purchases'!$B$3:$B$500,"&lt;="&amp;DATE($B164,12,31))/1000</f>
        <v>0</v>
      </c>
      <c r="J164" s="9" t="n">
        <f aca="false">C164*(D164+0.5*(G164-H164+I164-F164))</f>
        <v>80039</v>
      </c>
      <c r="K164" s="9" t="n">
        <f aca="false">C164*(E164-D164+H164-G164-I164)</f>
        <v>18270</v>
      </c>
      <c r="L164" s="13" t="n">
        <f aca="false">IF(J164=0,"",C164*F164/J164)</f>
        <v>0.0987268706505579</v>
      </c>
      <c r="M164" s="13" t="n">
        <f aca="false">IF(J164=0,"",K164/J164)</f>
        <v>0.2282637214358</v>
      </c>
      <c r="N164" s="13" t="n">
        <f aca="false">IF(J164=0,"",L164+M164)</f>
        <v>0.326990592086358</v>
      </c>
    </row>
    <row r="165" customFormat="false" ht="15" hidden="false" customHeight="false" outlineLevel="0" collapsed="false">
      <c r="A165" s="8" t="s">
        <v>24</v>
      </c>
      <c r="B165" s="48" t="n">
        <v>2013</v>
      </c>
      <c r="C165" s="10" t="n">
        <f aca="false">IF(D165&gt;0,1,0)</f>
        <v>1</v>
      </c>
      <c r="D165" s="9" t="n">
        <f aca="false">IF(SUMIFS(Sales!$D$3:$D$500,Sales!$C$3:$C$500,$A165,Sales!$B$3:$B$500,"&lt;="&amp;DATE($B165-1,12,31))&gt;0,0,SUMIFS('Asset Value'!$F$4:$F$500,'Asset Value'!$C$4:$C$500,$A165,'Asset Value'!$B$4:$B$500,$B165-1)/1000)</f>
        <v>102260</v>
      </c>
      <c r="E165" s="9" t="n">
        <f aca="false">IF(SUMIFS(Sales!$D$3:$D$500,Sales!$C$3:$C$500,$A165,Sales!$B$3:$B$500,"&gt;="&amp;DATE($B165,1,1),Sales!$B$3:$B$500,"&lt;="&amp;DATE($B165,12,31))&gt;0,SUMIFS(Sales!$D$3:$D$500,Sales!$C$3:$C$500,$A165,Sales!$B$3:$B$500,"&gt;="&amp;DATE($B165,1,1),Sales!$B$3:$B$500,"&lt;="&amp;DATE($B165,12,31))/1000,SUMIFS('Asset Value'!$F$4:$F$500,'Asset Value'!$C$4:$C$500,$A165,'Asset Value'!$B$4:$B$500,$B165)/1000)</f>
        <v>173185</v>
      </c>
      <c r="F165" s="9" t="n">
        <f aca="false">SUMIFS(Rent!$E$3:$E$500,Rent!$D$3:$D$500,$A165,Rent!$C$3:$C$500,$B165)/1000</f>
        <v>7315</v>
      </c>
      <c r="G165" s="9" t="n">
        <f aca="false">SUMIFS(Costs!$D$3:$D$500,Costs!$C$3:$C$500,$A165,Costs!$B$3:$B$500,"&gt;="&amp;DATE($B165,1,1),Costs!$B$3:$B$500,"&lt;="&amp;DATE($B165,12,31))/1000</f>
        <v>0</v>
      </c>
      <c r="H165" s="9" t="n">
        <f aca="false">SUMIFS('Partial Sales'!$D$3:$D$500,'Partial Sales'!$C$3:$C$500,$A165,'Partial Sales'!$B$3:$B$500,"&gt;="&amp;DATE($B165,1,1),'Partial Sales'!$B$3:$B$500,"&lt;="&amp;DATE($B165,12,31))/1000</f>
        <v>0</v>
      </c>
      <c r="I165" s="9" t="n">
        <f aca="false">SUMIFS('Partial Purchases'!$D$3:$D$500,'Partial Purchases'!$C$3:$C$500,$A165,'Partial Purchases'!$B$3:$B$500,"&gt;="&amp;DATE($B165,1,1),'Partial Purchases'!$B$3:$B$500,"&lt;="&amp;DATE($B165,12,31))/1000</f>
        <v>0</v>
      </c>
      <c r="J165" s="9" t="n">
        <f aca="false">C165*(D165+0.5*(G165-H165+I165-F165))</f>
        <v>98602.5</v>
      </c>
      <c r="K165" s="9" t="n">
        <f aca="false">C165*(E165-D165+H165-G165-I165)</f>
        <v>70925</v>
      </c>
      <c r="L165" s="13" t="n">
        <f aca="false">IF(J165=0,"",C165*F165/J165)</f>
        <v>0.074186759970589</v>
      </c>
      <c r="M165" s="13" t="n">
        <f aca="false">IF(J165=0,"",K165/J165)</f>
        <v>0.71930224892878</v>
      </c>
      <c r="N165" s="13" t="n">
        <f aca="false">IF(J165=0,"",L165+M165)</f>
        <v>0.793489008899369</v>
      </c>
    </row>
    <row r="166" customFormat="false" ht="15" hidden="false" customHeight="false" outlineLevel="0" collapsed="false">
      <c r="A166" s="8" t="s">
        <v>24</v>
      </c>
      <c r="B166" s="48" t="n">
        <v>2014</v>
      </c>
      <c r="C166" s="10" t="n">
        <f aca="false">IF(D166&gt;0,1,0)</f>
        <v>1</v>
      </c>
      <c r="D166" s="9" t="n">
        <f aca="false">IF(SUMIFS(Sales!$D$3:$D$500,Sales!$C$3:$C$500,$A166,Sales!$B$3:$B$500,"&lt;="&amp;DATE($B166-1,12,31))&gt;0,0,SUMIFS('Asset Value'!$F$4:$F$500,'Asset Value'!$C$4:$C$500,$A166,'Asset Value'!$B$4:$B$500,$B166-1)/1000)</f>
        <v>173185</v>
      </c>
      <c r="E166" s="9" t="n">
        <f aca="false">IF(SUMIFS(Sales!$D$3:$D$500,Sales!$C$3:$C$500,$A166,Sales!$B$3:$B$500,"&gt;="&amp;DATE($B166,1,1),Sales!$B$3:$B$500,"&lt;="&amp;DATE($B166,12,31))&gt;0,SUMIFS(Sales!$D$3:$D$500,Sales!$C$3:$C$500,$A166,Sales!$B$3:$B$500,"&gt;="&amp;DATE($B166,1,1),Sales!$B$3:$B$500,"&lt;="&amp;DATE($B166,12,31))/1000,SUMIFS('Asset Value'!$F$4:$F$500,'Asset Value'!$C$4:$C$500,$A166,'Asset Value'!$B$4:$B$500,$B166)/1000)</f>
        <v>183096</v>
      </c>
      <c r="F166" s="9" t="n">
        <f aca="false">SUMIFS(Rent!$E$3:$E$500,Rent!$D$3:$D$500,$A166,Rent!$C$3:$C$500,$B166)/1000</f>
        <v>7608</v>
      </c>
      <c r="G166" s="9" t="n">
        <f aca="false">SUMIFS(Costs!$D$3:$D$500,Costs!$C$3:$C$500,$A166,Costs!$B$3:$B$500,"&gt;="&amp;DATE($B166,1,1),Costs!$B$3:$B$500,"&lt;="&amp;DATE($B166,12,31))/1000</f>
        <v>0</v>
      </c>
      <c r="H166" s="9" t="n">
        <f aca="false">SUMIFS('Partial Sales'!$D$3:$D$500,'Partial Sales'!$C$3:$C$500,$A166,'Partial Sales'!$B$3:$B$500,"&gt;="&amp;DATE($B166,1,1),'Partial Sales'!$B$3:$B$500,"&lt;="&amp;DATE($B166,12,31))/1000</f>
        <v>0</v>
      </c>
      <c r="I166" s="9" t="n">
        <f aca="false">SUMIFS('Partial Purchases'!$D$3:$D$500,'Partial Purchases'!$C$3:$C$500,$A166,'Partial Purchases'!$B$3:$B$500,"&gt;="&amp;DATE($B166,1,1),'Partial Purchases'!$B$3:$B$500,"&lt;="&amp;DATE($B166,12,31))/1000</f>
        <v>0</v>
      </c>
      <c r="J166" s="9" t="n">
        <f aca="false">C166*(D166+0.5*(G166-H166+I166-F166))</f>
        <v>169381</v>
      </c>
      <c r="K166" s="9" t="n">
        <f aca="false">C166*(E166-D166+H166-G166-I166)</f>
        <v>9911</v>
      </c>
      <c r="L166" s="13" t="n">
        <f aca="false">IF(J166=0,"",C166*F166/J166)</f>
        <v>0.0449164900431571</v>
      </c>
      <c r="M166" s="13" t="n">
        <f aca="false">IF(J166=0,"",K166/J166)</f>
        <v>0.058513056364055</v>
      </c>
      <c r="N166" s="13" t="n">
        <f aca="false">IF(J166=0,"",L166+M166)</f>
        <v>0.103429546407212</v>
      </c>
    </row>
    <row r="167" customFormat="false" ht="15" hidden="false" customHeight="false" outlineLevel="0" collapsed="false">
      <c r="A167" s="49" t="s">
        <v>24</v>
      </c>
      <c r="B167" s="50" t="n">
        <v>2015</v>
      </c>
      <c r="C167" s="51" t="n">
        <f aca="false">IF(D167&gt;0,1,0)</f>
        <v>1</v>
      </c>
      <c r="D167" s="52" t="n">
        <f aca="false">IF(SUMIFS(Sales!$D$3:$D$500,Sales!$C$3:$C$500,$A167,Sales!$B$3:$B$500,"&lt;="&amp;DATE($B167-1,12,31))&gt;0,0,SUMIFS('Asset Value'!$F$4:$F$500,'Asset Value'!$C$4:$C$500,$A167,'Asset Value'!$B$4:$B$500,$B167-1)/1000)</f>
        <v>183096</v>
      </c>
      <c r="E167" s="52" t="n">
        <f aca="false">IF(SUMIFS(Sales!$D$3:$D$500,Sales!$C$3:$C$500,$A167,Sales!$B$3:$B$500,"&gt;="&amp;DATE($B167,1,1),Sales!$B$3:$B$500,"&lt;="&amp;DATE($B167,12,31))&gt;0,SUMIFS(Sales!$D$3:$D$500,Sales!$C$3:$C$500,$A167,Sales!$B$3:$B$500,"&gt;="&amp;DATE($B167,1,1),Sales!$B$3:$B$500,"&lt;="&amp;DATE($B167,12,31))/1000,SUMIFS('Asset Value'!$F$4:$F$500,'Asset Value'!$C$4:$C$500,$A167,'Asset Value'!$B$4:$B$500,$B167)/1000)</f>
        <v>187600</v>
      </c>
      <c r="F167" s="52" t="n">
        <f aca="false">SUMIFS(Rent!$E$3:$E$500,Rent!$D$3:$D$500,$A167,Rent!$C$3:$C$500,$B167)/1000</f>
        <v>10130</v>
      </c>
      <c r="G167" s="52" t="n">
        <f aca="false">SUMIFS(Costs!$D$3:$D$500,Costs!$C$3:$C$500,$A167,Costs!$B$3:$B$500,"&gt;="&amp;DATE($B167,1,1),Costs!$B$3:$B$500,"&lt;="&amp;DATE($B167,12,31))/1000</f>
        <v>0</v>
      </c>
      <c r="H167" s="52" t="n">
        <f aca="false">SUMIFS('Partial Sales'!$D$3:$D$500,'Partial Sales'!$C$3:$C$500,$A167,'Partial Sales'!$B$3:$B$500,"&gt;="&amp;DATE($B167,1,1),'Partial Sales'!$B$3:$B$500,"&lt;="&amp;DATE($B167,12,31))/1000</f>
        <v>0</v>
      </c>
      <c r="I167" s="52" t="n">
        <f aca="false">SUMIFS('Partial Purchases'!$D$3:$D$500,'Partial Purchases'!$C$3:$C$500,$A167,'Partial Purchases'!$B$3:$B$500,"&gt;="&amp;DATE($B167,1,1),'Partial Purchases'!$B$3:$B$500,"&lt;="&amp;DATE($B167,12,31))/1000</f>
        <v>0</v>
      </c>
      <c r="J167" s="52" t="n">
        <f aca="false">C167*(D167+0.5*(G167-H167+I167-F167))</f>
        <v>178031</v>
      </c>
      <c r="K167" s="52" t="n">
        <f aca="false">C167*(E167-D167+H167-G167-I167)</f>
        <v>4504</v>
      </c>
      <c r="L167" s="46" t="n">
        <f aca="false">IF(J167=0,"",C167*F167/J167)</f>
        <v>0.0569002027736743</v>
      </c>
      <c r="M167" s="46" t="n">
        <f aca="false">IF(J167=0,"",K167/J167)</f>
        <v>0.0252989647870315</v>
      </c>
      <c r="N167" s="46" t="n">
        <f aca="false">IF(J167=0,"",L167+M167)</f>
        <v>0.0821991675607057</v>
      </c>
    </row>
    <row r="168" customFormat="false" ht="15" hidden="false" customHeight="false" outlineLevel="0" collapsed="false">
      <c r="A168" s="8" t="s">
        <v>25</v>
      </c>
      <c r="B168" s="48" t="n">
        <v>2008</v>
      </c>
      <c r="C168" s="10" t="n">
        <f aca="false">IF(D168&gt;0,1,0)</f>
        <v>0</v>
      </c>
      <c r="D168" s="9" t="n">
        <f aca="false">IF(SUMIFS(Sales!$D$3:$D$500,Sales!$C$3:$C$500,$A168,Sales!$B$3:$B$500,"&lt;="&amp;DATE($B168-1,12,31))&gt;0,0,SUMIFS('Asset Value'!$F$4:$F$500,'Asset Value'!$C$4:$C$500,$A168,'Asset Value'!$B$4:$B$500,$B168-1)/1000)</f>
        <v>0</v>
      </c>
      <c r="E168" s="9" t="n">
        <f aca="false">IF(SUMIFS(Sales!$D$3:$D$500,Sales!$C$3:$C$500,$A168,Sales!$B$3:$B$500,"&gt;="&amp;DATE($B168,1,1),Sales!$B$3:$B$500,"&lt;="&amp;DATE($B168,12,31))&gt;0,SUMIFS(Sales!$D$3:$D$500,Sales!$C$3:$C$500,$A168,Sales!$B$3:$B$500,"&gt;="&amp;DATE($B168,1,1),Sales!$B$3:$B$500,"&lt;="&amp;DATE($B168,12,31))/1000,SUMIFS('Asset Value'!$F$4:$F$500,'Asset Value'!$C$4:$C$500,$A168,'Asset Value'!$B$4:$B$500,$B168)/1000)</f>
        <v>156660</v>
      </c>
      <c r="F168" s="9" t="n">
        <f aca="false">SUMIFS(Rent!$E$3:$E$500,Rent!$D$3:$D$500,$A168,Rent!$C$3:$C$500,$B168)/1000</f>
        <v>0</v>
      </c>
      <c r="G168" s="9" t="n">
        <f aca="false">SUMIFS(Costs!$D$3:$D$500,Costs!$C$3:$C$500,$A168,Costs!$B$3:$B$500,"&gt;="&amp;DATE($B168,1,1),Costs!$B$3:$B$500,"&lt;="&amp;DATE($B168,12,31))/1000</f>
        <v>0</v>
      </c>
      <c r="H168" s="9" t="n">
        <f aca="false">SUMIFS('Partial Sales'!$D$3:$D$500,'Partial Sales'!$C$3:$C$500,$A168,'Partial Sales'!$B$3:$B$500,"&gt;="&amp;DATE($B168,1,1),'Partial Sales'!$B$3:$B$500,"&lt;="&amp;DATE($B168,12,31))/1000</f>
        <v>0</v>
      </c>
      <c r="I168" s="9" t="n">
        <f aca="false">SUMIFS('Partial Purchases'!$D$3:$D$500,'Partial Purchases'!$C$3:$C$500,$A168,'Partial Purchases'!$B$3:$B$500,"&gt;="&amp;DATE($B168,1,1),'Partial Purchases'!$B$3:$B$500,"&lt;="&amp;DATE($B168,12,31))/1000</f>
        <v>0</v>
      </c>
      <c r="J168" s="9" t="n">
        <f aca="false">C168*(D168+0.5*(G168-H168+I168-F168))</f>
        <v>0</v>
      </c>
      <c r="K168" s="9" t="n">
        <f aca="false">C168*(E168-D168+H168-G168-I168)</f>
        <v>0</v>
      </c>
      <c r="L168" s="13" t="str">
        <f aca="false">IF(J168=0,"",C168*F168/J168)</f>
        <v/>
      </c>
      <c r="M168" s="13" t="str">
        <f aca="false">IF(J168=0,"",K168/J168)</f>
        <v/>
      </c>
      <c r="N168" s="13" t="str">
        <f aca="false">IF(J168=0,"",L168+M168)</f>
        <v/>
      </c>
    </row>
    <row r="169" customFormat="false" ht="15" hidden="false" customHeight="false" outlineLevel="0" collapsed="false">
      <c r="A169" s="8" t="s">
        <v>25</v>
      </c>
      <c r="B169" s="48" t="n">
        <v>2009</v>
      </c>
      <c r="C169" s="10" t="n">
        <f aca="false">IF(D169&gt;0,1,0)</f>
        <v>1</v>
      </c>
      <c r="D169" s="9" t="n">
        <f aca="false">IF(SUMIFS(Sales!$D$3:$D$500,Sales!$C$3:$C$500,$A169,Sales!$B$3:$B$500,"&lt;="&amp;DATE($B169-1,12,31))&gt;0,0,SUMIFS('Asset Value'!$F$4:$F$500,'Asset Value'!$C$4:$C$500,$A169,'Asset Value'!$B$4:$B$500,$B169-1)/1000)</f>
        <v>156660</v>
      </c>
      <c r="E169" s="9" t="n">
        <f aca="false">IF(SUMIFS(Sales!$D$3:$D$500,Sales!$C$3:$C$500,$A169,Sales!$B$3:$B$500,"&gt;="&amp;DATE($B169,1,1),Sales!$B$3:$B$500,"&lt;="&amp;DATE($B169,12,31))&gt;0,SUMIFS(Sales!$D$3:$D$500,Sales!$C$3:$C$500,$A169,Sales!$B$3:$B$500,"&gt;="&amp;DATE($B169,1,1),Sales!$B$3:$B$500,"&lt;="&amp;DATE($B169,12,31))/1000,SUMIFS('Asset Value'!$F$4:$F$500,'Asset Value'!$C$4:$C$500,$A169,'Asset Value'!$B$4:$B$500,$B169)/1000)</f>
        <v>207350</v>
      </c>
      <c r="F169" s="9" t="n">
        <f aca="false">SUMIFS(Rent!$E$3:$E$500,Rent!$D$3:$D$500,$A169,Rent!$C$3:$C$500,$B169)/1000</f>
        <v>0</v>
      </c>
      <c r="G169" s="9" t="n">
        <f aca="false">SUMIFS(Costs!$D$3:$D$500,Costs!$C$3:$C$500,$A169,Costs!$B$3:$B$500,"&gt;="&amp;DATE($B169,1,1),Costs!$B$3:$B$500,"&lt;="&amp;DATE($B169,12,31))/1000</f>
        <v>0</v>
      </c>
      <c r="H169" s="9" t="n">
        <f aca="false">SUMIFS('Partial Sales'!$D$3:$D$500,'Partial Sales'!$C$3:$C$500,$A169,'Partial Sales'!$B$3:$B$500,"&gt;="&amp;DATE($B169,1,1),'Partial Sales'!$B$3:$B$500,"&lt;="&amp;DATE($B169,12,31))/1000</f>
        <v>0</v>
      </c>
      <c r="I169" s="9" t="n">
        <f aca="false">SUMIFS('Partial Purchases'!$D$3:$D$500,'Partial Purchases'!$C$3:$C$500,$A169,'Partial Purchases'!$B$3:$B$500,"&gt;="&amp;DATE($B169,1,1),'Partial Purchases'!$B$3:$B$500,"&lt;="&amp;DATE($B169,12,31))/1000</f>
        <v>0</v>
      </c>
      <c r="J169" s="9" t="n">
        <f aca="false">C169*(D169+0.5*(G169-H169+I169-F169))</f>
        <v>156660</v>
      </c>
      <c r="K169" s="9" t="n">
        <f aca="false">C169*(E169-D169+H169-G169-I169)</f>
        <v>50690</v>
      </c>
      <c r="L169" s="13" t="n">
        <f aca="false">IF(J169=0,"",C169*F169/J169)</f>
        <v>0</v>
      </c>
      <c r="M169" s="13" t="n">
        <f aca="false">IF(J169=0,"",K169/J169)</f>
        <v>0.323566960296183</v>
      </c>
      <c r="N169" s="13" t="n">
        <f aca="false">IF(J169=0,"",L169+M169)</f>
        <v>0.323566960296183</v>
      </c>
    </row>
    <row r="170" customFormat="false" ht="15" hidden="false" customHeight="false" outlineLevel="0" collapsed="false">
      <c r="A170" s="8" t="s">
        <v>25</v>
      </c>
      <c r="B170" s="48" t="n">
        <v>2010</v>
      </c>
      <c r="C170" s="10" t="n">
        <f aca="false">IF(D170&gt;0,1,0)</f>
        <v>1</v>
      </c>
      <c r="D170" s="9" t="n">
        <f aca="false">IF(SUMIFS(Sales!$D$3:$D$500,Sales!$C$3:$C$500,$A170,Sales!$B$3:$B$500,"&lt;="&amp;DATE($B170-1,12,31))&gt;0,0,SUMIFS('Asset Value'!$F$4:$F$500,'Asset Value'!$C$4:$C$500,$A170,'Asset Value'!$B$4:$B$500,$B170-1)/1000)</f>
        <v>207350</v>
      </c>
      <c r="E170" s="9" t="n">
        <f aca="false">IF(SUMIFS(Sales!$D$3:$D$500,Sales!$C$3:$C$500,$A170,Sales!$B$3:$B$500,"&gt;="&amp;DATE($B170,1,1),Sales!$B$3:$B$500,"&lt;="&amp;DATE($B170,12,31))&gt;0,SUMIFS(Sales!$D$3:$D$500,Sales!$C$3:$C$500,$A170,Sales!$B$3:$B$500,"&gt;="&amp;DATE($B170,1,1),Sales!$B$3:$B$500,"&lt;="&amp;DATE($B170,12,31))/1000,SUMIFS('Asset Value'!$F$4:$F$500,'Asset Value'!$C$4:$C$500,$A170,'Asset Value'!$B$4:$B$500,$B170)/1000)</f>
        <v>199850</v>
      </c>
      <c r="F170" s="9" t="n">
        <f aca="false">SUMIFS(Rent!$E$3:$E$500,Rent!$D$3:$D$500,$A170,Rent!$C$3:$C$500,$B170)/1000</f>
        <v>0</v>
      </c>
      <c r="G170" s="9" t="n">
        <f aca="false">SUMIFS(Costs!$D$3:$D$500,Costs!$C$3:$C$500,$A170,Costs!$B$3:$B$500,"&gt;="&amp;DATE($B170,1,1),Costs!$B$3:$B$500,"&lt;="&amp;DATE($B170,12,31))/1000</f>
        <v>0</v>
      </c>
      <c r="H170" s="9" t="n">
        <f aca="false">SUMIFS('Partial Sales'!$D$3:$D$500,'Partial Sales'!$C$3:$C$500,$A170,'Partial Sales'!$B$3:$B$500,"&gt;="&amp;DATE($B170,1,1),'Partial Sales'!$B$3:$B$500,"&lt;="&amp;DATE($B170,12,31))/1000</f>
        <v>0</v>
      </c>
      <c r="I170" s="9" t="n">
        <f aca="false">SUMIFS('Partial Purchases'!$D$3:$D$500,'Partial Purchases'!$C$3:$C$500,$A170,'Partial Purchases'!$B$3:$B$500,"&gt;="&amp;DATE($B170,1,1),'Partial Purchases'!$B$3:$B$500,"&lt;="&amp;DATE($B170,12,31))/1000</f>
        <v>0</v>
      </c>
      <c r="J170" s="9" t="n">
        <f aca="false">C170*(D170+0.5*(G170-H170+I170-F170))</f>
        <v>207350</v>
      </c>
      <c r="K170" s="9" t="n">
        <f aca="false">C170*(E170-D170+H170-G170-I170)</f>
        <v>-7500</v>
      </c>
      <c r="L170" s="13" t="n">
        <f aca="false">IF(J170=0,"",C170*F170/J170)</f>
        <v>0</v>
      </c>
      <c r="M170" s="13" t="n">
        <f aca="false">IF(J170=0,"",K170/J170)</f>
        <v>-0.0361707258258982</v>
      </c>
      <c r="N170" s="13" t="n">
        <f aca="false">IF(J170=0,"",L170+M170)</f>
        <v>-0.0361707258258982</v>
      </c>
    </row>
    <row r="171" customFormat="false" ht="15" hidden="false" customHeight="false" outlineLevel="0" collapsed="false">
      <c r="A171" s="8" t="s">
        <v>25</v>
      </c>
      <c r="B171" s="48" t="n">
        <v>2011</v>
      </c>
      <c r="C171" s="10" t="n">
        <f aca="false">IF(D171&gt;0,1,0)</f>
        <v>1</v>
      </c>
      <c r="D171" s="9" t="n">
        <f aca="false">IF(SUMIFS(Sales!$D$3:$D$500,Sales!$C$3:$C$500,$A171,Sales!$B$3:$B$500,"&lt;="&amp;DATE($B171-1,12,31))&gt;0,0,SUMIFS('Asset Value'!$F$4:$F$500,'Asset Value'!$C$4:$C$500,$A171,'Asset Value'!$B$4:$B$500,$B171-1)/1000)</f>
        <v>199850</v>
      </c>
      <c r="E171" s="9" t="n">
        <f aca="false">IF(SUMIFS(Sales!$D$3:$D$500,Sales!$C$3:$C$500,$A171,Sales!$B$3:$B$500,"&gt;="&amp;DATE($B171,1,1),Sales!$B$3:$B$500,"&lt;="&amp;DATE($B171,12,31))&gt;0,SUMIFS(Sales!$D$3:$D$500,Sales!$C$3:$C$500,$A171,Sales!$B$3:$B$500,"&gt;="&amp;DATE($B171,1,1),Sales!$B$3:$B$500,"&lt;="&amp;DATE($B171,12,31))/1000,SUMIFS('Asset Value'!$F$4:$F$500,'Asset Value'!$C$4:$C$500,$A171,'Asset Value'!$B$4:$B$500,$B171)/1000)</f>
        <v>222570</v>
      </c>
      <c r="F171" s="9" t="n">
        <f aca="false">SUMIFS(Rent!$E$3:$E$500,Rent!$D$3:$D$500,$A171,Rent!$C$3:$C$500,$B171)/1000</f>
        <v>0</v>
      </c>
      <c r="G171" s="9" t="n">
        <f aca="false">SUMIFS(Costs!$D$3:$D$500,Costs!$C$3:$C$500,$A171,Costs!$B$3:$B$500,"&gt;="&amp;DATE($B171,1,1),Costs!$B$3:$B$500,"&lt;="&amp;DATE($B171,12,31))/1000</f>
        <v>0</v>
      </c>
      <c r="H171" s="9" t="n">
        <f aca="false">SUMIFS('Partial Sales'!$D$3:$D$500,'Partial Sales'!$C$3:$C$500,$A171,'Partial Sales'!$B$3:$B$500,"&gt;="&amp;DATE($B171,1,1),'Partial Sales'!$B$3:$B$500,"&lt;="&amp;DATE($B171,12,31))/1000</f>
        <v>0</v>
      </c>
      <c r="I171" s="9" t="n">
        <f aca="false">SUMIFS('Partial Purchases'!$D$3:$D$500,'Partial Purchases'!$C$3:$C$500,$A171,'Partial Purchases'!$B$3:$B$500,"&gt;="&amp;DATE($B171,1,1),'Partial Purchases'!$B$3:$B$500,"&lt;="&amp;DATE($B171,12,31))/1000</f>
        <v>0</v>
      </c>
      <c r="J171" s="9" t="n">
        <f aca="false">C171*(D171+0.5*(G171-H171+I171-F171))</f>
        <v>199850</v>
      </c>
      <c r="K171" s="9" t="n">
        <f aca="false">C171*(E171-D171+H171-G171-I171)</f>
        <v>22720</v>
      </c>
      <c r="L171" s="13" t="n">
        <f aca="false">IF(J171=0,"",C171*F171/J171)</f>
        <v>0</v>
      </c>
      <c r="M171" s="13" t="n">
        <f aca="false">IF(J171=0,"",K171/J171)</f>
        <v>0.113685263947961</v>
      </c>
      <c r="N171" s="13" t="n">
        <f aca="false">IF(J171=0,"",L171+M171)</f>
        <v>0.113685263947961</v>
      </c>
    </row>
    <row r="172" customFormat="false" ht="15" hidden="false" customHeight="false" outlineLevel="0" collapsed="false">
      <c r="A172" s="8" t="s">
        <v>25</v>
      </c>
      <c r="B172" s="48" t="n">
        <v>2012</v>
      </c>
      <c r="C172" s="10" t="n">
        <f aca="false">IF(D172&gt;0,1,0)</f>
        <v>1</v>
      </c>
      <c r="D172" s="9" t="n">
        <f aca="false">IF(SUMIFS(Sales!$D$3:$D$500,Sales!$C$3:$C$500,$A172,Sales!$B$3:$B$500,"&lt;="&amp;DATE($B172-1,12,31))&gt;0,0,SUMIFS('Asset Value'!$F$4:$F$500,'Asset Value'!$C$4:$C$500,$A172,'Asset Value'!$B$4:$B$500,$B172-1)/1000)</f>
        <v>222570</v>
      </c>
      <c r="E172" s="9" t="n">
        <f aca="false">IF(SUMIFS(Sales!$D$3:$D$500,Sales!$C$3:$C$500,$A172,Sales!$B$3:$B$500,"&gt;="&amp;DATE($B172,1,1),Sales!$B$3:$B$500,"&lt;="&amp;DATE($B172,12,31))&gt;0,SUMIFS(Sales!$D$3:$D$500,Sales!$C$3:$C$500,$A172,Sales!$B$3:$B$500,"&gt;="&amp;DATE($B172,1,1),Sales!$B$3:$B$500,"&lt;="&amp;DATE($B172,12,31))/1000,SUMIFS('Asset Value'!$F$4:$F$500,'Asset Value'!$C$4:$C$500,$A172,'Asset Value'!$B$4:$B$500,$B172)/1000)</f>
        <v>262140</v>
      </c>
      <c r="F172" s="9" t="n">
        <f aca="false">SUMIFS(Rent!$E$3:$E$500,Rent!$D$3:$D$500,$A172,Rent!$C$3:$C$500,$B172)/1000</f>
        <v>0</v>
      </c>
      <c r="G172" s="9" t="n">
        <f aca="false">SUMIFS(Costs!$D$3:$D$500,Costs!$C$3:$C$500,$A172,Costs!$B$3:$B$500,"&gt;="&amp;DATE($B172,1,1),Costs!$B$3:$B$500,"&lt;="&amp;DATE($B172,12,31))/1000</f>
        <v>0</v>
      </c>
      <c r="H172" s="9" t="n">
        <f aca="false">SUMIFS('Partial Sales'!$D$3:$D$500,'Partial Sales'!$C$3:$C$500,$A172,'Partial Sales'!$B$3:$B$500,"&gt;="&amp;DATE($B172,1,1),'Partial Sales'!$B$3:$B$500,"&lt;="&amp;DATE($B172,12,31))/1000</f>
        <v>0</v>
      </c>
      <c r="I172" s="9" t="n">
        <f aca="false">SUMIFS('Partial Purchases'!$D$3:$D$500,'Partial Purchases'!$C$3:$C$500,$A172,'Partial Purchases'!$B$3:$B$500,"&gt;="&amp;DATE($B172,1,1),'Partial Purchases'!$B$3:$B$500,"&lt;="&amp;DATE($B172,12,31))/1000</f>
        <v>0</v>
      </c>
      <c r="J172" s="9" t="n">
        <f aca="false">C172*(D172+0.5*(G172-H172+I172-F172))</f>
        <v>222570</v>
      </c>
      <c r="K172" s="9" t="n">
        <f aca="false">C172*(E172-D172+H172-G172-I172)</f>
        <v>39570</v>
      </c>
      <c r="L172" s="13" t="n">
        <f aca="false">IF(J172=0,"",C172*F172/J172)</f>
        <v>0</v>
      </c>
      <c r="M172" s="13" t="n">
        <f aca="false">IF(J172=0,"",K172/J172)</f>
        <v>0.177786763714786</v>
      </c>
      <c r="N172" s="13" t="n">
        <f aca="false">IF(J172=0,"",L172+M172)</f>
        <v>0.177786763714786</v>
      </c>
    </row>
    <row r="173" customFormat="false" ht="15" hidden="false" customHeight="false" outlineLevel="0" collapsed="false">
      <c r="A173" s="8" t="s">
        <v>25</v>
      </c>
      <c r="B173" s="48" t="n">
        <v>2013</v>
      </c>
      <c r="C173" s="10" t="n">
        <f aca="false">IF(D173&gt;0,1,0)</f>
        <v>1</v>
      </c>
      <c r="D173" s="9" t="n">
        <f aca="false">IF(SUMIFS(Sales!$D$3:$D$500,Sales!$C$3:$C$500,$A173,Sales!$B$3:$B$500,"&lt;="&amp;DATE($B173-1,12,31))&gt;0,0,SUMIFS('Asset Value'!$F$4:$F$500,'Asset Value'!$C$4:$C$500,$A173,'Asset Value'!$B$4:$B$500,$B173-1)/1000)</f>
        <v>262140</v>
      </c>
      <c r="E173" s="9" t="n">
        <f aca="false">IF(SUMIFS(Sales!$D$3:$D$500,Sales!$C$3:$C$500,$A173,Sales!$B$3:$B$500,"&gt;="&amp;DATE($B173,1,1),Sales!$B$3:$B$500,"&lt;="&amp;DATE($B173,12,31))&gt;0,SUMIFS(Sales!$D$3:$D$500,Sales!$C$3:$C$500,$A173,Sales!$B$3:$B$500,"&gt;="&amp;DATE($B173,1,1),Sales!$B$3:$B$500,"&lt;="&amp;DATE($B173,12,31))/1000,SUMIFS('Asset Value'!$F$4:$F$500,'Asset Value'!$C$4:$C$500,$A173,'Asset Value'!$B$4:$B$500,$B173)/1000)</f>
        <v>305364</v>
      </c>
      <c r="F173" s="9" t="n">
        <f aca="false">SUMIFS(Rent!$E$3:$E$500,Rent!$D$3:$D$500,$A173,Rent!$C$3:$C$500,$B173)/1000</f>
        <v>0</v>
      </c>
      <c r="G173" s="9" t="n">
        <f aca="false">SUMIFS(Costs!$D$3:$D$500,Costs!$C$3:$C$500,$A173,Costs!$B$3:$B$500,"&gt;="&amp;DATE($B173,1,1),Costs!$B$3:$B$500,"&lt;="&amp;DATE($B173,12,31))/1000</f>
        <v>0</v>
      </c>
      <c r="H173" s="9" t="n">
        <f aca="false">SUMIFS('Partial Sales'!$D$3:$D$500,'Partial Sales'!$C$3:$C$500,$A173,'Partial Sales'!$B$3:$B$500,"&gt;="&amp;DATE($B173,1,1),'Partial Sales'!$B$3:$B$500,"&lt;="&amp;DATE($B173,12,31))/1000</f>
        <v>0</v>
      </c>
      <c r="I173" s="9" t="n">
        <f aca="false">SUMIFS('Partial Purchases'!$D$3:$D$500,'Partial Purchases'!$C$3:$C$500,$A173,'Partial Purchases'!$B$3:$B$500,"&gt;="&amp;DATE($B173,1,1),'Partial Purchases'!$B$3:$B$500,"&lt;="&amp;DATE($B173,12,31))/1000</f>
        <v>0</v>
      </c>
      <c r="J173" s="9" t="n">
        <f aca="false">C173*(D173+0.5*(G173-H173+I173-F173))</f>
        <v>262140</v>
      </c>
      <c r="K173" s="9" t="n">
        <f aca="false">C173*(E173-D173+H173-G173-I173)</f>
        <v>43224</v>
      </c>
      <c r="L173" s="13" t="n">
        <f aca="false">IF(J173=0,"",C173*F173/J173)</f>
        <v>0</v>
      </c>
      <c r="M173" s="13" t="n">
        <f aca="false">IF(J173=0,"",K173/J173)</f>
        <v>0.164888990615702</v>
      </c>
      <c r="N173" s="13" t="n">
        <f aca="false">IF(J173=0,"",L173+M173)</f>
        <v>0.164888990615702</v>
      </c>
    </row>
    <row r="174" customFormat="false" ht="15" hidden="false" customHeight="false" outlineLevel="0" collapsed="false">
      <c r="A174" s="8" t="s">
        <v>25</v>
      </c>
      <c r="B174" s="48" t="n">
        <v>2014</v>
      </c>
      <c r="C174" s="10" t="n">
        <f aca="false">IF(D174&gt;0,1,0)</f>
        <v>1</v>
      </c>
      <c r="D174" s="9" t="n">
        <f aca="false">IF(SUMIFS(Sales!$D$3:$D$500,Sales!$C$3:$C$500,$A174,Sales!$B$3:$B$500,"&lt;="&amp;DATE($B174-1,12,31))&gt;0,0,SUMIFS('Asset Value'!$F$4:$F$500,'Asset Value'!$C$4:$C$500,$A174,'Asset Value'!$B$4:$B$500,$B174-1)/1000)</f>
        <v>305364</v>
      </c>
      <c r="E174" s="9" t="n">
        <f aca="false">IF(SUMIFS(Sales!$D$3:$D$500,Sales!$C$3:$C$500,$A174,Sales!$B$3:$B$500,"&gt;="&amp;DATE($B174,1,1),Sales!$B$3:$B$500,"&lt;="&amp;DATE($B174,12,31))&gt;0,SUMIFS(Sales!$D$3:$D$500,Sales!$C$3:$C$500,$A174,Sales!$B$3:$B$500,"&gt;="&amp;DATE($B174,1,1),Sales!$B$3:$B$500,"&lt;="&amp;DATE($B174,12,31))/1000,SUMIFS('Asset Value'!$F$4:$F$500,'Asset Value'!$C$4:$C$500,$A174,'Asset Value'!$B$4:$B$500,$B174)/1000)</f>
        <v>346990</v>
      </c>
      <c r="F174" s="9" t="n">
        <f aca="false">SUMIFS(Rent!$E$3:$E$500,Rent!$D$3:$D$500,$A174,Rent!$C$3:$C$500,$B174)/1000</f>
        <v>151</v>
      </c>
      <c r="G174" s="9" t="n">
        <f aca="false">SUMIFS(Costs!$D$3:$D$500,Costs!$C$3:$C$500,$A174,Costs!$B$3:$B$500,"&gt;="&amp;DATE($B174,1,1),Costs!$B$3:$B$500,"&lt;="&amp;DATE($B174,12,31))/1000</f>
        <v>0</v>
      </c>
      <c r="H174" s="9" t="n">
        <f aca="false">SUMIFS('Partial Sales'!$D$3:$D$500,'Partial Sales'!$C$3:$C$500,$A174,'Partial Sales'!$B$3:$B$500,"&gt;="&amp;DATE($B174,1,1),'Partial Sales'!$B$3:$B$500,"&lt;="&amp;DATE($B174,12,31))/1000</f>
        <v>0</v>
      </c>
      <c r="I174" s="9" t="n">
        <f aca="false">SUMIFS('Partial Purchases'!$D$3:$D$500,'Partial Purchases'!$C$3:$C$500,$A174,'Partial Purchases'!$B$3:$B$500,"&gt;="&amp;DATE($B174,1,1),'Partial Purchases'!$B$3:$B$500,"&lt;="&amp;DATE($B174,12,31))/1000</f>
        <v>0</v>
      </c>
      <c r="J174" s="9" t="n">
        <f aca="false">C174*(D174+0.5*(G174-H174+I174-F174))</f>
        <v>305288.5</v>
      </c>
      <c r="K174" s="9" t="n">
        <f aca="false">C174*(E174-D174+H174-G174-I174)</f>
        <v>41626</v>
      </c>
      <c r="L174" s="13" t="n">
        <f aca="false">IF(J174=0,"",C174*F174/J174)</f>
        <v>0.000494614110914758</v>
      </c>
      <c r="M174" s="13" t="n">
        <f aca="false">IF(J174=0,"",K174/J174)</f>
        <v>0.136349715105548</v>
      </c>
      <c r="N174" s="13" t="n">
        <f aca="false">IF(J174=0,"",L174+M174)</f>
        <v>0.136844329216462</v>
      </c>
    </row>
    <row r="175" customFormat="false" ht="15" hidden="false" customHeight="false" outlineLevel="0" collapsed="false">
      <c r="A175" s="49" t="s">
        <v>25</v>
      </c>
      <c r="B175" s="50" t="n">
        <v>2015</v>
      </c>
      <c r="C175" s="51" t="n">
        <f aca="false">IF(D175&gt;0,1,0)</f>
        <v>1</v>
      </c>
      <c r="D175" s="52" t="n">
        <f aca="false">IF(SUMIFS(Sales!$D$3:$D$500,Sales!$C$3:$C$500,$A175,Sales!$B$3:$B$500,"&lt;="&amp;DATE($B175-1,12,31))&gt;0,0,SUMIFS('Asset Value'!$F$4:$F$500,'Asset Value'!$C$4:$C$500,$A175,'Asset Value'!$B$4:$B$500,$B175-1)/1000)</f>
        <v>346990</v>
      </c>
      <c r="E175" s="52" t="n">
        <f aca="false">IF(SUMIFS(Sales!$D$3:$D$500,Sales!$C$3:$C$500,$A175,Sales!$B$3:$B$500,"&gt;="&amp;DATE($B175,1,1),Sales!$B$3:$B$500,"&lt;="&amp;DATE($B175,12,31))&gt;0,SUMIFS(Sales!$D$3:$D$500,Sales!$C$3:$C$500,$A175,Sales!$B$3:$B$500,"&gt;="&amp;DATE($B175,1,1),Sales!$B$3:$B$500,"&lt;="&amp;DATE($B175,12,31))/1000,SUMIFS('Asset Value'!$F$4:$F$500,'Asset Value'!$C$4:$C$500,$A175,'Asset Value'!$B$4:$B$500,$B175)/1000)</f>
        <v>412090</v>
      </c>
      <c r="F175" s="52" t="n">
        <f aca="false">SUMIFS(Rent!$E$3:$E$500,Rent!$D$3:$D$500,$A175,Rent!$C$3:$C$500,$B175)/1000</f>
        <v>159</v>
      </c>
      <c r="G175" s="52" t="n">
        <f aca="false">SUMIFS(Costs!$D$3:$D$500,Costs!$C$3:$C$500,$A175,Costs!$B$3:$B$500,"&gt;="&amp;DATE($B175,1,1),Costs!$B$3:$B$500,"&lt;="&amp;DATE($B175,12,31))/1000</f>
        <v>0</v>
      </c>
      <c r="H175" s="52" t="n">
        <f aca="false">SUMIFS('Partial Sales'!$D$3:$D$500,'Partial Sales'!$C$3:$C$500,$A175,'Partial Sales'!$B$3:$B$500,"&gt;="&amp;DATE($B175,1,1),'Partial Sales'!$B$3:$B$500,"&lt;="&amp;DATE($B175,12,31))/1000</f>
        <v>0</v>
      </c>
      <c r="I175" s="52" t="n">
        <f aca="false">SUMIFS('Partial Purchases'!$D$3:$D$500,'Partial Purchases'!$C$3:$C$500,$A175,'Partial Purchases'!$B$3:$B$500,"&gt;="&amp;DATE($B175,1,1),'Partial Purchases'!$B$3:$B$500,"&lt;="&amp;DATE($B175,12,31))/1000</f>
        <v>0</v>
      </c>
      <c r="J175" s="52" t="n">
        <f aca="false">C175*(D175+0.5*(G175-H175+I175-F175))</f>
        <v>346910.5</v>
      </c>
      <c r="K175" s="52" t="n">
        <f aca="false">C175*(E175-D175+H175-G175-I175)</f>
        <v>65100</v>
      </c>
      <c r="L175" s="46" t="n">
        <f aca="false">IF(J175=0,"",C175*F175/J175)</f>
        <v>0.000458331471661999</v>
      </c>
      <c r="M175" s="46" t="n">
        <f aca="false">IF(J175=0,"",K175/J175)</f>
        <v>0.187656470472932</v>
      </c>
      <c r="N175" s="46" t="n">
        <f aca="false">IF(J175=0,"",L175+M175)</f>
        <v>0.188114801944594</v>
      </c>
    </row>
    <row r="176" customFormat="false" ht="15" hidden="false" customHeight="false" outlineLevel="0" collapsed="false">
      <c r="A176" s="8" t="s">
        <v>26</v>
      </c>
      <c r="B176" s="48" t="n">
        <v>2008</v>
      </c>
      <c r="C176" s="10" t="n">
        <f aca="false">IF(D176&gt;0,1,0)</f>
        <v>0</v>
      </c>
      <c r="D176" s="9" t="n">
        <f aca="false">IF(SUMIFS(Sales!$D$3:$D$500,Sales!$C$3:$C$500,$A176,Sales!$B$3:$B$500,"&lt;="&amp;DATE($B176-1,12,31))&gt;0,0,SUMIFS('Asset Value'!$F$4:$F$500,'Asset Value'!$C$4:$C$500,$A176,'Asset Value'!$B$4:$B$500,$B176-1)/1000)</f>
        <v>0</v>
      </c>
      <c r="E176" s="9" t="n">
        <f aca="false">IF(SUMIFS(Sales!$D$3:$D$500,Sales!$C$3:$C$500,$A176,Sales!$B$3:$B$500,"&gt;="&amp;DATE($B176,1,1),Sales!$B$3:$B$500,"&lt;="&amp;DATE($B176,12,31))&gt;0,SUMIFS(Sales!$D$3:$D$500,Sales!$C$3:$C$500,$A176,Sales!$B$3:$B$500,"&gt;="&amp;DATE($B176,1,1),Sales!$B$3:$B$500,"&lt;="&amp;DATE($B176,12,31))/1000,SUMIFS('Asset Value'!$F$4:$F$500,'Asset Value'!$C$4:$C$500,$A176,'Asset Value'!$B$4:$B$500,$B176)/1000)</f>
        <v>218840</v>
      </c>
      <c r="F176" s="9" t="n">
        <f aca="false">SUMIFS(Rent!$E$3:$E$500,Rent!$D$3:$D$500,$A176,Rent!$C$3:$C$500,$B176)/1000</f>
        <v>7507.249555</v>
      </c>
      <c r="G176" s="9" t="n">
        <f aca="false">SUMIFS(Costs!$D$3:$D$500,Costs!$C$3:$C$500,$A176,Costs!$B$3:$B$500,"&gt;="&amp;DATE($B176,1,1),Costs!$B$3:$B$500,"&lt;="&amp;DATE($B176,12,31))/1000</f>
        <v>0</v>
      </c>
      <c r="H176" s="9" t="n">
        <f aca="false">SUMIFS('Partial Sales'!$D$3:$D$500,'Partial Sales'!$C$3:$C$500,$A176,'Partial Sales'!$B$3:$B$500,"&gt;="&amp;DATE($B176,1,1),'Partial Sales'!$B$3:$B$500,"&lt;="&amp;DATE($B176,12,31))/1000</f>
        <v>0</v>
      </c>
      <c r="I176" s="9" t="n">
        <f aca="false">SUMIFS('Partial Purchases'!$D$3:$D$500,'Partial Purchases'!$C$3:$C$500,$A176,'Partial Purchases'!$B$3:$B$500,"&gt;="&amp;DATE($B176,1,1),'Partial Purchases'!$B$3:$B$500,"&lt;="&amp;DATE($B176,12,31))/1000</f>
        <v>0</v>
      </c>
      <c r="J176" s="9" t="n">
        <f aca="false">C176*(D176+0.5*(G176-H176+I176-F176))</f>
        <v>-0</v>
      </c>
      <c r="K176" s="9" t="n">
        <f aca="false">C176*(E176-D176+H176-G176-I176)</f>
        <v>0</v>
      </c>
      <c r="L176" s="13" t="str">
        <f aca="false">IF(J176=0,"",C176*F176/J176)</f>
        <v/>
      </c>
      <c r="M176" s="13" t="str">
        <f aca="false">IF(J176=0,"",K176/J176)</f>
        <v/>
      </c>
      <c r="N176" s="13" t="str">
        <f aca="false">IF(J176=0,"",L176+M176)</f>
        <v/>
      </c>
    </row>
    <row r="177" customFormat="false" ht="15" hidden="false" customHeight="false" outlineLevel="0" collapsed="false">
      <c r="A177" s="8" t="s">
        <v>26</v>
      </c>
      <c r="B177" s="48" t="n">
        <v>2009</v>
      </c>
      <c r="C177" s="10" t="n">
        <f aca="false">IF(D177&gt;0,1,0)</f>
        <v>1</v>
      </c>
      <c r="D177" s="9" t="n">
        <f aca="false">IF(SUMIFS(Sales!$D$3:$D$500,Sales!$C$3:$C$500,$A177,Sales!$B$3:$B$500,"&lt;="&amp;DATE($B177-1,12,31))&gt;0,0,SUMIFS('Asset Value'!$F$4:$F$500,'Asset Value'!$C$4:$C$500,$A177,'Asset Value'!$B$4:$B$500,$B177-1)/1000)</f>
        <v>218840</v>
      </c>
      <c r="E177" s="9" t="n">
        <f aca="false">IF(SUMIFS(Sales!$D$3:$D$500,Sales!$C$3:$C$500,$A177,Sales!$B$3:$B$500,"&gt;="&amp;DATE($B177,1,1),Sales!$B$3:$B$500,"&lt;="&amp;DATE($B177,12,31))&gt;0,SUMIFS(Sales!$D$3:$D$500,Sales!$C$3:$C$500,$A177,Sales!$B$3:$B$500,"&gt;="&amp;DATE($B177,1,1),Sales!$B$3:$B$500,"&lt;="&amp;DATE($B177,12,31))/1000,SUMIFS('Asset Value'!$F$4:$F$500,'Asset Value'!$C$4:$C$500,$A177,'Asset Value'!$B$4:$B$500,$B177)/1000)</f>
        <v>265050</v>
      </c>
      <c r="F177" s="9" t="n">
        <f aca="false">SUMIFS(Rent!$E$3:$E$500,Rent!$D$3:$D$500,$A177,Rent!$C$3:$C$500,$B177)/1000</f>
        <v>7007.61131</v>
      </c>
      <c r="G177" s="9" t="n">
        <f aca="false">SUMIFS(Costs!$D$3:$D$500,Costs!$C$3:$C$500,$A177,Costs!$B$3:$B$500,"&gt;="&amp;DATE($B177,1,1),Costs!$B$3:$B$500,"&lt;="&amp;DATE($B177,12,31))/1000</f>
        <v>0</v>
      </c>
      <c r="H177" s="9" t="n">
        <f aca="false">SUMIFS('Partial Sales'!$D$3:$D$500,'Partial Sales'!$C$3:$C$500,$A177,'Partial Sales'!$B$3:$B$500,"&gt;="&amp;DATE($B177,1,1),'Partial Sales'!$B$3:$B$500,"&lt;="&amp;DATE($B177,12,31))/1000</f>
        <v>0</v>
      </c>
      <c r="I177" s="9" t="n">
        <f aca="false">SUMIFS('Partial Purchases'!$D$3:$D$500,'Partial Purchases'!$C$3:$C$500,$A177,'Partial Purchases'!$B$3:$B$500,"&gt;="&amp;DATE($B177,1,1),'Partial Purchases'!$B$3:$B$500,"&lt;="&amp;DATE($B177,12,31))/1000</f>
        <v>0</v>
      </c>
      <c r="J177" s="9" t="n">
        <f aca="false">C177*(D177+0.5*(G177-H177+I177-F177))</f>
        <v>215336.194345</v>
      </c>
      <c r="K177" s="9" t="n">
        <f aca="false">C177*(E177-D177+H177-G177-I177)</f>
        <v>46210</v>
      </c>
      <c r="L177" s="13" t="n">
        <f aca="false">IF(J177=0,"",C177*F177/J177)</f>
        <v>0.0325426542031888</v>
      </c>
      <c r="M177" s="13" t="n">
        <f aca="false">IF(J177=0,"",K177/J177)</f>
        <v>0.214594672022321</v>
      </c>
      <c r="N177" s="13" t="n">
        <f aca="false">IF(J177=0,"",L177+M177)</f>
        <v>0.24713732622551</v>
      </c>
    </row>
    <row r="178" customFormat="false" ht="15" hidden="false" customHeight="false" outlineLevel="0" collapsed="false">
      <c r="A178" s="8" t="s">
        <v>26</v>
      </c>
      <c r="B178" s="48" t="n">
        <v>2010</v>
      </c>
      <c r="C178" s="10" t="n">
        <f aca="false">IF(D178&gt;0,1,0)</f>
        <v>1</v>
      </c>
      <c r="D178" s="9" t="n">
        <f aca="false">IF(SUMIFS(Sales!$D$3:$D$500,Sales!$C$3:$C$500,$A178,Sales!$B$3:$B$500,"&lt;="&amp;DATE($B178-1,12,31))&gt;0,0,SUMIFS('Asset Value'!$F$4:$F$500,'Asset Value'!$C$4:$C$500,$A178,'Asset Value'!$B$4:$B$500,$B178-1)/1000)</f>
        <v>265050</v>
      </c>
      <c r="E178" s="9" t="n">
        <f aca="false">IF(SUMIFS(Sales!$D$3:$D$500,Sales!$C$3:$C$500,$A178,Sales!$B$3:$B$500,"&gt;="&amp;DATE($B178,1,1),Sales!$B$3:$B$500,"&lt;="&amp;DATE($B178,12,31))&gt;0,SUMIFS(Sales!$D$3:$D$500,Sales!$C$3:$C$500,$A178,Sales!$B$3:$B$500,"&gt;="&amp;DATE($B178,1,1),Sales!$B$3:$B$500,"&lt;="&amp;DATE($B178,12,31))/1000,SUMIFS('Asset Value'!$F$4:$F$500,'Asset Value'!$C$4:$C$500,$A178,'Asset Value'!$B$4:$B$500,$B178)/1000)</f>
        <v>243950</v>
      </c>
      <c r="F178" s="9" t="n">
        <f aca="false">SUMIFS(Rent!$E$3:$E$500,Rent!$D$3:$D$500,$A178,Rent!$C$3:$C$500,$B178)/1000</f>
        <v>8841.9566235</v>
      </c>
      <c r="G178" s="9" t="n">
        <f aca="false">SUMIFS(Costs!$D$3:$D$500,Costs!$C$3:$C$500,$A178,Costs!$B$3:$B$500,"&gt;="&amp;DATE($B178,1,1),Costs!$B$3:$B$500,"&lt;="&amp;DATE($B178,12,31))/1000</f>
        <v>0</v>
      </c>
      <c r="H178" s="9" t="n">
        <f aca="false">SUMIFS('Partial Sales'!$D$3:$D$500,'Partial Sales'!$C$3:$C$500,$A178,'Partial Sales'!$B$3:$B$500,"&gt;="&amp;DATE($B178,1,1),'Partial Sales'!$B$3:$B$500,"&lt;="&amp;DATE($B178,12,31))/1000</f>
        <v>0</v>
      </c>
      <c r="I178" s="9" t="n">
        <f aca="false">SUMIFS('Partial Purchases'!$D$3:$D$500,'Partial Purchases'!$C$3:$C$500,$A178,'Partial Purchases'!$B$3:$B$500,"&gt;="&amp;DATE($B178,1,1),'Partial Purchases'!$B$3:$B$500,"&lt;="&amp;DATE($B178,12,31))/1000</f>
        <v>0</v>
      </c>
      <c r="J178" s="9" t="n">
        <f aca="false">C178*(D178+0.5*(G178-H178+I178-F178))</f>
        <v>260629.02168825</v>
      </c>
      <c r="K178" s="9" t="n">
        <f aca="false">C178*(E178-D178+H178-G178-I178)</f>
        <v>-21100</v>
      </c>
      <c r="L178" s="13" t="n">
        <f aca="false">IF(J178=0,"",C178*F178/J178)</f>
        <v>0.0339254491546082</v>
      </c>
      <c r="M178" s="13" t="n">
        <f aca="false">IF(J178=0,"",K178/J178)</f>
        <v>-0.0809579833562766</v>
      </c>
      <c r="N178" s="13" t="n">
        <f aca="false">IF(J178=0,"",L178+M178)</f>
        <v>-0.0470325342016684</v>
      </c>
    </row>
    <row r="179" customFormat="false" ht="15" hidden="false" customHeight="false" outlineLevel="0" collapsed="false">
      <c r="A179" s="8" t="s">
        <v>26</v>
      </c>
      <c r="B179" s="48" t="n">
        <v>2011</v>
      </c>
      <c r="C179" s="10" t="n">
        <f aca="false">IF(D179&gt;0,1,0)</f>
        <v>1</v>
      </c>
      <c r="D179" s="9" t="n">
        <f aca="false">IF(SUMIFS(Sales!$D$3:$D$500,Sales!$C$3:$C$500,$A179,Sales!$B$3:$B$500,"&lt;="&amp;DATE($B179-1,12,31))&gt;0,0,SUMIFS('Asset Value'!$F$4:$F$500,'Asset Value'!$C$4:$C$500,$A179,'Asset Value'!$B$4:$B$500,$B179-1)/1000)</f>
        <v>243950</v>
      </c>
      <c r="E179" s="9" t="n">
        <f aca="false">IF(SUMIFS(Sales!$D$3:$D$500,Sales!$C$3:$C$500,$A179,Sales!$B$3:$B$500,"&gt;="&amp;DATE($B179,1,1),Sales!$B$3:$B$500,"&lt;="&amp;DATE($B179,12,31))&gt;0,SUMIFS(Sales!$D$3:$D$500,Sales!$C$3:$C$500,$A179,Sales!$B$3:$B$500,"&gt;="&amp;DATE($B179,1,1),Sales!$B$3:$B$500,"&lt;="&amp;DATE($B179,12,31))/1000,SUMIFS('Asset Value'!$F$4:$F$500,'Asset Value'!$C$4:$C$500,$A179,'Asset Value'!$B$4:$B$500,$B179)/1000)</f>
        <v>279570</v>
      </c>
      <c r="F179" s="9" t="n">
        <f aca="false">SUMIFS(Rent!$E$3:$E$500,Rent!$D$3:$D$500,$A179,Rent!$C$3:$C$500,$B179)/1000</f>
        <v>4976.6418</v>
      </c>
      <c r="G179" s="9" t="n">
        <f aca="false">SUMIFS(Costs!$D$3:$D$500,Costs!$C$3:$C$500,$A179,Costs!$B$3:$B$500,"&gt;="&amp;DATE($B179,1,1),Costs!$B$3:$B$500,"&lt;="&amp;DATE($B179,12,31))/1000</f>
        <v>0</v>
      </c>
      <c r="H179" s="9" t="n">
        <f aca="false">SUMIFS('Partial Sales'!$D$3:$D$500,'Partial Sales'!$C$3:$C$500,$A179,'Partial Sales'!$B$3:$B$500,"&gt;="&amp;DATE($B179,1,1),'Partial Sales'!$B$3:$B$500,"&lt;="&amp;DATE($B179,12,31))/1000</f>
        <v>0</v>
      </c>
      <c r="I179" s="9" t="n">
        <f aca="false">SUMIFS('Partial Purchases'!$D$3:$D$500,'Partial Purchases'!$C$3:$C$500,$A179,'Partial Purchases'!$B$3:$B$500,"&gt;="&amp;DATE($B179,1,1),'Partial Purchases'!$B$3:$B$500,"&lt;="&amp;DATE($B179,12,31))/1000</f>
        <v>0</v>
      </c>
      <c r="J179" s="9" t="n">
        <f aca="false">C179*(D179+0.5*(G179-H179+I179-F179))</f>
        <v>241461.6791</v>
      </c>
      <c r="K179" s="9" t="n">
        <f aca="false">C179*(E179-D179+H179-G179-I179)</f>
        <v>35620</v>
      </c>
      <c r="L179" s="13" t="n">
        <f aca="false">IF(J179=0,"",C179*F179/J179)</f>
        <v>0.0206104828664715</v>
      </c>
      <c r="M179" s="13" t="n">
        <f aca="false">IF(J179=0,"",K179/J179)</f>
        <v>0.14751823201415</v>
      </c>
      <c r="N179" s="13" t="n">
        <f aca="false">IF(J179=0,"",L179+M179)</f>
        <v>0.168128714880621</v>
      </c>
    </row>
    <row r="180" customFormat="false" ht="15" hidden="false" customHeight="false" outlineLevel="0" collapsed="false">
      <c r="A180" s="8" t="s">
        <v>26</v>
      </c>
      <c r="B180" s="48" t="n">
        <v>2012</v>
      </c>
      <c r="C180" s="10" t="n">
        <f aca="false">IF(D180&gt;0,1,0)</f>
        <v>1</v>
      </c>
      <c r="D180" s="9" t="n">
        <f aca="false">IF(SUMIFS(Sales!$D$3:$D$500,Sales!$C$3:$C$500,$A180,Sales!$B$3:$B$500,"&lt;="&amp;DATE($B180-1,12,31))&gt;0,0,SUMIFS('Asset Value'!$F$4:$F$500,'Asset Value'!$C$4:$C$500,$A180,'Asset Value'!$B$4:$B$500,$B180-1)/1000)</f>
        <v>279570</v>
      </c>
      <c r="E180" s="9" t="n">
        <f aca="false">IF(SUMIFS(Sales!$D$3:$D$500,Sales!$C$3:$C$500,$A180,Sales!$B$3:$B$500,"&gt;="&amp;DATE($B180,1,1),Sales!$B$3:$B$500,"&lt;="&amp;DATE($B180,12,31))&gt;0,SUMIFS(Sales!$D$3:$D$500,Sales!$C$3:$C$500,$A180,Sales!$B$3:$B$500,"&gt;="&amp;DATE($B180,1,1),Sales!$B$3:$B$500,"&lt;="&amp;DATE($B180,12,31))/1000,SUMIFS('Asset Value'!$F$4:$F$500,'Asset Value'!$C$4:$C$500,$A180,'Asset Value'!$B$4:$B$500,$B180)/1000)</f>
        <v>290580</v>
      </c>
      <c r="F180" s="9" t="n">
        <f aca="false">SUMIFS(Rent!$E$3:$E$500,Rent!$D$3:$D$500,$A180,Rent!$C$3:$C$500,$B180)/1000</f>
        <v>9251</v>
      </c>
      <c r="G180" s="9" t="n">
        <f aca="false">SUMIFS(Costs!$D$3:$D$500,Costs!$C$3:$C$500,$A180,Costs!$B$3:$B$500,"&gt;="&amp;DATE($B180,1,1),Costs!$B$3:$B$500,"&lt;="&amp;DATE($B180,12,31))/1000</f>
        <v>0</v>
      </c>
      <c r="H180" s="9" t="n">
        <f aca="false">SUMIFS('Partial Sales'!$D$3:$D$500,'Partial Sales'!$C$3:$C$500,$A180,'Partial Sales'!$B$3:$B$500,"&gt;="&amp;DATE($B180,1,1),'Partial Sales'!$B$3:$B$500,"&lt;="&amp;DATE($B180,12,31))/1000</f>
        <v>0</v>
      </c>
      <c r="I180" s="9" t="n">
        <f aca="false">SUMIFS('Partial Purchases'!$D$3:$D$500,'Partial Purchases'!$C$3:$C$500,$A180,'Partial Purchases'!$B$3:$B$500,"&gt;="&amp;DATE($B180,1,1),'Partial Purchases'!$B$3:$B$500,"&lt;="&amp;DATE($B180,12,31))/1000</f>
        <v>0</v>
      </c>
      <c r="J180" s="9" t="n">
        <f aca="false">C180*(D180+0.5*(G180-H180+I180-F180))</f>
        <v>274944.5</v>
      </c>
      <c r="K180" s="9" t="n">
        <f aca="false">C180*(E180-D180+H180-G180-I180)</f>
        <v>11010</v>
      </c>
      <c r="L180" s="13" t="n">
        <f aca="false">IF(J180=0,"",C180*F180/J180)</f>
        <v>0.0336467905340896</v>
      </c>
      <c r="M180" s="13" t="n">
        <f aca="false">IF(J180=0,"",K180/J180)</f>
        <v>0.0400444453335128</v>
      </c>
      <c r="N180" s="13" t="n">
        <f aca="false">IF(J180=0,"",L180+M180)</f>
        <v>0.0736912358676024</v>
      </c>
    </row>
    <row r="181" customFormat="false" ht="15" hidden="false" customHeight="false" outlineLevel="0" collapsed="false">
      <c r="A181" s="8" t="s">
        <v>26</v>
      </c>
      <c r="B181" s="48" t="n">
        <v>2013</v>
      </c>
      <c r="C181" s="10" t="n">
        <f aca="false">IF(D181&gt;0,1,0)</f>
        <v>1</v>
      </c>
      <c r="D181" s="9" t="n">
        <f aca="false">IF(SUMIFS(Sales!$D$3:$D$500,Sales!$C$3:$C$500,$A181,Sales!$B$3:$B$500,"&lt;="&amp;DATE($B181-1,12,31))&gt;0,0,SUMIFS('Asset Value'!$F$4:$F$500,'Asset Value'!$C$4:$C$500,$A181,'Asset Value'!$B$4:$B$500,$B181-1)/1000)</f>
        <v>290580</v>
      </c>
      <c r="E181" s="9" t="n">
        <f aca="false">IF(SUMIFS(Sales!$D$3:$D$500,Sales!$C$3:$C$500,$A181,Sales!$B$3:$B$500,"&gt;="&amp;DATE($B181,1,1),Sales!$B$3:$B$500,"&lt;="&amp;DATE($B181,12,31))&gt;0,SUMIFS(Sales!$D$3:$D$500,Sales!$C$3:$C$500,$A181,Sales!$B$3:$B$500,"&gt;="&amp;DATE($B181,1,1),Sales!$B$3:$B$500,"&lt;="&amp;DATE($B181,12,31))/1000,SUMIFS('Asset Value'!$F$4:$F$500,'Asset Value'!$C$4:$C$500,$A181,'Asset Value'!$B$4:$B$500,$B181)/1000)</f>
        <v>298605</v>
      </c>
      <c r="F181" s="9" t="n">
        <f aca="false">SUMIFS(Rent!$E$3:$E$500,Rent!$D$3:$D$500,$A181,Rent!$C$3:$C$500,$B181)/1000</f>
        <v>8677</v>
      </c>
      <c r="G181" s="9" t="n">
        <f aca="false">SUMIFS(Costs!$D$3:$D$500,Costs!$C$3:$C$500,$A181,Costs!$B$3:$B$500,"&gt;="&amp;DATE($B181,1,1),Costs!$B$3:$B$500,"&lt;="&amp;DATE($B181,12,31))/1000</f>
        <v>0</v>
      </c>
      <c r="H181" s="9" t="n">
        <f aca="false">SUMIFS('Partial Sales'!$D$3:$D$500,'Partial Sales'!$C$3:$C$500,$A181,'Partial Sales'!$B$3:$B$500,"&gt;="&amp;DATE($B181,1,1),'Partial Sales'!$B$3:$B$500,"&lt;="&amp;DATE($B181,12,31))/1000</f>
        <v>0</v>
      </c>
      <c r="I181" s="9" t="n">
        <f aca="false">SUMIFS('Partial Purchases'!$D$3:$D$500,'Partial Purchases'!$C$3:$C$500,$A181,'Partial Purchases'!$B$3:$B$500,"&gt;="&amp;DATE($B181,1,1),'Partial Purchases'!$B$3:$B$500,"&lt;="&amp;DATE($B181,12,31))/1000</f>
        <v>0</v>
      </c>
      <c r="J181" s="9" t="n">
        <f aca="false">C181*(D181+0.5*(G181-H181+I181-F181))</f>
        <v>286241.5</v>
      </c>
      <c r="K181" s="9" t="n">
        <f aca="false">C181*(E181-D181+H181-G181-I181)</f>
        <v>8025</v>
      </c>
      <c r="L181" s="13" t="n">
        <f aca="false">IF(J181=0,"",C181*F181/J181)</f>
        <v>0.0303135638962205</v>
      </c>
      <c r="M181" s="13" t="n">
        <f aca="false">IF(J181=0,"",K181/J181)</f>
        <v>0.0280357670009415</v>
      </c>
      <c r="N181" s="13" t="n">
        <f aca="false">IF(J181=0,"",L181+M181)</f>
        <v>0.058349330897162</v>
      </c>
    </row>
    <row r="182" customFormat="false" ht="15" hidden="false" customHeight="false" outlineLevel="0" collapsed="false">
      <c r="A182" s="8" t="s">
        <v>26</v>
      </c>
      <c r="B182" s="48" t="n">
        <v>2014</v>
      </c>
      <c r="C182" s="10" t="n">
        <f aca="false">IF(D182&gt;0,1,0)</f>
        <v>1</v>
      </c>
      <c r="D182" s="9" t="n">
        <f aca="false">IF(SUMIFS(Sales!$D$3:$D$500,Sales!$C$3:$C$500,$A182,Sales!$B$3:$B$500,"&lt;="&amp;DATE($B182-1,12,31))&gt;0,0,SUMIFS('Asset Value'!$F$4:$F$500,'Asset Value'!$C$4:$C$500,$A182,'Asset Value'!$B$4:$B$500,$B182-1)/1000)</f>
        <v>298605</v>
      </c>
      <c r="E182" s="9" t="n">
        <f aca="false">IF(SUMIFS(Sales!$D$3:$D$500,Sales!$C$3:$C$500,$A182,Sales!$B$3:$B$500,"&gt;="&amp;DATE($B182,1,1),Sales!$B$3:$B$500,"&lt;="&amp;DATE($B182,12,31))&gt;0,SUMIFS(Sales!$D$3:$D$500,Sales!$C$3:$C$500,$A182,Sales!$B$3:$B$500,"&gt;="&amp;DATE($B182,1,1),Sales!$B$3:$B$500,"&lt;="&amp;DATE($B182,12,31))/1000,SUMIFS('Asset Value'!$F$4:$F$500,'Asset Value'!$C$4:$C$500,$A182,'Asset Value'!$B$4:$B$500,$B182)/1000)</f>
        <v>420555</v>
      </c>
      <c r="F182" s="9" t="n">
        <f aca="false">SUMIFS(Rent!$E$3:$E$500,Rent!$D$3:$D$500,$A182,Rent!$C$3:$C$500,$B182)/1000</f>
        <v>15146</v>
      </c>
      <c r="G182" s="9" t="n">
        <f aca="false">SUMIFS(Costs!$D$3:$D$500,Costs!$C$3:$C$500,$A182,Costs!$B$3:$B$500,"&gt;="&amp;DATE($B182,1,1),Costs!$B$3:$B$500,"&lt;="&amp;DATE($B182,12,31))/1000</f>
        <v>0</v>
      </c>
      <c r="H182" s="9" t="n">
        <f aca="false">SUMIFS('Partial Sales'!$D$3:$D$500,'Partial Sales'!$C$3:$C$500,$A182,'Partial Sales'!$B$3:$B$500,"&gt;="&amp;DATE($B182,1,1),'Partial Sales'!$B$3:$B$500,"&lt;="&amp;DATE($B182,12,31))/1000</f>
        <v>0</v>
      </c>
      <c r="I182" s="9" t="n">
        <f aca="false">SUMIFS('Partial Purchases'!$D$3:$D$500,'Partial Purchases'!$C$3:$C$500,$A182,'Partial Purchases'!$B$3:$B$500,"&gt;="&amp;DATE($B182,1,1),'Partial Purchases'!$B$3:$B$500,"&lt;="&amp;DATE($B182,12,31))/1000</f>
        <v>0</v>
      </c>
      <c r="J182" s="9" t="n">
        <f aca="false">C182*(D182+0.5*(G182-H182+I182-F182))</f>
        <v>291032</v>
      </c>
      <c r="K182" s="9" t="n">
        <f aca="false">C182*(E182-D182+H182-G182-I182)</f>
        <v>121950</v>
      </c>
      <c r="L182" s="13" t="n">
        <f aca="false">IF(J182=0,"",C182*F182/J182)</f>
        <v>0.0520423870914539</v>
      </c>
      <c r="M182" s="13" t="n">
        <f aca="false">IF(J182=0,"",K182/J182)</f>
        <v>0.419026086478463</v>
      </c>
      <c r="N182" s="13" t="n">
        <f aca="false">IF(J182=0,"",L182+M182)</f>
        <v>0.471068473569917</v>
      </c>
    </row>
    <row r="183" customFormat="false" ht="15" hidden="false" customHeight="false" outlineLevel="0" collapsed="false">
      <c r="A183" s="49" t="s">
        <v>26</v>
      </c>
      <c r="B183" s="50" t="n">
        <v>2015</v>
      </c>
      <c r="C183" s="51" t="n">
        <f aca="false">IF(D183&gt;0,1,0)</f>
        <v>1</v>
      </c>
      <c r="D183" s="52" t="n">
        <f aca="false">IF(SUMIFS(Sales!$D$3:$D$500,Sales!$C$3:$C$500,$A183,Sales!$B$3:$B$500,"&lt;="&amp;DATE($B183-1,12,31))&gt;0,0,SUMIFS('Asset Value'!$F$4:$F$500,'Asset Value'!$C$4:$C$500,$A183,'Asset Value'!$B$4:$B$500,$B183-1)/1000)</f>
        <v>420555</v>
      </c>
      <c r="E183" s="52" t="n">
        <f aca="false">IF(SUMIFS(Sales!$D$3:$D$500,Sales!$C$3:$C$500,$A183,Sales!$B$3:$B$500,"&gt;="&amp;DATE($B183,1,1),Sales!$B$3:$B$500,"&lt;="&amp;DATE($B183,12,31))&gt;0,SUMIFS(Sales!$D$3:$D$500,Sales!$C$3:$C$500,$A183,Sales!$B$3:$B$500,"&gt;="&amp;DATE($B183,1,1),Sales!$B$3:$B$500,"&lt;="&amp;DATE($B183,12,31))/1000,SUMIFS('Asset Value'!$F$4:$F$500,'Asset Value'!$C$4:$C$500,$A183,'Asset Value'!$B$4:$B$500,$B183)/1000)</f>
        <v>450910</v>
      </c>
      <c r="F183" s="52" t="n">
        <f aca="false">SUMIFS(Rent!$E$3:$E$500,Rent!$D$3:$D$500,$A183,Rent!$C$3:$C$500,$B183)/1000</f>
        <v>17733</v>
      </c>
      <c r="G183" s="52" t="n">
        <f aca="false">SUMIFS(Costs!$D$3:$D$500,Costs!$C$3:$C$500,$A183,Costs!$B$3:$B$500,"&gt;="&amp;DATE($B183,1,1),Costs!$B$3:$B$500,"&lt;="&amp;DATE($B183,12,31))/1000</f>
        <v>0</v>
      </c>
      <c r="H183" s="52" t="n">
        <f aca="false">SUMIFS('Partial Sales'!$D$3:$D$500,'Partial Sales'!$C$3:$C$500,$A183,'Partial Sales'!$B$3:$B$500,"&gt;="&amp;DATE($B183,1,1),'Partial Sales'!$B$3:$B$500,"&lt;="&amp;DATE($B183,12,31))/1000</f>
        <v>0</v>
      </c>
      <c r="I183" s="52" t="n">
        <f aca="false">SUMIFS('Partial Purchases'!$D$3:$D$500,'Partial Purchases'!$C$3:$C$500,$A183,'Partial Purchases'!$B$3:$B$500,"&gt;="&amp;DATE($B183,1,1),'Partial Purchases'!$B$3:$B$500,"&lt;="&amp;DATE($B183,12,31))/1000</f>
        <v>0</v>
      </c>
      <c r="J183" s="52" t="n">
        <f aca="false">C183*(D183+0.5*(G183-H183+I183-F183))</f>
        <v>411688.5</v>
      </c>
      <c r="K183" s="52" t="n">
        <f aca="false">C183*(E183-D183+H183-G183-I183)</f>
        <v>30355</v>
      </c>
      <c r="L183" s="46" t="n">
        <f aca="false">IF(J183=0,"",C183*F183/J183)</f>
        <v>0.0430738288779016</v>
      </c>
      <c r="M183" s="46" t="n">
        <f aca="false">IF(J183=0,"",K183/J183)</f>
        <v>0.0737329315732647</v>
      </c>
      <c r="N183" s="46" t="n">
        <f aca="false">IF(J183=0,"",L183+M183)</f>
        <v>0.116806760451166</v>
      </c>
    </row>
    <row r="184" customFormat="false" ht="15" hidden="false" customHeight="false" outlineLevel="0" collapsed="false">
      <c r="A184" s="8" t="s">
        <v>27</v>
      </c>
      <c r="B184" s="48" t="n">
        <v>2008</v>
      </c>
      <c r="C184" s="10" t="n">
        <f aca="false">IF(D184&gt;0,1,0)</f>
        <v>0</v>
      </c>
      <c r="D184" s="9" t="n">
        <f aca="false">IF(SUMIFS(Sales!$D$3:$D$500,Sales!$C$3:$C$500,$A184,Sales!$B$3:$B$500,"&lt;="&amp;DATE($B184-1,12,31))&gt;0,0,SUMIFS('Asset Value'!$F$4:$F$500,'Asset Value'!$C$4:$C$500,$A184,'Asset Value'!$B$4:$B$500,$B184-1)/1000)</f>
        <v>0</v>
      </c>
      <c r="E184" s="9" t="n">
        <f aca="false">IF(SUMIFS(Sales!$D$3:$D$500,Sales!$C$3:$C$500,$A184,Sales!$B$3:$B$500,"&gt;="&amp;DATE($B184,1,1),Sales!$B$3:$B$500,"&lt;="&amp;DATE($B184,12,31))&gt;0,SUMIFS(Sales!$D$3:$D$500,Sales!$C$3:$C$500,$A184,Sales!$B$3:$B$500,"&gt;="&amp;DATE($B184,1,1),Sales!$B$3:$B$500,"&lt;="&amp;DATE($B184,12,31))/1000,SUMIFS('Asset Value'!$F$4:$F$500,'Asset Value'!$C$4:$C$500,$A184,'Asset Value'!$B$4:$B$500,$B184)/1000)</f>
        <v>0</v>
      </c>
      <c r="F184" s="9" t="n">
        <f aca="false">SUMIFS(Rent!$E$3:$E$500,Rent!$D$3:$D$500,$A184,Rent!$C$3:$C$500,$B184)/1000</f>
        <v>0</v>
      </c>
      <c r="G184" s="9" t="n">
        <f aca="false">SUMIFS(Costs!$D$3:$D$500,Costs!$C$3:$C$500,$A184,Costs!$B$3:$B$500,"&gt;="&amp;DATE($B184,1,1),Costs!$B$3:$B$500,"&lt;="&amp;DATE($B184,12,31))/1000</f>
        <v>0</v>
      </c>
      <c r="H184" s="9" t="n">
        <f aca="false">SUMIFS('Partial Sales'!$D$3:$D$500,'Partial Sales'!$C$3:$C$500,$A184,'Partial Sales'!$B$3:$B$500,"&gt;="&amp;DATE($B184,1,1),'Partial Sales'!$B$3:$B$500,"&lt;="&amp;DATE($B184,12,31))/1000</f>
        <v>0</v>
      </c>
      <c r="I184" s="9" t="n">
        <f aca="false">SUMIFS('Partial Purchases'!$D$3:$D$500,'Partial Purchases'!$C$3:$C$500,$A184,'Partial Purchases'!$B$3:$B$500,"&gt;="&amp;DATE($B184,1,1),'Partial Purchases'!$B$3:$B$500,"&lt;="&amp;DATE($B184,12,31))/1000</f>
        <v>0</v>
      </c>
      <c r="J184" s="9" t="n">
        <f aca="false">C184*(D184+0.5*(G184-H184+I184-F184))</f>
        <v>0</v>
      </c>
      <c r="K184" s="9" t="n">
        <f aca="false">C184*(E184-D184+H184-G184-I184)</f>
        <v>0</v>
      </c>
      <c r="L184" s="13" t="str">
        <f aca="false">IF(J184=0,"",C184*F184/J184)</f>
        <v/>
      </c>
      <c r="M184" s="13" t="str">
        <f aca="false">IF(J184=0,"",K184/J184)</f>
        <v/>
      </c>
      <c r="N184" s="13" t="str">
        <f aca="false">IF(J184=0,"",L184+M184)</f>
        <v/>
      </c>
    </row>
    <row r="185" customFormat="false" ht="15" hidden="false" customHeight="false" outlineLevel="0" collapsed="false">
      <c r="A185" s="8" t="s">
        <v>27</v>
      </c>
      <c r="B185" s="48" t="n">
        <v>2009</v>
      </c>
      <c r="C185" s="10" t="n">
        <f aca="false">IF(D185&gt;0,1,0)</f>
        <v>0</v>
      </c>
      <c r="D185" s="9" t="n">
        <f aca="false">IF(SUMIFS(Sales!$D$3:$D$500,Sales!$C$3:$C$500,$A185,Sales!$B$3:$B$500,"&lt;="&amp;DATE($B185-1,12,31))&gt;0,0,SUMIFS('Asset Value'!$F$4:$F$500,'Asset Value'!$C$4:$C$500,$A185,'Asset Value'!$B$4:$B$500,$B185-1)/1000)</f>
        <v>0</v>
      </c>
      <c r="E185" s="9" t="n">
        <f aca="false">IF(SUMIFS(Sales!$D$3:$D$500,Sales!$C$3:$C$500,$A185,Sales!$B$3:$B$500,"&gt;="&amp;DATE($B185,1,1),Sales!$B$3:$B$500,"&lt;="&amp;DATE($B185,12,31))&gt;0,SUMIFS(Sales!$D$3:$D$500,Sales!$C$3:$C$500,$A185,Sales!$B$3:$B$500,"&gt;="&amp;DATE($B185,1,1),Sales!$B$3:$B$500,"&lt;="&amp;DATE($B185,12,31))/1000,SUMIFS('Asset Value'!$F$4:$F$500,'Asset Value'!$C$4:$C$500,$A185,'Asset Value'!$B$4:$B$500,$B185)/1000)</f>
        <v>0</v>
      </c>
      <c r="F185" s="9" t="n">
        <f aca="false">SUMIFS(Rent!$E$3:$E$500,Rent!$D$3:$D$500,$A185,Rent!$C$3:$C$500,$B185)/1000</f>
        <v>0</v>
      </c>
      <c r="G185" s="9" t="n">
        <f aca="false">SUMIFS(Costs!$D$3:$D$500,Costs!$C$3:$C$500,$A185,Costs!$B$3:$B$500,"&gt;="&amp;DATE($B185,1,1),Costs!$B$3:$B$500,"&lt;="&amp;DATE($B185,12,31))/1000</f>
        <v>0</v>
      </c>
      <c r="H185" s="9" t="n">
        <f aca="false">SUMIFS('Partial Sales'!$D$3:$D$500,'Partial Sales'!$C$3:$C$500,$A185,'Partial Sales'!$B$3:$B$500,"&gt;="&amp;DATE($B185,1,1),'Partial Sales'!$B$3:$B$500,"&lt;="&amp;DATE($B185,12,31))/1000</f>
        <v>0</v>
      </c>
      <c r="I185" s="9" t="n">
        <f aca="false">SUMIFS('Partial Purchases'!$D$3:$D$500,'Partial Purchases'!$C$3:$C$500,$A185,'Partial Purchases'!$B$3:$B$500,"&gt;="&amp;DATE($B185,1,1),'Partial Purchases'!$B$3:$B$500,"&lt;="&amp;DATE($B185,12,31))/1000</f>
        <v>0</v>
      </c>
      <c r="J185" s="9" t="n">
        <f aca="false">C185*(D185+0.5*(G185-H185+I185-F185))</f>
        <v>0</v>
      </c>
      <c r="K185" s="9" t="n">
        <f aca="false">C185*(E185-D185+H185-G185-I185)</f>
        <v>0</v>
      </c>
      <c r="L185" s="13" t="str">
        <f aca="false">IF(J185=0,"",C185*F185/J185)</f>
        <v/>
      </c>
      <c r="M185" s="13" t="str">
        <f aca="false">IF(J185=0,"",K185/J185)</f>
        <v/>
      </c>
      <c r="N185" s="13" t="str">
        <f aca="false">IF(J185=0,"",L185+M185)</f>
        <v/>
      </c>
    </row>
    <row r="186" customFormat="false" ht="15" hidden="false" customHeight="false" outlineLevel="0" collapsed="false">
      <c r="A186" s="8" t="s">
        <v>27</v>
      </c>
      <c r="B186" s="48" t="n">
        <v>2010</v>
      </c>
      <c r="C186" s="10" t="n">
        <f aca="false">IF(D186&gt;0,1,0)</f>
        <v>0</v>
      </c>
      <c r="D186" s="9" t="n">
        <f aca="false">IF(SUMIFS(Sales!$D$3:$D$500,Sales!$C$3:$C$500,$A186,Sales!$B$3:$B$500,"&lt;="&amp;DATE($B186-1,12,31))&gt;0,0,SUMIFS('Asset Value'!$F$4:$F$500,'Asset Value'!$C$4:$C$500,$A186,'Asset Value'!$B$4:$B$500,$B186-1)/1000)</f>
        <v>0</v>
      </c>
      <c r="E186" s="9" t="n">
        <f aca="false">IF(SUMIFS(Sales!$D$3:$D$500,Sales!$C$3:$C$500,$A186,Sales!$B$3:$B$500,"&gt;="&amp;DATE($B186,1,1),Sales!$B$3:$B$500,"&lt;="&amp;DATE($B186,12,31))&gt;0,SUMIFS(Sales!$D$3:$D$500,Sales!$C$3:$C$500,$A186,Sales!$B$3:$B$500,"&gt;="&amp;DATE($B186,1,1),Sales!$B$3:$B$500,"&lt;="&amp;DATE($B186,12,31))/1000,SUMIFS('Asset Value'!$F$4:$F$500,'Asset Value'!$C$4:$C$500,$A186,'Asset Value'!$B$4:$B$500,$B186)/1000)</f>
        <v>0</v>
      </c>
      <c r="F186" s="9" t="n">
        <f aca="false">SUMIFS(Rent!$E$3:$E$500,Rent!$D$3:$D$500,$A186,Rent!$C$3:$C$500,$B186)/1000</f>
        <v>0</v>
      </c>
      <c r="G186" s="9" t="n">
        <f aca="false">SUMIFS(Costs!$D$3:$D$500,Costs!$C$3:$C$500,$A186,Costs!$B$3:$B$500,"&gt;="&amp;DATE($B186,1,1),Costs!$B$3:$B$500,"&lt;="&amp;DATE($B186,12,31))/1000</f>
        <v>0</v>
      </c>
      <c r="H186" s="9" t="n">
        <f aca="false">SUMIFS('Partial Sales'!$D$3:$D$500,'Partial Sales'!$C$3:$C$500,$A186,'Partial Sales'!$B$3:$B$500,"&gt;="&amp;DATE($B186,1,1),'Partial Sales'!$B$3:$B$500,"&lt;="&amp;DATE($B186,12,31))/1000</f>
        <v>0</v>
      </c>
      <c r="I186" s="9" t="n">
        <f aca="false">SUMIFS('Partial Purchases'!$D$3:$D$500,'Partial Purchases'!$C$3:$C$500,$A186,'Partial Purchases'!$B$3:$B$500,"&gt;="&amp;DATE($B186,1,1),'Partial Purchases'!$B$3:$B$500,"&lt;="&amp;DATE($B186,12,31))/1000</f>
        <v>0</v>
      </c>
      <c r="J186" s="9" t="n">
        <f aca="false">C186*(D186+0.5*(G186-H186+I186-F186))</f>
        <v>0</v>
      </c>
      <c r="K186" s="9" t="n">
        <f aca="false">C186*(E186-D186+H186-G186-I186)</f>
        <v>0</v>
      </c>
      <c r="L186" s="13" t="str">
        <f aca="false">IF(J186=0,"",C186*F186/J186)</f>
        <v/>
      </c>
      <c r="M186" s="13" t="str">
        <f aca="false">IF(J186=0,"",K186/J186)</f>
        <v/>
      </c>
      <c r="N186" s="13" t="str">
        <f aca="false">IF(J186=0,"",L186+M186)</f>
        <v/>
      </c>
    </row>
    <row r="187" customFormat="false" ht="15" hidden="false" customHeight="false" outlineLevel="0" collapsed="false">
      <c r="A187" s="8" t="s">
        <v>27</v>
      </c>
      <c r="B187" s="48" t="n">
        <v>2011</v>
      </c>
      <c r="C187" s="10" t="n">
        <f aca="false">IF(D187&gt;0,1,0)</f>
        <v>0</v>
      </c>
      <c r="D187" s="9" t="n">
        <f aca="false">IF(SUMIFS(Sales!$D$3:$D$500,Sales!$C$3:$C$500,$A187,Sales!$B$3:$B$500,"&lt;="&amp;DATE($B187-1,12,31))&gt;0,0,SUMIFS('Asset Value'!$F$4:$F$500,'Asset Value'!$C$4:$C$500,$A187,'Asset Value'!$B$4:$B$500,$B187-1)/1000)</f>
        <v>0</v>
      </c>
      <c r="E187" s="9" t="n">
        <f aca="false">IF(SUMIFS(Sales!$D$3:$D$500,Sales!$C$3:$C$500,$A187,Sales!$B$3:$B$500,"&gt;="&amp;DATE($B187,1,1),Sales!$B$3:$B$500,"&lt;="&amp;DATE($B187,12,31))&gt;0,SUMIFS(Sales!$D$3:$D$500,Sales!$C$3:$C$500,$A187,Sales!$B$3:$B$500,"&gt;="&amp;DATE($B187,1,1),Sales!$B$3:$B$500,"&lt;="&amp;DATE($B187,12,31))/1000,SUMIFS('Asset Value'!$F$4:$F$500,'Asset Value'!$C$4:$C$500,$A187,'Asset Value'!$B$4:$B$500,$B187)/1000)</f>
        <v>0</v>
      </c>
      <c r="F187" s="9" t="n">
        <f aca="false">SUMIFS(Rent!$E$3:$E$500,Rent!$D$3:$D$500,$A187,Rent!$C$3:$C$500,$B187)/1000</f>
        <v>0</v>
      </c>
      <c r="G187" s="9" t="n">
        <f aca="false">SUMIFS(Costs!$D$3:$D$500,Costs!$C$3:$C$500,$A187,Costs!$B$3:$B$500,"&gt;="&amp;DATE($B187,1,1),Costs!$B$3:$B$500,"&lt;="&amp;DATE($B187,12,31))/1000</f>
        <v>0</v>
      </c>
      <c r="H187" s="9" t="n">
        <f aca="false">SUMIFS('Partial Sales'!$D$3:$D$500,'Partial Sales'!$C$3:$C$500,$A187,'Partial Sales'!$B$3:$B$500,"&gt;="&amp;DATE($B187,1,1),'Partial Sales'!$B$3:$B$500,"&lt;="&amp;DATE($B187,12,31))/1000</f>
        <v>0</v>
      </c>
      <c r="I187" s="9" t="n">
        <f aca="false">SUMIFS('Partial Purchases'!$D$3:$D$500,'Partial Purchases'!$C$3:$C$500,$A187,'Partial Purchases'!$B$3:$B$500,"&gt;="&amp;DATE($B187,1,1),'Partial Purchases'!$B$3:$B$500,"&lt;="&amp;DATE($B187,12,31))/1000</f>
        <v>0</v>
      </c>
      <c r="J187" s="9" t="n">
        <f aca="false">C187*(D187+0.5*(G187-H187+I187-F187))</f>
        <v>0</v>
      </c>
      <c r="K187" s="9" t="n">
        <f aca="false">C187*(E187-D187+H187-G187-I187)</f>
        <v>0</v>
      </c>
      <c r="L187" s="13" t="str">
        <f aca="false">IF(J187=0,"",C187*F187/J187)</f>
        <v/>
      </c>
      <c r="M187" s="13" t="str">
        <f aca="false">IF(J187=0,"",K187/J187)</f>
        <v/>
      </c>
      <c r="N187" s="13" t="str">
        <f aca="false">IF(J187=0,"",L187+M187)</f>
        <v/>
      </c>
    </row>
    <row r="188" customFormat="false" ht="15" hidden="false" customHeight="false" outlineLevel="0" collapsed="false">
      <c r="A188" s="8" t="s">
        <v>27</v>
      </c>
      <c r="B188" s="48" t="n">
        <v>2012</v>
      </c>
      <c r="C188" s="10" t="n">
        <f aca="false">IF(D188&gt;0,1,0)</f>
        <v>0</v>
      </c>
      <c r="D188" s="9" t="n">
        <f aca="false">IF(SUMIFS(Sales!$D$3:$D$500,Sales!$C$3:$C$500,$A188,Sales!$B$3:$B$500,"&lt;="&amp;DATE($B188-1,12,31))&gt;0,0,SUMIFS('Asset Value'!$F$4:$F$500,'Asset Value'!$C$4:$C$500,$A188,'Asset Value'!$B$4:$B$500,$B188-1)/1000)</f>
        <v>0</v>
      </c>
      <c r="E188" s="9" t="n">
        <f aca="false">IF(SUMIFS(Sales!$D$3:$D$500,Sales!$C$3:$C$500,$A188,Sales!$B$3:$B$500,"&gt;="&amp;DATE($B188,1,1),Sales!$B$3:$B$500,"&lt;="&amp;DATE($B188,12,31))&gt;0,SUMIFS(Sales!$D$3:$D$500,Sales!$C$3:$C$500,$A188,Sales!$B$3:$B$500,"&gt;="&amp;DATE($B188,1,1),Sales!$B$3:$B$500,"&lt;="&amp;DATE($B188,12,31))/1000,SUMIFS('Asset Value'!$F$4:$F$500,'Asset Value'!$C$4:$C$500,$A188,'Asset Value'!$B$4:$B$500,$B188)/1000)</f>
        <v>41600</v>
      </c>
      <c r="F188" s="9" t="n">
        <f aca="false">SUMIFS(Rent!$E$3:$E$500,Rent!$D$3:$D$500,$A188,Rent!$C$3:$C$500,$B188)/1000</f>
        <v>1287</v>
      </c>
      <c r="G188" s="9" t="n">
        <f aca="false">SUMIFS(Costs!$D$3:$D$500,Costs!$C$3:$C$500,$A188,Costs!$B$3:$B$500,"&gt;="&amp;DATE($B188,1,1),Costs!$B$3:$B$500,"&lt;="&amp;DATE($B188,12,31))/1000</f>
        <v>0</v>
      </c>
      <c r="H188" s="9" t="n">
        <f aca="false">SUMIFS('Partial Sales'!$D$3:$D$500,'Partial Sales'!$C$3:$C$500,$A188,'Partial Sales'!$B$3:$B$500,"&gt;="&amp;DATE($B188,1,1),'Partial Sales'!$B$3:$B$500,"&lt;="&amp;DATE($B188,12,31))/1000</f>
        <v>0</v>
      </c>
      <c r="I188" s="9" t="n">
        <f aca="false">SUMIFS('Partial Purchases'!$D$3:$D$500,'Partial Purchases'!$C$3:$C$500,$A188,'Partial Purchases'!$B$3:$B$500,"&gt;="&amp;DATE($B188,1,1),'Partial Purchases'!$B$3:$B$500,"&lt;="&amp;DATE($B188,12,31))/1000</f>
        <v>0</v>
      </c>
      <c r="J188" s="9" t="n">
        <f aca="false">C188*(D188+0.5*(G188-H188+I188-F188))</f>
        <v>-0</v>
      </c>
      <c r="K188" s="9" t="n">
        <f aca="false">C188*(E188-D188+H188-G188-I188)</f>
        <v>0</v>
      </c>
      <c r="L188" s="13" t="str">
        <f aca="false">IF(J188=0,"",C188*F188/J188)</f>
        <v/>
      </c>
      <c r="M188" s="13" t="str">
        <f aca="false">IF(J188=0,"",K188/J188)</f>
        <v/>
      </c>
      <c r="N188" s="13" t="str">
        <f aca="false">IF(J188=0,"",L188+M188)</f>
        <v/>
      </c>
    </row>
    <row r="189" customFormat="false" ht="15" hidden="false" customHeight="false" outlineLevel="0" collapsed="false">
      <c r="A189" s="8" t="s">
        <v>27</v>
      </c>
      <c r="B189" s="48" t="n">
        <v>2013</v>
      </c>
      <c r="C189" s="10" t="n">
        <f aca="false">IF(D189&gt;0,1,0)</f>
        <v>1</v>
      </c>
      <c r="D189" s="9" t="n">
        <f aca="false">IF(SUMIFS(Sales!$D$3:$D$500,Sales!$C$3:$C$500,$A189,Sales!$B$3:$B$500,"&lt;="&amp;DATE($B189-1,12,31))&gt;0,0,SUMIFS('Asset Value'!$F$4:$F$500,'Asset Value'!$C$4:$C$500,$A189,'Asset Value'!$B$4:$B$500,$B189-1)/1000)</f>
        <v>41600</v>
      </c>
      <c r="E189" s="9" t="n">
        <f aca="false">IF(SUMIFS(Sales!$D$3:$D$500,Sales!$C$3:$C$500,$A189,Sales!$B$3:$B$500,"&gt;="&amp;DATE($B189,1,1),Sales!$B$3:$B$500,"&lt;="&amp;DATE($B189,12,31))&gt;0,SUMIFS(Sales!$D$3:$D$500,Sales!$C$3:$C$500,$A189,Sales!$B$3:$B$500,"&gt;="&amp;DATE($B189,1,1),Sales!$B$3:$B$500,"&lt;="&amp;DATE($B189,12,31))/1000,SUMIFS('Asset Value'!$F$4:$F$500,'Asset Value'!$C$4:$C$500,$A189,'Asset Value'!$B$4:$B$500,$B189)/1000)</f>
        <v>42627</v>
      </c>
      <c r="F189" s="9" t="n">
        <f aca="false">SUMIFS(Rent!$E$3:$E$500,Rent!$D$3:$D$500,$A189,Rent!$C$3:$C$500,$B189)/1000</f>
        <v>1207</v>
      </c>
      <c r="G189" s="9" t="n">
        <f aca="false">SUMIFS(Costs!$D$3:$D$500,Costs!$C$3:$C$500,$A189,Costs!$B$3:$B$500,"&gt;="&amp;DATE($B189,1,1),Costs!$B$3:$B$500,"&lt;="&amp;DATE($B189,12,31))/1000</f>
        <v>0</v>
      </c>
      <c r="H189" s="9" t="n">
        <f aca="false">SUMIFS('Partial Sales'!$D$3:$D$500,'Partial Sales'!$C$3:$C$500,$A189,'Partial Sales'!$B$3:$B$500,"&gt;="&amp;DATE($B189,1,1),'Partial Sales'!$B$3:$B$500,"&lt;="&amp;DATE($B189,12,31))/1000</f>
        <v>0</v>
      </c>
      <c r="I189" s="9" t="n">
        <f aca="false">SUMIFS('Partial Purchases'!$D$3:$D$500,'Partial Purchases'!$C$3:$C$500,$A189,'Partial Purchases'!$B$3:$B$500,"&gt;="&amp;DATE($B189,1,1),'Partial Purchases'!$B$3:$B$500,"&lt;="&amp;DATE($B189,12,31))/1000</f>
        <v>0</v>
      </c>
      <c r="J189" s="9" t="n">
        <f aca="false">C189*(D189+0.5*(G189-H189+I189-F189))</f>
        <v>40996.5</v>
      </c>
      <c r="K189" s="9" t="n">
        <f aca="false">C189*(E189-D189+H189-G189-I189)</f>
        <v>1027</v>
      </c>
      <c r="L189" s="13" t="n">
        <f aca="false">IF(J189=0,"",C189*F189/J189)</f>
        <v>0.029441537692242</v>
      </c>
      <c r="M189" s="13" t="n">
        <f aca="false">IF(J189=0,"",K189/J189)</f>
        <v>0.0250509189808886</v>
      </c>
      <c r="N189" s="13" t="n">
        <f aca="false">IF(J189=0,"",L189+M189)</f>
        <v>0.0544924566731306</v>
      </c>
    </row>
    <row r="190" customFormat="false" ht="15" hidden="false" customHeight="false" outlineLevel="0" collapsed="false">
      <c r="A190" s="8" t="s">
        <v>27</v>
      </c>
      <c r="B190" s="48" t="n">
        <v>2014</v>
      </c>
      <c r="C190" s="10" t="n">
        <f aca="false">IF(D190&gt;0,1,0)</f>
        <v>1</v>
      </c>
      <c r="D190" s="9" t="n">
        <f aca="false">IF(SUMIFS(Sales!$D$3:$D$500,Sales!$C$3:$C$500,$A190,Sales!$B$3:$B$500,"&lt;="&amp;DATE($B190-1,12,31))&gt;0,0,SUMIFS('Asset Value'!$F$4:$F$500,'Asset Value'!$C$4:$C$500,$A190,'Asset Value'!$B$4:$B$500,$B190-1)/1000)</f>
        <v>42627</v>
      </c>
      <c r="E190" s="9" t="n">
        <f aca="false">IF(SUMIFS(Sales!$D$3:$D$500,Sales!$C$3:$C$500,$A190,Sales!$B$3:$B$500,"&gt;="&amp;DATE($B190,1,1),Sales!$B$3:$B$500,"&lt;="&amp;DATE($B190,12,31))&gt;0,SUMIFS(Sales!$D$3:$D$500,Sales!$C$3:$C$500,$A190,Sales!$B$3:$B$500,"&gt;="&amp;DATE($B190,1,1),Sales!$B$3:$B$500,"&lt;="&amp;DATE($B190,12,31))/1000,SUMIFS('Asset Value'!$F$4:$F$500,'Asset Value'!$C$4:$C$500,$A190,'Asset Value'!$B$4:$B$500,$B190)/1000)</f>
        <v>0</v>
      </c>
      <c r="F190" s="9" t="n">
        <f aca="false">SUMIFS(Rent!$E$3:$E$500,Rent!$D$3:$D$500,$A190,Rent!$C$3:$C$500,$B190)/1000</f>
        <v>0</v>
      </c>
      <c r="G190" s="9" t="n">
        <f aca="false">SUMIFS(Costs!$D$3:$D$500,Costs!$C$3:$C$500,$A190,Costs!$B$3:$B$500,"&gt;="&amp;DATE($B190,1,1),Costs!$B$3:$B$500,"&lt;="&amp;DATE($B190,12,31))/1000</f>
        <v>0</v>
      </c>
      <c r="H190" s="9" t="n">
        <f aca="false">SUMIFS('Partial Sales'!$D$3:$D$500,'Partial Sales'!$C$3:$C$500,$A190,'Partial Sales'!$B$3:$B$500,"&gt;="&amp;DATE($B190,1,1),'Partial Sales'!$B$3:$B$500,"&lt;="&amp;DATE($B190,12,31))/1000</f>
        <v>0</v>
      </c>
      <c r="I190" s="9" t="n">
        <f aca="false">SUMIFS('Partial Purchases'!$D$3:$D$500,'Partial Purchases'!$C$3:$C$500,$A190,'Partial Purchases'!$B$3:$B$500,"&gt;="&amp;DATE($B190,1,1),'Partial Purchases'!$B$3:$B$500,"&lt;="&amp;DATE($B190,12,31))/1000</f>
        <v>0</v>
      </c>
      <c r="J190" s="9" t="n">
        <f aca="false">C190*(D190+0.5*(G190-H190+I190-F190))</f>
        <v>42627</v>
      </c>
      <c r="K190" s="9" t="n">
        <f aca="false">C190*(E190-D190+H190-G190-I190)</f>
        <v>-42627</v>
      </c>
      <c r="L190" s="13" t="n">
        <f aca="false">IF(J190=0,"",C190*F190/J190)</f>
        <v>0</v>
      </c>
      <c r="M190" s="13" t="n">
        <f aca="false">IF(J190=0,"",K190/J190)</f>
        <v>-1</v>
      </c>
      <c r="N190" s="13" t="n">
        <f aca="false">IF(J190=0,"",L190+M190)</f>
        <v>-1</v>
      </c>
    </row>
    <row r="191" customFormat="false" ht="15" hidden="false" customHeight="false" outlineLevel="0" collapsed="false">
      <c r="A191" s="49" t="s">
        <v>27</v>
      </c>
      <c r="B191" s="50" t="n">
        <v>2015</v>
      </c>
      <c r="C191" s="51" t="n">
        <f aca="false">IF(D191&gt;0,1,0)</f>
        <v>0</v>
      </c>
      <c r="D191" s="52" t="n">
        <f aca="false">IF(SUMIFS(Sales!$D$3:$D$500,Sales!$C$3:$C$500,$A191,Sales!$B$3:$B$500,"&lt;="&amp;DATE($B191-1,12,31))&gt;0,0,SUMIFS('Asset Value'!$F$4:$F$500,'Asset Value'!$C$4:$C$500,$A191,'Asset Value'!$B$4:$B$500,$B191-1)/1000)</f>
        <v>0</v>
      </c>
      <c r="E191" s="52" t="n">
        <f aca="false">IF(SUMIFS(Sales!$D$3:$D$500,Sales!$C$3:$C$500,$A191,Sales!$B$3:$B$500,"&gt;="&amp;DATE($B191,1,1),Sales!$B$3:$B$500,"&lt;="&amp;DATE($B191,12,31))&gt;0,SUMIFS(Sales!$D$3:$D$500,Sales!$C$3:$C$500,$A191,Sales!$B$3:$B$500,"&gt;="&amp;DATE($B191,1,1),Sales!$B$3:$B$500,"&lt;="&amp;DATE($B191,12,31))/1000,SUMIFS('Asset Value'!$F$4:$F$500,'Asset Value'!$C$4:$C$500,$A191,'Asset Value'!$B$4:$B$500,$B191)/1000)</f>
        <v>0</v>
      </c>
      <c r="F191" s="52" t="n">
        <f aca="false">SUMIFS(Rent!$E$3:$E$500,Rent!$D$3:$D$500,$A191,Rent!$C$3:$C$500,$B191)/1000</f>
        <v>0</v>
      </c>
      <c r="G191" s="52" t="n">
        <f aca="false">SUMIFS(Costs!$D$3:$D$500,Costs!$C$3:$C$500,$A191,Costs!$B$3:$B$500,"&gt;="&amp;DATE($B191,1,1),Costs!$B$3:$B$500,"&lt;="&amp;DATE($B191,12,31))/1000</f>
        <v>0</v>
      </c>
      <c r="H191" s="52" t="n">
        <f aca="false">SUMIFS('Partial Sales'!$D$3:$D$500,'Partial Sales'!$C$3:$C$500,$A191,'Partial Sales'!$B$3:$B$500,"&gt;="&amp;DATE($B191,1,1),'Partial Sales'!$B$3:$B$500,"&lt;="&amp;DATE($B191,12,31))/1000</f>
        <v>0</v>
      </c>
      <c r="I191" s="52" t="n">
        <f aca="false">SUMIFS('Partial Purchases'!$D$3:$D$500,'Partial Purchases'!$C$3:$C$500,$A191,'Partial Purchases'!$B$3:$B$500,"&gt;="&amp;DATE($B191,1,1),'Partial Purchases'!$B$3:$B$500,"&lt;="&amp;DATE($B191,12,31))/1000</f>
        <v>0</v>
      </c>
      <c r="J191" s="52" t="n">
        <f aca="false">C191*(D191+0.5*(G191-H191+I191-F191))</f>
        <v>0</v>
      </c>
      <c r="K191" s="52" t="n">
        <f aca="false">C191*(E191-D191+H191-G191-I191)</f>
        <v>0</v>
      </c>
      <c r="L191" s="46" t="str">
        <f aca="false">IF(J191=0,"",C191*F191/J191)</f>
        <v/>
      </c>
      <c r="M191" s="46" t="str">
        <f aca="false">IF(J191=0,"",K191/J191)</f>
        <v/>
      </c>
      <c r="N191" s="46" t="str">
        <f aca="false">IF(J191=0,"",L191+M191)</f>
        <v/>
      </c>
    </row>
    <row r="192" customFormat="false" ht="15" hidden="false" customHeight="false" outlineLevel="0" collapsed="false">
      <c r="A192" s="8" t="s">
        <v>28</v>
      </c>
      <c r="B192" s="48" t="n">
        <v>2008</v>
      </c>
      <c r="C192" s="10" t="n">
        <f aca="false">IF(D192&gt;0,1,0)</f>
        <v>0</v>
      </c>
      <c r="D192" s="9" t="n">
        <f aca="false">IF(SUMIFS(Sales!$D$3:$D$500,Sales!$C$3:$C$500,$A192,Sales!$B$3:$B$500,"&lt;="&amp;DATE($B192-1,12,31))&gt;0,0,SUMIFS('Asset Value'!$F$4:$F$500,'Asset Value'!$C$4:$C$500,$A192,'Asset Value'!$B$4:$B$500,$B192-1)/1000)</f>
        <v>0</v>
      </c>
      <c r="E192" s="9" t="n">
        <f aca="false">IF(SUMIFS(Sales!$D$3:$D$500,Sales!$C$3:$C$500,$A192,Sales!$B$3:$B$500,"&gt;="&amp;DATE($B192,1,1),Sales!$B$3:$B$500,"&lt;="&amp;DATE($B192,12,31))&gt;0,SUMIFS(Sales!$D$3:$D$500,Sales!$C$3:$C$500,$A192,Sales!$B$3:$B$500,"&gt;="&amp;DATE($B192,1,1),Sales!$B$3:$B$500,"&lt;="&amp;DATE($B192,12,31))/1000,SUMIFS('Asset Value'!$F$4:$F$500,'Asset Value'!$C$4:$C$500,$A192,'Asset Value'!$B$4:$B$500,$B192)/1000)</f>
        <v>0</v>
      </c>
      <c r="F192" s="9" t="n">
        <f aca="false">SUMIFS(Rent!$E$3:$E$500,Rent!$D$3:$D$500,$A192,Rent!$C$3:$C$500,$B192)/1000</f>
        <v>0</v>
      </c>
      <c r="G192" s="9" t="n">
        <f aca="false">SUMIFS(Costs!$D$3:$D$500,Costs!$C$3:$C$500,$A192,Costs!$B$3:$B$500,"&gt;="&amp;DATE($B192,1,1),Costs!$B$3:$B$500,"&lt;="&amp;DATE($B192,12,31))/1000</f>
        <v>0</v>
      </c>
      <c r="H192" s="9" t="n">
        <f aca="false">SUMIFS('Partial Sales'!$D$3:$D$500,'Partial Sales'!$C$3:$C$500,$A192,'Partial Sales'!$B$3:$B$500,"&gt;="&amp;DATE($B192,1,1),'Partial Sales'!$B$3:$B$500,"&lt;="&amp;DATE($B192,12,31))/1000</f>
        <v>0</v>
      </c>
      <c r="I192" s="9" t="n">
        <f aca="false">SUMIFS('Partial Purchases'!$D$3:$D$500,'Partial Purchases'!$C$3:$C$500,$A192,'Partial Purchases'!$B$3:$B$500,"&gt;="&amp;DATE($B192,1,1),'Partial Purchases'!$B$3:$B$500,"&lt;="&amp;DATE($B192,12,31))/1000</f>
        <v>0</v>
      </c>
      <c r="J192" s="9" t="n">
        <f aca="false">C192*(D192+0.5*(G192-H192+I192-F192))</f>
        <v>0</v>
      </c>
      <c r="K192" s="9" t="n">
        <f aca="false">C192*(E192-D192+H192-G192-I192)</f>
        <v>0</v>
      </c>
      <c r="L192" s="13" t="str">
        <f aca="false">IF(J192=0,"",C192*F192/J192)</f>
        <v/>
      </c>
      <c r="M192" s="13" t="str">
        <f aca="false">IF(J192=0,"",K192/J192)</f>
        <v/>
      </c>
      <c r="N192" s="13" t="str">
        <f aca="false">IF(J192=0,"",L192+M192)</f>
        <v/>
      </c>
    </row>
    <row r="193" customFormat="false" ht="15" hidden="false" customHeight="false" outlineLevel="0" collapsed="false">
      <c r="A193" s="8" t="s">
        <v>28</v>
      </c>
      <c r="B193" s="48" t="n">
        <v>2009</v>
      </c>
      <c r="C193" s="10" t="n">
        <f aca="false">IF(D193&gt;0,1,0)</f>
        <v>0</v>
      </c>
      <c r="D193" s="9" t="n">
        <f aca="false">IF(SUMIFS(Sales!$D$3:$D$500,Sales!$C$3:$C$500,$A193,Sales!$B$3:$B$500,"&lt;="&amp;DATE($B193-1,12,31))&gt;0,0,SUMIFS('Asset Value'!$F$4:$F$500,'Asset Value'!$C$4:$C$500,$A193,'Asset Value'!$B$4:$B$500,$B193-1)/1000)</f>
        <v>0</v>
      </c>
      <c r="E193" s="9" t="n">
        <f aca="false">IF(SUMIFS(Sales!$D$3:$D$500,Sales!$C$3:$C$500,$A193,Sales!$B$3:$B$500,"&gt;="&amp;DATE($B193,1,1),Sales!$B$3:$B$500,"&lt;="&amp;DATE($B193,12,31))&gt;0,SUMIFS(Sales!$D$3:$D$500,Sales!$C$3:$C$500,$A193,Sales!$B$3:$B$500,"&gt;="&amp;DATE($B193,1,1),Sales!$B$3:$B$500,"&lt;="&amp;DATE($B193,12,31))/1000,SUMIFS('Asset Value'!$F$4:$F$500,'Asset Value'!$C$4:$C$500,$A193,'Asset Value'!$B$4:$B$500,$B193)/1000)</f>
        <v>0</v>
      </c>
      <c r="F193" s="9" t="n">
        <f aca="false">SUMIFS(Rent!$E$3:$E$500,Rent!$D$3:$D$500,$A193,Rent!$C$3:$C$500,$B193)/1000</f>
        <v>0</v>
      </c>
      <c r="G193" s="9" t="n">
        <f aca="false">SUMIFS(Costs!$D$3:$D$500,Costs!$C$3:$C$500,$A193,Costs!$B$3:$B$500,"&gt;="&amp;DATE($B193,1,1),Costs!$B$3:$B$500,"&lt;="&amp;DATE($B193,12,31))/1000</f>
        <v>0</v>
      </c>
      <c r="H193" s="9" t="n">
        <f aca="false">SUMIFS('Partial Sales'!$D$3:$D$500,'Partial Sales'!$C$3:$C$500,$A193,'Partial Sales'!$B$3:$B$500,"&gt;="&amp;DATE($B193,1,1),'Partial Sales'!$B$3:$B$500,"&lt;="&amp;DATE($B193,12,31))/1000</f>
        <v>0</v>
      </c>
      <c r="I193" s="9" t="n">
        <f aca="false">SUMIFS('Partial Purchases'!$D$3:$D$500,'Partial Purchases'!$C$3:$C$500,$A193,'Partial Purchases'!$B$3:$B$500,"&gt;="&amp;DATE($B193,1,1),'Partial Purchases'!$B$3:$B$500,"&lt;="&amp;DATE($B193,12,31))/1000</f>
        <v>0</v>
      </c>
      <c r="J193" s="9" t="n">
        <f aca="false">C193*(D193+0.5*(G193-H193+I193-F193))</f>
        <v>0</v>
      </c>
      <c r="K193" s="9" t="n">
        <f aca="false">C193*(E193-D193+H193-G193-I193)</f>
        <v>0</v>
      </c>
      <c r="L193" s="13" t="str">
        <f aca="false">IF(J193=0,"",C193*F193/J193)</f>
        <v/>
      </c>
      <c r="M193" s="13" t="str">
        <f aca="false">IF(J193=0,"",K193/J193)</f>
        <v/>
      </c>
      <c r="N193" s="13" t="str">
        <f aca="false">IF(J193=0,"",L193+M193)</f>
        <v/>
      </c>
    </row>
    <row r="194" customFormat="false" ht="15" hidden="false" customHeight="false" outlineLevel="0" collapsed="false">
      <c r="A194" s="8" t="s">
        <v>28</v>
      </c>
      <c r="B194" s="48" t="n">
        <v>2010</v>
      </c>
      <c r="C194" s="10" t="n">
        <f aca="false">IF(D194&gt;0,1,0)</f>
        <v>0</v>
      </c>
      <c r="D194" s="9" t="n">
        <f aca="false">IF(SUMIFS(Sales!$D$3:$D$500,Sales!$C$3:$C$500,$A194,Sales!$B$3:$B$500,"&lt;="&amp;DATE($B194-1,12,31))&gt;0,0,SUMIFS('Asset Value'!$F$4:$F$500,'Asset Value'!$C$4:$C$500,$A194,'Asset Value'!$B$4:$B$500,$B194-1)/1000)</f>
        <v>0</v>
      </c>
      <c r="E194" s="9" t="n">
        <f aca="false">IF(SUMIFS(Sales!$D$3:$D$500,Sales!$C$3:$C$500,$A194,Sales!$B$3:$B$500,"&gt;="&amp;DATE($B194,1,1),Sales!$B$3:$B$500,"&lt;="&amp;DATE($B194,12,31))&gt;0,SUMIFS(Sales!$D$3:$D$500,Sales!$C$3:$C$500,$A194,Sales!$B$3:$B$500,"&gt;="&amp;DATE($B194,1,1),Sales!$B$3:$B$500,"&lt;="&amp;DATE($B194,12,31))/1000,SUMIFS('Asset Value'!$F$4:$F$500,'Asset Value'!$C$4:$C$500,$A194,'Asset Value'!$B$4:$B$500,$B194)/1000)</f>
        <v>0</v>
      </c>
      <c r="F194" s="9" t="n">
        <f aca="false">SUMIFS(Rent!$E$3:$E$500,Rent!$D$3:$D$500,$A194,Rent!$C$3:$C$500,$B194)/1000</f>
        <v>0</v>
      </c>
      <c r="G194" s="9" t="n">
        <f aca="false">SUMIFS(Costs!$D$3:$D$500,Costs!$C$3:$C$500,$A194,Costs!$B$3:$B$500,"&gt;="&amp;DATE($B194,1,1),Costs!$B$3:$B$500,"&lt;="&amp;DATE($B194,12,31))/1000</f>
        <v>0</v>
      </c>
      <c r="H194" s="9" t="n">
        <f aca="false">SUMIFS('Partial Sales'!$D$3:$D$500,'Partial Sales'!$C$3:$C$500,$A194,'Partial Sales'!$B$3:$B$500,"&gt;="&amp;DATE($B194,1,1),'Partial Sales'!$B$3:$B$500,"&lt;="&amp;DATE($B194,12,31))/1000</f>
        <v>0</v>
      </c>
      <c r="I194" s="9" t="n">
        <f aca="false">SUMIFS('Partial Purchases'!$D$3:$D$500,'Partial Purchases'!$C$3:$C$500,$A194,'Partial Purchases'!$B$3:$B$500,"&gt;="&amp;DATE($B194,1,1),'Partial Purchases'!$B$3:$B$500,"&lt;="&amp;DATE($B194,12,31))/1000</f>
        <v>0</v>
      </c>
      <c r="J194" s="9" t="n">
        <f aca="false">C194*(D194+0.5*(G194-H194+I194-F194))</f>
        <v>0</v>
      </c>
      <c r="K194" s="9" t="n">
        <f aca="false">C194*(E194-D194+H194-G194-I194)</f>
        <v>0</v>
      </c>
      <c r="L194" s="13" t="str">
        <f aca="false">IF(J194=0,"",C194*F194/J194)</f>
        <v/>
      </c>
      <c r="M194" s="13" t="str">
        <f aca="false">IF(J194=0,"",K194/J194)</f>
        <v/>
      </c>
      <c r="N194" s="13" t="str">
        <f aca="false">IF(J194=0,"",L194+M194)</f>
        <v/>
      </c>
    </row>
    <row r="195" customFormat="false" ht="15" hidden="false" customHeight="false" outlineLevel="0" collapsed="false">
      <c r="A195" s="8" t="s">
        <v>28</v>
      </c>
      <c r="B195" s="48" t="n">
        <v>2011</v>
      </c>
      <c r="C195" s="10" t="n">
        <f aca="false">IF(D195&gt;0,1,0)</f>
        <v>0</v>
      </c>
      <c r="D195" s="9" t="n">
        <f aca="false">IF(SUMIFS(Sales!$D$3:$D$500,Sales!$C$3:$C$500,$A195,Sales!$B$3:$B$500,"&lt;="&amp;DATE($B195-1,12,31))&gt;0,0,SUMIFS('Asset Value'!$F$4:$F$500,'Asset Value'!$C$4:$C$500,$A195,'Asset Value'!$B$4:$B$500,$B195-1)/1000)</f>
        <v>0</v>
      </c>
      <c r="E195" s="9" t="n">
        <f aca="false">IF(SUMIFS(Sales!$D$3:$D$500,Sales!$C$3:$C$500,$A195,Sales!$B$3:$B$500,"&gt;="&amp;DATE($B195,1,1),Sales!$B$3:$B$500,"&lt;="&amp;DATE($B195,12,31))&gt;0,SUMIFS(Sales!$D$3:$D$500,Sales!$C$3:$C$500,$A195,Sales!$B$3:$B$500,"&gt;="&amp;DATE($B195,1,1),Sales!$B$3:$B$500,"&lt;="&amp;DATE($B195,12,31))/1000,SUMIFS('Asset Value'!$F$4:$F$500,'Asset Value'!$C$4:$C$500,$A195,'Asset Value'!$B$4:$B$500,$B195)/1000)</f>
        <v>0</v>
      </c>
      <c r="F195" s="9" t="n">
        <f aca="false">SUMIFS(Rent!$E$3:$E$500,Rent!$D$3:$D$500,$A195,Rent!$C$3:$C$500,$B195)/1000</f>
        <v>0</v>
      </c>
      <c r="G195" s="9" t="n">
        <f aca="false">SUMIFS(Costs!$D$3:$D$500,Costs!$C$3:$C$500,$A195,Costs!$B$3:$B$500,"&gt;="&amp;DATE($B195,1,1),Costs!$B$3:$B$500,"&lt;="&amp;DATE($B195,12,31))/1000</f>
        <v>0</v>
      </c>
      <c r="H195" s="9" t="n">
        <f aca="false">SUMIFS('Partial Sales'!$D$3:$D$500,'Partial Sales'!$C$3:$C$500,$A195,'Partial Sales'!$B$3:$B$500,"&gt;="&amp;DATE($B195,1,1),'Partial Sales'!$B$3:$B$500,"&lt;="&amp;DATE($B195,12,31))/1000</f>
        <v>0</v>
      </c>
      <c r="I195" s="9" t="n">
        <f aca="false">SUMIFS('Partial Purchases'!$D$3:$D$500,'Partial Purchases'!$C$3:$C$500,$A195,'Partial Purchases'!$B$3:$B$500,"&gt;="&amp;DATE($B195,1,1),'Partial Purchases'!$B$3:$B$500,"&lt;="&amp;DATE($B195,12,31))/1000</f>
        <v>0</v>
      </c>
      <c r="J195" s="9" t="n">
        <f aca="false">C195*(D195+0.5*(G195-H195+I195-F195))</f>
        <v>0</v>
      </c>
      <c r="K195" s="9" t="n">
        <f aca="false">C195*(E195-D195+H195-G195-I195)</f>
        <v>0</v>
      </c>
      <c r="L195" s="13" t="str">
        <f aca="false">IF(J195=0,"",C195*F195/J195)</f>
        <v/>
      </c>
      <c r="M195" s="13" t="str">
        <f aca="false">IF(J195=0,"",K195/J195)</f>
        <v/>
      </c>
      <c r="N195" s="13" t="str">
        <f aca="false">IF(J195=0,"",L195+M195)</f>
        <v/>
      </c>
    </row>
    <row r="196" customFormat="false" ht="15" hidden="false" customHeight="false" outlineLevel="0" collapsed="false">
      <c r="A196" s="8" t="s">
        <v>28</v>
      </c>
      <c r="B196" s="48" t="n">
        <v>2012</v>
      </c>
      <c r="C196" s="10" t="n">
        <f aca="false">IF(D196&gt;0,1,0)</f>
        <v>0</v>
      </c>
      <c r="D196" s="9" t="n">
        <f aca="false">IF(SUMIFS(Sales!$D$3:$D$500,Sales!$C$3:$C$500,$A196,Sales!$B$3:$B$500,"&lt;="&amp;DATE($B196-1,12,31))&gt;0,0,SUMIFS('Asset Value'!$F$4:$F$500,'Asset Value'!$C$4:$C$500,$A196,'Asset Value'!$B$4:$B$500,$B196-1)/1000)</f>
        <v>0</v>
      </c>
      <c r="E196" s="9" t="n">
        <f aca="false">IF(SUMIFS(Sales!$D$3:$D$500,Sales!$C$3:$C$500,$A196,Sales!$B$3:$B$500,"&gt;="&amp;DATE($B196,1,1),Sales!$B$3:$B$500,"&lt;="&amp;DATE($B196,12,31))&gt;0,SUMIFS(Sales!$D$3:$D$500,Sales!$C$3:$C$500,$A196,Sales!$B$3:$B$500,"&gt;="&amp;DATE($B196,1,1),Sales!$B$3:$B$500,"&lt;="&amp;DATE($B196,12,31))/1000,SUMIFS('Asset Value'!$F$4:$F$500,'Asset Value'!$C$4:$C$500,$A196,'Asset Value'!$B$4:$B$500,$B196)/1000)</f>
        <v>114366</v>
      </c>
      <c r="F196" s="9" t="n">
        <f aca="false">SUMIFS(Rent!$E$3:$E$500,Rent!$D$3:$D$500,$A196,Rent!$C$3:$C$500,$B196)/1000</f>
        <v>2962</v>
      </c>
      <c r="G196" s="9" t="n">
        <f aca="false">SUMIFS(Costs!$D$3:$D$500,Costs!$C$3:$C$500,$A196,Costs!$B$3:$B$500,"&gt;="&amp;DATE($B196,1,1),Costs!$B$3:$B$500,"&lt;="&amp;DATE($B196,12,31))/1000</f>
        <v>0</v>
      </c>
      <c r="H196" s="9" t="n">
        <f aca="false">SUMIFS('Partial Sales'!$D$3:$D$500,'Partial Sales'!$C$3:$C$500,$A196,'Partial Sales'!$B$3:$B$500,"&gt;="&amp;DATE($B196,1,1),'Partial Sales'!$B$3:$B$500,"&lt;="&amp;DATE($B196,12,31))/1000</f>
        <v>0</v>
      </c>
      <c r="I196" s="9" t="n">
        <f aca="false">SUMIFS('Partial Purchases'!$D$3:$D$500,'Partial Purchases'!$C$3:$C$500,$A196,'Partial Purchases'!$B$3:$B$500,"&gt;="&amp;DATE($B196,1,1),'Partial Purchases'!$B$3:$B$500,"&lt;="&amp;DATE($B196,12,31))/1000</f>
        <v>0</v>
      </c>
      <c r="J196" s="9" t="n">
        <f aca="false">C196*(D196+0.5*(G196-H196+I196-F196))</f>
        <v>-0</v>
      </c>
      <c r="K196" s="9" t="n">
        <f aca="false">C196*(E196-D196+H196-G196-I196)</f>
        <v>0</v>
      </c>
      <c r="L196" s="13" t="str">
        <f aca="false">IF(J196=0,"",C196*F196/J196)</f>
        <v/>
      </c>
      <c r="M196" s="13" t="str">
        <f aca="false">IF(J196=0,"",K196/J196)</f>
        <v/>
      </c>
      <c r="N196" s="13" t="str">
        <f aca="false">IF(J196=0,"",L196+M196)</f>
        <v/>
      </c>
    </row>
    <row r="197" customFormat="false" ht="15" hidden="false" customHeight="false" outlineLevel="0" collapsed="false">
      <c r="A197" s="8" t="s">
        <v>28</v>
      </c>
      <c r="B197" s="48" t="n">
        <v>2013</v>
      </c>
      <c r="C197" s="10" t="n">
        <f aca="false">IF(D197&gt;0,1,0)</f>
        <v>1</v>
      </c>
      <c r="D197" s="9" t="n">
        <f aca="false">IF(SUMIFS(Sales!$D$3:$D$500,Sales!$C$3:$C$500,$A197,Sales!$B$3:$B$500,"&lt;="&amp;DATE($B197-1,12,31))&gt;0,0,SUMIFS('Asset Value'!$F$4:$F$500,'Asset Value'!$C$4:$C$500,$A197,'Asset Value'!$B$4:$B$500,$B197-1)/1000)</f>
        <v>114366</v>
      </c>
      <c r="E197" s="9" t="n">
        <f aca="false">IF(SUMIFS(Sales!$D$3:$D$500,Sales!$C$3:$C$500,$A197,Sales!$B$3:$B$500,"&gt;="&amp;DATE($B197,1,1),Sales!$B$3:$B$500,"&lt;="&amp;DATE($B197,12,31))&gt;0,SUMIFS(Sales!$D$3:$D$500,Sales!$C$3:$C$500,$A197,Sales!$B$3:$B$500,"&gt;="&amp;DATE($B197,1,1),Sales!$B$3:$B$500,"&lt;="&amp;DATE($B197,12,31))/1000,SUMIFS('Asset Value'!$F$4:$F$500,'Asset Value'!$C$4:$C$500,$A197,'Asset Value'!$B$4:$B$500,$B197)/1000)</f>
        <v>168079</v>
      </c>
      <c r="F197" s="9" t="n">
        <f aca="false">SUMIFS(Rent!$E$3:$E$500,Rent!$D$3:$D$500,$A197,Rent!$C$3:$C$500,$B197)/1000</f>
        <v>2245</v>
      </c>
      <c r="G197" s="9" t="n">
        <f aca="false">SUMIFS(Costs!$D$3:$D$500,Costs!$C$3:$C$500,$A197,Costs!$B$3:$B$500,"&gt;="&amp;DATE($B197,1,1),Costs!$B$3:$B$500,"&lt;="&amp;DATE($B197,12,31))/1000</f>
        <v>0</v>
      </c>
      <c r="H197" s="9" t="n">
        <f aca="false">SUMIFS('Partial Sales'!$D$3:$D$500,'Partial Sales'!$C$3:$C$500,$A197,'Partial Sales'!$B$3:$B$500,"&gt;="&amp;DATE($B197,1,1),'Partial Sales'!$B$3:$B$500,"&lt;="&amp;DATE($B197,12,31))/1000</f>
        <v>0</v>
      </c>
      <c r="I197" s="9" t="n">
        <f aca="false">SUMIFS('Partial Purchases'!$D$3:$D$500,'Partial Purchases'!$C$3:$C$500,$A197,'Partial Purchases'!$B$3:$B$500,"&gt;="&amp;DATE($B197,1,1),'Partial Purchases'!$B$3:$B$500,"&lt;="&amp;DATE($B197,12,31))/1000</f>
        <v>0</v>
      </c>
      <c r="J197" s="9" t="n">
        <f aca="false">C197*(D197+0.5*(G197-H197+I197-F197))</f>
        <v>113243.5</v>
      </c>
      <c r="K197" s="9" t="n">
        <f aca="false">C197*(E197-D197+H197-G197-I197)</f>
        <v>53713</v>
      </c>
      <c r="L197" s="13" t="n">
        <f aca="false">IF(J197=0,"",C197*F197/J197)</f>
        <v>0.019824537390667</v>
      </c>
      <c r="M197" s="13" t="n">
        <f aca="false">IF(J197=0,"",K197/J197)</f>
        <v>0.474314199048952</v>
      </c>
      <c r="N197" s="13" t="n">
        <f aca="false">IF(J197=0,"",L197+M197)</f>
        <v>0.494138736439619</v>
      </c>
    </row>
    <row r="198" customFormat="false" ht="15" hidden="false" customHeight="false" outlineLevel="0" collapsed="false">
      <c r="A198" s="8" t="s">
        <v>28</v>
      </c>
      <c r="B198" s="48" t="n">
        <v>2014</v>
      </c>
      <c r="C198" s="10" t="n">
        <f aca="false">IF(D198&gt;0,1,0)</f>
        <v>1</v>
      </c>
      <c r="D198" s="9" t="n">
        <f aca="false">IF(SUMIFS(Sales!$D$3:$D$500,Sales!$C$3:$C$500,$A198,Sales!$B$3:$B$500,"&lt;="&amp;DATE($B198-1,12,31))&gt;0,0,SUMIFS('Asset Value'!$F$4:$F$500,'Asset Value'!$C$4:$C$500,$A198,'Asset Value'!$B$4:$B$500,$B198-1)/1000)</f>
        <v>168079</v>
      </c>
      <c r="E198" s="9" t="n">
        <f aca="false">IF(SUMIFS(Sales!$D$3:$D$500,Sales!$C$3:$C$500,$A198,Sales!$B$3:$B$500,"&gt;="&amp;DATE($B198,1,1),Sales!$B$3:$B$500,"&lt;="&amp;DATE($B198,12,31))&gt;0,SUMIFS(Sales!$D$3:$D$500,Sales!$C$3:$C$500,$A198,Sales!$B$3:$B$500,"&gt;="&amp;DATE($B198,1,1),Sales!$B$3:$B$500,"&lt;="&amp;DATE($B198,12,31))/1000,SUMIFS('Asset Value'!$F$4:$F$500,'Asset Value'!$C$4:$C$500,$A198,'Asset Value'!$B$4:$B$500,$B198)/1000)</f>
        <v>226665</v>
      </c>
      <c r="F198" s="9" t="n">
        <f aca="false">SUMIFS(Rent!$E$3:$E$500,Rent!$D$3:$D$500,$A198,Rent!$C$3:$C$500,$B198)/1000</f>
        <v>657</v>
      </c>
      <c r="G198" s="9" t="n">
        <f aca="false">SUMIFS(Costs!$D$3:$D$500,Costs!$C$3:$C$500,$A198,Costs!$B$3:$B$500,"&gt;="&amp;DATE($B198,1,1),Costs!$B$3:$B$500,"&lt;="&amp;DATE($B198,12,31))/1000</f>
        <v>0</v>
      </c>
      <c r="H198" s="9" t="n">
        <f aca="false">SUMIFS('Partial Sales'!$D$3:$D$500,'Partial Sales'!$C$3:$C$500,$A198,'Partial Sales'!$B$3:$B$500,"&gt;="&amp;DATE($B198,1,1),'Partial Sales'!$B$3:$B$500,"&lt;="&amp;DATE($B198,12,31))/1000</f>
        <v>0</v>
      </c>
      <c r="I198" s="9" t="n">
        <f aca="false">SUMIFS('Partial Purchases'!$D$3:$D$500,'Partial Purchases'!$C$3:$C$500,$A198,'Partial Purchases'!$B$3:$B$500,"&gt;="&amp;DATE($B198,1,1),'Partial Purchases'!$B$3:$B$500,"&lt;="&amp;DATE($B198,12,31))/1000</f>
        <v>0</v>
      </c>
      <c r="J198" s="9" t="n">
        <f aca="false">C198*(D198+0.5*(G198-H198+I198-F198))</f>
        <v>167750.5</v>
      </c>
      <c r="K198" s="9" t="n">
        <f aca="false">C198*(E198-D198+H198-G198-I198)</f>
        <v>58586</v>
      </c>
      <c r="L198" s="13" t="n">
        <f aca="false">IF(J198=0,"",C198*F198/J198)</f>
        <v>0.00391653080020626</v>
      </c>
      <c r="M198" s="13" t="n">
        <f aca="false">IF(J198=0,"",K198/J198)</f>
        <v>0.349244860671056</v>
      </c>
      <c r="N198" s="13" t="n">
        <f aca="false">IF(J198=0,"",L198+M198)</f>
        <v>0.353161391471262</v>
      </c>
    </row>
    <row r="199" customFormat="false" ht="15" hidden="false" customHeight="false" outlineLevel="0" collapsed="false">
      <c r="A199" s="49" t="s">
        <v>28</v>
      </c>
      <c r="B199" s="50" t="n">
        <v>2015</v>
      </c>
      <c r="C199" s="51" t="n">
        <f aca="false">IF(D199&gt;0,1,0)</f>
        <v>1</v>
      </c>
      <c r="D199" s="52" t="n">
        <f aca="false">IF(SUMIFS(Sales!$D$3:$D$500,Sales!$C$3:$C$500,$A199,Sales!$B$3:$B$500,"&lt;="&amp;DATE($B199-1,12,31))&gt;0,0,SUMIFS('Asset Value'!$F$4:$F$500,'Asset Value'!$C$4:$C$500,$A199,'Asset Value'!$B$4:$B$500,$B199-1)/1000)</f>
        <v>226665</v>
      </c>
      <c r="E199" s="52" t="n">
        <f aca="false">IF(SUMIFS(Sales!$D$3:$D$500,Sales!$C$3:$C$500,$A199,Sales!$B$3:$B$500,"&gt;="&amp;DATE($B199,1,1),Sales!$B$3:$B$500,"&lt;="&amp;DATE($B199,12,31))&gt;0,SUMIFS(Sales!$D$3:$D$500,Sales!$C$3:$C$500,$A199,Sales!$B$3:$B$500,"&gt;="&amp;DATE($B199,1,1),Sales!$B$3:$B$500,"&lt;="&amp;DATE($B199,12,31))/1000,SUMIFS('Asset Value'!$F$4:$F$500,'Asset Value'!$C$4:$C$500,$A199,'Asset Value'!$B$4:$B$500,$B199)/1000)</f>
        <v>234990</v>
      </c>
      <c r="F199" s="52" t="n">
        <f aca="false">SUMIFS(Rent!$E$3:$E$500,Rent!$D$3:$D$500,$A199,Rent!$C$3:$C$500,$B199)/1000</f>
        <v>1217</v>
      </c>
      <c r="G199" s="52" t="n">
        <f aca="false">SUMIFS(Costs!$D$3:$D$500,Costs!$C$3:$C$500,$A199,Costs!$B$3:$B$500,"&gt;="&amp;DATE($B199,1,1),Costs!$B$3:$B$500,"&lt;="&amp;DATE($B199,12,31))/1000</f>
        <v>0</v>
      </c>
      <c r="H199" s="52" t="n">
        <f aca="false">SUMIFS('Partial Sales'!$D$3:$D$500,'Partial Sales'!$C$3:$C$500,$A199,'Partial Sales'!$B$3:$B$500,"&gt;="&amp;DATE($B199,1,1),'Partial Sales'!$B$3:$B$500,"&lt;="&amp;DATE($B199,12,31))/1000</f>
        <v>0</v>
      </c>
      <c r="I199" s="52" t="n">
        <f aca="false">SUMIFS('Partial Purchases'!$D$3:$D$500,'Partial Purchases'!$C$3:$C$500,$A199,'Partial Purchases'!$B$3:$B$500,"&gt;="&amp;DATE($B199,1,1),'Partial Purchases'!$B$3:$B$500,"&lt;="&amp;DATE($B199,12,31))/1000</f>
        <v>0</v>
      </c>
      <c r="J199" s="52" t="n">
        <f aca="false">C199*(D199+0.5*(G199-H199+I199-F199))</f>
        <v>226056.5</v>
      </c>
      <c r="K199" s="52" t="n">
        <f aca="false">C199*(E199-D199+H199-G199-I199)</f>
        <v>8325</v>
      </c>
      <c r="L199" s="46" t="n">
        <f aca="false">IF(J199=0,"",C199*F199/J199)</f>
        <v>0.00538360984974995</v>
      </c>
      <c r="M199" s="46" t="n">
        <f aca="false">IF(J199=0,"",K199/J199)</f>
        <v>0.0368270764167365</v>
      </c>
      <c r="N199" s="46" t="n">
        <f aca="false">IF(J199=0,"",L199+M199)</f>
        <v>0.0422106862664865</v>
      </c>
    </row>
    <row r="200" customFormat="false" ht="15" hidden="false" customHeight="false" outlineLevel="0" collapsed="false">
      <c r="A200" s="8" t="s">
        <v>29</v>
      </c>
      <c r="B200" s="48" t="n">
        <v>2008</v>
      </c>
      <c r="C200" s="10" t="n">
        <f aca="false">IF(D200&gt;0,1,0)</f>
        <v>0</v>
      </c>
      <c r="D200" s="9" t="n">
        <f aca="false">IF(SUMIFS(Sales!$D$3:$D$500,Sales!$C$3:$C$500,$A200,Sales!$B$3:$B$500,"&lt;="&amp;DATE($B200-1,12,31))&gt;0,0,SUMIFS('Asset Value'!$F$4:$F$500,'Asset Value'!$C$4:$C$500,$A200,'Asset Value'!$B$4:$B$500,$B200-1)/1000)</f>
        <v>0</v>
      </c>
      <c r="E200" s="9" t="n">
        <f aca="false">IF(SUMIFS(Sales!$D$3:$D$500,Sales!$C$3:$C$500,$A200,Sales!$B$3:$B$500,"&gt;="&amp;DATE($B200,1,1),Sales!$B$3:$B$500,"&lt;="&amp;DATE($B200,12,31))&gt;0,SUMIFS(Sales!$D$3:$D$500,Sales!$C$3:$C$500,$A200,Sales!$B$3:$B$500,"&gt;="&amp;DATE($B200,1,1),Sales!$B$3:$B$500,"&lt;="&amp;DATE($B200,12,31))/1000,SUMIFS('Asset Value'!$F$4:$F$500,'Asset Value'!$C$4:$C$500,$A200,'Asset Value'!$B$4:$B$500,$B200)/1000)</f>
        <v>0</v>
      </c>
      <c r="F200" s="9" t="n">
        <f aca="false">SUMIFS(Rent!$E$3:$E$500,Rent!$D$3:$D$500,$A200,Rent!$C$3:$C$500,$B200)/1000</f>
        <v>0</v>
      </c>
      <c r="G200" s="9" t="n">
        <f aca="false">SUMIFS(Costs!$D$3:$D$500,Costs!$C$3:$C$500,$A200,Costs!$B$3:$B$500,"&gt;="&amp;DATE($B200,1,1),Costs!$B$3:$B$500,"&lt;="&amp;DATE($B200,12,31))/1000</f>
        <v>0</v>
      </c>
      <c r="H200" s="9" t="n">
        <f aca="false">SUMIFS('Partial Sales'!$D$3:$D$500,'Partial Sales'!$C$3:$C$500,$A200,'Partial Sales'!$B$3:$B$500,"&gt;="&amp;DATE($B200,1,1),'Partial Sales'!$B$3:$B$500,"&lt;="&amp;DATE($B200,12,31))/1000</f>
        <v>0</v>
      </c>
      <c r="I200" s="9" t="n">
        <f aca="false">SUMIFS('Partial Purchases'!$D$3:$D$500,'Partial Purchases'!$C$3:$C$500,$A200,'Partial Purchases'!$B$3:$B$500,"&gt;="&amp;DATE($B200,1,1),'Partial Purchases'!$B$3:$B$500,"&lt;="&amp;DATE($B200,12,31))/1000</f>
        <v>0</v>
      </c>
      <c r="J200" s="9" t="n">
        <f aca="false">C200*(D200+0.5*(G200-H200+I200-F200))</f>
        <v>0</v>
      </c>
      <c r="K200" s="9" t="n">
        <f aca="false">C200*(E200-D200+H200-G200-I200)</f>
        <v>0</v>
      </c>
      <c r="L200" s="13" t="str">
        <f aca="false">IF(J200=0,"",C200*F200/J200)</f>
        <v/>
      </c>
      <c r="M200" s="13" t="str">
        <f aca="false">IF(J200=0,"",K200/J200)</f>
        <v/>
      </c>
      <c r="N200" s="13" t="str">
        <f aca="false">IF(J200=0,"",L200+M200)</f>
        <v/>
      </c>
    </row>
    <row r="201" customFormat="false" ht="15" hidden="false" customHeight="false" outlineLevel="0" collapsed="false">
      <c r="A201" s="8" t="s">
        <v>29</v>
      </c>
      <c r="B201" s="48" t="n">
        <v>2009</v>
      </c>
      <c r="C201" s="10" t="n">
        <f aca="false">IF(D201&gt;0,1,0)</f>
        <v>0</v>
      </c>
      <c r="D201" s="9" t="n">
        <f aca="false">IF(SUMIFS(Sales!$D$3:$D$500,Sales!$C$3:$C$500,$A201,Sales!$B$3:$B$500,"&lt;="&amp;DATE($B201-1,12,31))&gt;0,0,SUMIFS('Asset Value'!$F$4:$F$500,'Asset Value'!$C$4:$C$500,$A201,'Asset Value'!$B$4:$B$500,$B201-1)/1000)</f>
        <v>0</v>
      </c>
      <c r="E201" s="9" t="n">
        <f aca="false">IF(SUMIFS(Sales!$D$3:$D$500,Sales!$C$3:$C$500,$A201,Sales!$B$3:$B$500,"&gt;="&amp;DATE($B201,1,1),Sales!$B$3:$B$500,"&lt;="&amp;DATE($B201,12,31))&gt;0,SUMIFS(Sales!$D$3:$D$500,Sales!$C$3:$C$500,$A201,Sales!$B$3:$B$500,"&gt;="&amp;DATE($B201,1,1),Sales!$B$3:$B$500,"&lt;="&amp;DATE($B201,12,31))/1000,SUMIFS('Asset Value'!$F$4:$F$500,'Asset Value'!$C$4:$C$500,$A201,'Asset Value'!$B$4:$B$500,$B201)/1000)</f>
        <v>0</v>
      </c>
      <c r="F201" s="9" t="n">
        <f aca="false">SUMIFS(Rent!$E$3:$E$500,Rent!$D$3:$D$500,$A201,Rent!$C$3:$C$500,$B201)/1000</f>
        <v>0</v>
      </c>
      <c r="G201" s="9" t="n">
        <f aca="false">SUMIFS(Costs!$D$3:$D$500,Costs!$C$3:$C$500,$A201,Costs!$B$3:$B$500,"&gt;="&amp;DATE($B201,1,1),Costs!$B$3:$B$500,"&lt;="&amp;DATE($B201,12,31))/1000</f>
        <v>0</v>
      </c>
      <c r="H201" s="9" t="n">
        <f aca="false">SUMIFS('Partial Sales'!$D$3:$D$500,'Partial Sales'!$C$3:$C$500,$A201,'Partial Sales'!$B$3:$B$500,"&gt;="&amp;DATE($B201,1,1),'Partial Sales'!$B$3:$B$500,"&lt;="&amp;DATE($B201,12,31))/1000</f>
        <v>0</v>
      </c>
      <c r="I201" s="9" t="n">
        <f aca="false">SUMIFS('Partial Purchases'!$D$3:$D$500,'Partial Purchases'!$C$3:$C$500,$A201,'Partial Purchases'!$B$3:$B$500,"&gt;="&amp;DATE($B201,1,1),'Partial Purchases'!$B$3:$B$500,"&lt;="&amp;DATE($B201,12,31))/1000</f>
        <v>0</v>
      </c>
      <c r="J201" s="9" t="n">
        <f aca="false">C201*(D201+0.5*(G201-H201+I201-F201))</f>
        <v>0</v>
      </c>
      <c r="K201" s="9" t="n">
        <f aca="false">C201*(E201-D201+H201-G201-I201)</f>
        <v>0</v>
      </c>
      <c r="L201" s="13" t="str">
        <f aca="false">IF(J201=0,"",C201*F201/J201)</f>
        <v/>
      </c>
      <c r="M201" s="13" t="str">
        <f aca="false">IF(J201=0,"",K201/J201)</f>
        <v/>
      </c>
      <c r="N201" s="13" t="str">
        <f aca="false">IF(J201=0,"",L201+M201)</f>
        <v/>
      </c>
    </row>
    <row r="202" customFormat="false" ht="15" hidden="false" customHeight="false" outlineLevel="0" collapsed="false">
      <c r="A202" s="8" t="s">
        <v>29</v>
      </c>
      <c r="B202" s="48" t="n">
        <v>2010</v>
      </c>
      <c r="C202" s="10" t="n">
        <f aca="false">IF(D202&gt;0,1,0)</f>
        <v>0</v>
      </c>
      <c r="D202" s="9" t="n">
        <f aca="false">IF(SUMIFS(Sales!$D$3:$D$500,Sales!$C$3:$C$500,$A202,Sales!$B$3:$B$500,"&lt;="&amp;DATE($B202-1,12,31))&gt;0,0,SUMIFS('Asset Value'!$F$4:$F$500,'Asset Value'!$C$4:$C$500,$A202,'Asset Value'!$B$4:$B$500,$B202-1)/1000)</f>
        <v>0</v>
      </c>
      <c r="E202" s="9" t="n">
        <f aca="false">IF(SUMIFS(Sales!$D$3:$D$500,Sales!$C$3:$C$500,$A202,Sales!$B$3:$B$500,"&gt;="&amp;DATE($B202,1,1),Sales!$B$3:$B$500,"&lt;="&amp;DATE($B202,12,31))&gt;0,SUMIFS(Sales!$D$3:$D$500,Sales!$C$3:$C$500,$A202,Sales!$B$3:$B$500,"&gt;="&amp;DATE($B202,1,1),Sales!$B$3:$B$500,"&lt;="&amp;DATE($B202,12,31))/1000,SUMIFS('Asset Value'!$F$4:$F$500,'Asset Value'!$C$4:$C$500,$A202,'Asset Value'!$B$4:$B$500,$B202)/1000)</f>
        <v>0</v>
      </c>
      <c r="F202" s="9" t="n">
        <f aca="false">SUMIFS(Rent!$E$3:$E$500,Rent!$D$3:$D$500,$A202,Rent!$C$3:$C$500,$B202)/1000</f>
        <v>0</v>
      </c>
      <c r="G202" s="9" t="n">
        <f aca="false">SUMIFS(Costs!$D$3:$D$500,Costs!$C$3:$C$500,$A202,Costs!$B$3:$B$500,"&gt;="&amp;DATE($B202,1,1),Costs!$B$3:$B$500,"&lt;="&amp;DATE($B202,12,31))/1000</f>
        <v>0</v>
      </c>
      <c r="H202" s="9" t="n">
        <f aca="false">SUMIFS('Partial Sales'!$D$3:$D$500,'Partial Sales'!$C$3:$C$500,$A202,'Partial Sales'!$B$3:$B$500,"&gt;="&amp;DATE($B202,1,1),'Partial Sales'!$B$3:$B$500,"&lt;="&amp;DATE($B202,12,31))/1000</f>
        <v>0</v>
      </c>
      <c r="I202" s="9" t="n">
        <f aca="false">SUMIFS('Partial Purchases'!$D$3:$D$500,'Partial Purchases'!$C$3:$C$500,$A202,'Partial Purchases'!$B$3:$B$500,"&gt;="&amp;DATE($B202,1,1),'Partial Purchases'!$B$3:$B$500,"&lt;="&amp;DATE($B202,12,31))/1000</f>
        <v>0</v>
      </c>
      <c r="J202" s="9" t="n">
        <f aca="false">C202*(D202+0.5*(G202-H202+I202-F202))</f>
        <v>0</v>
      </c>
      <c r="K202" s="9" t="n">
        <f aca="false">C202*(E202-D202+H202-G202-I202)</f>
        <v>0</v>
      </c>
      <c r="L202" s="13" t="str">
        <f aca="false">IF(J202=0,"",C202*F202/J202)</f>
        <v/>
      </c>
      <c r="M202" s="13" t="str">
        <f aca="false">IF(J202=0,"",K202/J202)</f>
        <v/>
      </c>
      <c r="N202" s="13" t="str">
        <f aca="false">IF(J202=0,"",L202+M202)</f>
        <v/>
      </c>
    </row>
    <row r="203" customFormat="false" ht="15" hidden="false" customHeight="false" outlineLevel="0" collapsed="false">
      <c r="A203" s="8" t="s">
        <v>29</v>
      </c>
      <c r="B203" s="48" t="n">
        <v>2011</v>
      </c>
      <c r="C203" s="10" t="n">
        <f aca="false">IF(D203&gt;0,1,0)</f>
        <v>0</v>
      </c>
      <c r="D203" s="9" t="n">
        <f aca="false">IF(SUMIFS(Sales!$D$3:$D$500,Sales!$C$3:$C$500,$A203,Sales!$B$3:$B$500,"&lt;="&amp;DATE($B203-1,12,31))&gt;0,0,SUMIFS('Asset Value'!$F$4:$F$500,'Asset Value'!$C$4:$C$500,$A203,'Asset Value'!$B$4:$B$500,$B203-1)/1000)</f>
        <v>0</v>
      </c>
      <c r="E203" s="9" t="n">
        <f aca="false">IF(SUMIFS(Sales!$D$3:$D$500,Sales!$C$3:$C$500,$A203,Sales!$B$3:$B$500,"&gt;="&amp;DATE($B203,1,1),Sales!$B$3:$B$500,"&lt;="&amp;DATE($B203,12,31))&gt;0,SUMIFS(Sales!$D$3:$D$500,Sales!$C$3:$C$500,$A203,Sales!$B$3:$B$500,"&gt;="&amp;DATE($B203,1,1),Sales!$B$3:$B$500,"&lt;="&amp;DATE($B203,12,31))/1000,SUMIFS('Asset Value'!$F$4:$F$500,'Asset Value'!$C$4:$C$500,$A203,'Asset Value'!$B$4:$B$500,$B203)/1000)</f>
        <v>0</v>
      </c>
      <c r="F203" s="9" t="n">
        <f aca="false">SUMIFS(Rent!$E$3:$E$500,Rent!$D$3:$D$500,$A203,Rent!$C$3:$C$500,$B203)/1000</f>
        <v>0</v>
      </c>
      <c r="G203" s="9" t="n">
        <f aca="false">SUMIFS(Costs!$D$3:$D$500,Costs!$C$3:$C$500,$A203,Costs!$B$3:$B$500,"&gt;="&amp;DATE($B203,1,1),Costs!$B$3:$B$500,"&lt;="&amp;DATE($B203,12,31))/1000</f>
        <v>0</v>
      </c>
      <c r="H203" s="9" t="n">
        <f aca="false">SUMIFS('Partial Sales'!$D$3:$D$500,'Partial Sales'!$C$3:$C$500,$A203,'Partial Sales'!$B$3:$B$500,"&gt;="&amp;DATE($B203,1,1),'Partial Sales'!$B$3:$B$500,"&lt;="&amp;DATE($B203,12,31))/1000</f>
        <v>0</v>
      </c>
      <c r="I203" s="9" t="n">
        <f aca="false">SUMIFS('Partial Purchases'!$D$3:$D$500,'Partial Purchases'!$C$3:$C$500,$A203,'Partial Purchases'!$B$3:$B$500,"&gt;="&amp;DATE($B203,1,1),'Partial Purchases'!$B$3:$B$500,"&lt;="&amp;DATE($B203,12,31))/1000</f>
        <v>0</v>
      </c>
      <c r="J203" s="9" t="n">
        <f aca="false">C203*(D203+0.5*(G203-H203+I203-F203))</f>
        <v>0</v>
      </c>
      <c r="K203" s="9" t="n">
        <f aca="false">C203*(E203-D203+H203-G203-I203)</f>
        <v>0</v>
      </c>
      <c r="L203" s="13" t="str">
        <f aca="false">IF(J203=0,"",C203*F203/J203)</f>
        <v/>
      </c>
      <c r="M203" s="13" t="str">
        <f aca="false">IF(J203=0,"",K203/J203)</f>
        <v/>
      </c>
      <c r="N203" s="13" t="str">
        <f aca="false">IF(J203=0,"",L203+M203)</f>
        <v/>
      </c>
    </row>
    <row r="204" customFormat="false" ht="15" hidden="false" customHeight="false" outlineLevel="0" collapsed="false">
      <c r="A204" s="8" t="s">
        <v>29</v>
      </c>
      <c r="B204" s="48" t="n">
        <v>2012</v>
      </c>
      <c r="C204" s="10" t="n">
        <f aca="false">IF(D204&gt;0,1,0)</f>
        <v>0</v>
      </c>
      <c r="D204" s="9" t="n">
        <f aca="false">IF(SUMIFS(Sales!$D$3:$D$500,Sales!$C$3:$C$500,$A204,Sales!$B$3:$B$500,"&lt;="&amp;DATE($B204-1,12,31))&gt;0,0,SUMIFS('Asset Value'!$F$4:$F$500,'Asset Value'!$C$4:$C$500,$A204,'Asset Value'!$B$4:$B$500,$B204-1)/1000)</f>
        <v>0</v>
      </c>
      <c r="E204" s="9" t="n">
        <f aca="false">IF(SUMIFS(Sales!$D$3:$D$500,Sales!$C$3:$C$500,$A204,Sales!$B$3:$B$500,"&gt;="&amp;DATE($B204,1,1),Sales!$B$3:$B$500,"&lt;="&amp;DATE($B204,12,31))&gt;0,SUMIFS(Sales!$D$3:$D$500,Sales!$C$3:$C$500,$A204,Sales!$B$3:$B$500,"&gt;="&amp;DATE($B204,1,1),Sales!$B$3:$B$500,"&lt;="&amp;DATE($B204,12,31))/1000,SUMIFS('Asset Value'!$F$4:$F$500,'Asset Value'!$C$4:$C$500,$A204,'Asset Value'!$B$4:$B$500,$B204)/1000)</f>
        <v>84185</v>
      </c>
      <c r="F204" s="9" t="n">
        <f aca="false">SUMIFS(Rent!$E$3:$E$500,Rent!$D$3:$D$500,$A204,Rent!$C$3:$C$500,$B204)/1000</f>
        <v>5276</v>
      </c>
      <c r="G204" s="9" t="n">
        <f aca="false">SUMIFS(Costs!$D$3:$D$500,Costs!$C$3:$C$500,$A204,Costs!$B$3:$B$500,"&gt;="&amp;DATE($B204,1,1),Costs!$B$3:$B$500,"&lt;="&amp;DATE($B204,12,31))/1000</f>
        <v>0</v>
      </c>
      <c r="H204" s="9" t="n">
        <f aca="false">SUMIFS('Partial Sales'!$D$3:$D$500,'Partial Sales'!$C$3:$C$500,$A204,'Partial Sales'!$B$3:$B$500,"&gt;="&amp;DATE($B204,1,1),'Partial Sales'!$B$3:$B$500,"&lt;="&amp;DATE($B204,12,31))/1000</f>
        <v>0</v>
      </c>
      <c r="I204" s="9" t="n">
        <f aca="false">SUMIFS('Partial Purchases'!$D$3:$D$500,'Partial Purchases'!$C$3:$C$500,$A204,'Partial Purchases'!$B$3:$B$500,"&gt;="&amp;DATE($B204,1,1),'Partial Purchases'!$B$3:$B$500,"&lt;="&amp;DATE($B204,12,31))/1000</f>
        <v>0</v>
      </c>
      <c r="J204" s="9" t="n">
        <f aca="false">C204*(D204+0.5*(G204-H204+I204-F204))</f>
        <v>-0</v>
      </c>
      <c r="K204" s="9" t="n">
        <f aca="false">C204*(E204-D204+H204-G204-I204)</f>
        <v>0</v>
      </c>
      <c r="L204" s="13" t="str">
        <f aca="false">IF(J204=0,"",C204*F204/J204)</f>
        <v/>
      </c>
      <c r="M204" s="13" t="str">
        <f aca="false">IF(J204=0,"",K204/J204)</f>
        <v/>
      </c>
      <c r="N204" s="13" t="str">
        <f aca="false">IF(J204=0,"",L204+M204)</f>
        <v/>
      </c>
    </row>
    <row r="205" customFormat="false" ht="15" hidden="false" customHeight="false" outlineLevel="0" collapsed="false">
      <c r="A205" s="8" t="s">
        <v>29</v>
      </c>
      <c r="B205" s="48" t="n">
        <v>2013</v>
      </c>
      <c r="C205" s="10" t="n">
        <f aca="false">IF(D205&gt;0,1,0)</f>
        <v>1</v>
      </c>
      <c r="D205" s="9" t="n">
        <f aca="false">IF(SUMIFS(Sales!$D$3:$D$500,Sales!$C$3:$C$500,$A205,Sales!$B$3:$B$500,"&lt;="&amp;DATE($B205-1,12,31))&gt;0,0,SUMIFS('Asset Value'!$F$4:$F$500,'Asset Value'!$C$4:$C$500,$A205,'Asset Value'!$B$4:$B$500,$B205-1)/1000)</f>
        <v>84185</v>
      </c>
      <c r="E205" s="9" t="n">
        <f aca="false">IF(SUMIFS(Sales!$D$3:$D$500,Sales!$C$3:$C$500,$A205,Sales!$B$3:$B$500,"&gt;="&amp;DATE($B205,1,1),Sales!$B$3:$B$500,"&lt;="&amp;DATE($B205,12,31))&gt;0,SUMIFS(Sales!$D$3:$D$500,Sales!$C$3:$C$500,$A205,Sales!$B$3:$B$500,"&gt;="&amp;DATE($B205,1,1),Sales!$B$3:$B$500,"&lt;="&amp;DATE($B205,12,31))/1000,SUMIFS('Asset Value'!$F$4:$F$500,'Asset Value'!$C$4:$C$500,$A205,'Asset Value'!$B$4:$B$500,$B205)/1000)</f>
        <v>165731</v>
      </c>
      <c r="F205" s="9" t="n">
        <f aca="false">SUMIFS(Rent!$E$3:$E$500,Rent!$D$3:$D$500,$A205,Rent!$C$3:$C$500,$B205)/1000</f>
        <v>4830</v>
      </c>
      <c r="G205" s="9" t="n">
        <f aca="false">SUMIFS(Costs!$D$3:$D$500,Costs!$C$3:$C$500,$A205,Costs!$B$3:$B$500,"&gt;="&amp;DATE($B205,1,1),Costs!$B$3:$B$500,"&lt;="&amp;DATE($B205,12,31))/1000</f>
        <v>0</v>
      </c>
      <c r="H205" s="9" t="n">
        <f aca="false">SUMIFS('Partial Sales'!$D$3:$D$500,'Partial Sales'!$C$3:$C$500,$A205,'Partial Sales'!$B$3:$B$500,"&gt;="&amp;DATE($B205,1,1),'Partial Sales'!$B$3:$B$500,"&lt;="&amp;DATE($B205,12,31))/1000</f>
        <v>0</v>
      </c>
      <c r="I205" s="9" t="n">
        <f aca="false">SUMIFS('Partial Purchases'!$D$3:$D$500,'Partial Purchases'!$C$3:$C$500,$A205,'Partial Purchases'!$B$3:$B$500,"&gt;="&amp;DATE($B205,1,1),'Partial Purchases'!$B$3:$B$500,"&lt;="&amp;DATE($B205,12,31))/1000</f>
        <v>0</v>
      </c>
      <c r="J205" s="9" t="n">
        <f aca="false">C205*(D205+0.5*(G205-H205+I205-F205))</f>
        <v>81770</v>
      </c>
      <c r="K205" s="9" t="n">
        <f aca="false">C205*(E205-D205+H205-G205-I205)</f>
        <v>81546</v>
      </c>
      <c r="L205" s="13" t="n">
        <f aca="false">IF(J205=0,"",C205*F205/J205)</f>
        <v>0.0590681178916473</v>
      </c>
      <c r="M205" s="13" t="n">
        <f aca="false">IF(J205=0,"",K205/J205)</f>
        <v>0.997260609025315</v>
      </c>
      <c r="N205" s="13" t="n">
        <f aca="false">IF(J205=0,"",L205+M205)</f>
        <v>1.05632872691696</v>
      </c>
    </row>
    <row r="206" customFormat="false" ht="15" hidden="false" customHeight="false" outlineLevel="0" collapsed="false">
      <c r="A206" s="8" t="s">
        <v>29</v>
      </c>
      <c r="B206" s="48" t="n">
        <v>2014</v>
      </c>
      <c r="C206" s="10" t="n">
        <f aca="false">IF(D206&gt;0,1,0)</f>
        <v>1</v>
      </c>
      <c r="D206" s="9" t="n">
        <f aca="false">IF(SUMIFS(Sales!$D$3:$D$500,Sales!$C$3:$C$500,$A206,Sales!$B$3:$B$500,"&lt;="&amp;DATE($B206-1,12,31))&gt;0,0,SUMIFS('Asset Value'!$F$4:$F$500,'Asset Value'!$C$4:$C$500,$A206,'Asset Value'!$B$4:$B$500,$B206-1)/1000)</f>
        <v>165731</v>
      </c>
      <c r="E206" s="9" t="n">
        <f aca="false">IF(SUMIFS(Sales!$D$3:$D$500,Sales!$C$3:$C$500,$A206,Sales!$B$3:$B$500,"&gt;="&amp;DATE($B206,1,1),Sales!$B$3:$B$500,"&lt;="&amp;DATE($B206,12,31))&gt;0,SUMIFS(Sales!$D$3:$D$500,Sales!$C$3:$C$500,$A206,Sales!$B$3:$B$500,"&gt;="&amp;DATE($B206,1,1),Sales!$B$3:$B$500,"&lt;="&amp;DATE($B206,12,31))/1000,SUMIFS('Asset Value'!$F$4:$F$500,'Asset Value'!$C$4:$C$500,$A206,'Asset Value'!$B$4:$B$500,$B206)/1000)</f>
        <v>170931</v>
      </c>
      <c r="F206" s="9" t="n">
        <f aca="false">SUMIFS(Rent!$E$3:$E$500,Rent!$D$3:$D$500,$A206,Rent!$C$3:$C$500,$B206)/1000</f>
        <v>5172</v>
      </c>
      <c r="G206" s="9" t="n">
        <f aca="false">SUMIFS(Costs!$D$3:$D$500,Costs!$C$3:$C$500,$A206,Costs!$B$3:$B$500,"&gt;="&amp;DATE($B206,1,1),Costs!$B$3:$B$500,"&lt;="&amp;DATE($B206,12,31))/1000</f>
        <v>0</v>
      </c>
      <c r="H206" s="9" t="n">
        <f aca="false">SUMIFS('Partial Sales'!$D$3:$D$500,'Partial Sales'!$C$3:$C$500,$A206,'Partial Sales'!$B$3:$B$500,"&gt;="&amp;DATE($B206,1,1),'Partial Sales'!$B$3:$B$500,"&lt;="&amp;DATE($B206,12,31))/1000</f>
        <v>0</v>
      </c>
      <c r="I206" s="9" t="n">
        <f aca="false">SUMIFS('Partial Purchases'!$D$3:$D$500,'Partial Purchases'!$C$3:$C$500,$A206,'Partial Purchases'!$B$3:$B$500,"&gt;="&amp;DATE($B206,1,1),'Partial Purchases'!$B$3:$B$500,"&lt;="&amp;DATE($B206,12,31))/1000</f>
        <v>0</v>
      </c>
      <c r="J206" s="9" t="n">
        <f aca="false">C206*(D206+0.5*(G206-H206+I206-F206))</f>
        <v>163145</v>
      </c>
      <c r="K206" s="9" t="n">
        <f aca="false">C206*(E206-D206+H206-G206-I206)</f>
        <v>5200</v>
      </c>
      <c r="L206" s="13" t="n">
        <f aca="false">IF(J206=0,"",C206*F206/J206)</f>
        <v>0.0317018603083147</v>
      </c>
      <c r="M206" s="13" t="n">
        <f aca="false">IF(J206=0,"",K206/J206)</f>
        <v>0.0318734867755678</v>
      </c>
      <c r="N206" s="13" t="n">
        <f aca="false">IF(J206=0,"",L206+M206)</f>
        <v>0.0635753470838824</v>
      </c>
    </row>
    <row r="207" customFormat="false" ht="15" hidden="false" customHeight="false" outlineLevel="0" collapsed="false">
      <c r="A207" s="49" t="s">
        <v>29</v>
      </c>
      <c r="B207" s="50" t="n">
        <v>2015</v>
      </c>
      <c r="C207" s="51" t="n">
        <f aca="false">IF(D207&gt;0,1,0)</f>
        <v>1</v>
      </c>
      <c r="D207" s="52" t="n">
        <f aca="false">IF(SUMIFS(Sales!$D$3:$D$500,Sales!$C$3:$C$500,$A207,Sales!$B$3:$B$500,"&lt;="&amp;DATE($B207-1,12,31))&gt;0,0,SUMIFS('Asset Value'!$F$4:$F$500,'Asset Value'!$C$4:$C$500,$A207,'Asset Value'!$B$4:$B$500,$B207-1)/1000)</f>
        <v>170931</v>
      </c>
      <c r="E207" s="52" t="n">
        <f aca="false">IF(SUMIFS(Sales!$D$3:$D$500,Sales!$C$3:$C$500,$A207,Sales!$B$3:$B$500,"&gt;="&amp;DATE($B207,1,1),Sales!$B$3:$B$500,"&lt;="&amp;DATE($B207,12,31))&gt;0,SUMIFS(Sales!$D$3:$D$500,Sales!$C$3:$C$500,$A207,Sales!$B$3:$B$500,"&gt;="&amp;DATE($B207,1,1),Sales!$B$3:$B$500,"&lt;="&amp;DATE($B207,12,31))/1000,SUMIFS('Asset Value'!$F$4:$F$500,'Asset Value'!$C$4:$C$500,$A207,'Asset Value'!$B$4:$B$500,$B207)/1000)</f>
        <v>175030</v>
      </c>
      <c r="F207" s="52" t="n">
        <f aca="false">SUMIFS(Rent!$E$3:$E$500,Rent!$D$3:$D$500,$A207,Rent!$C$3:$C$500,$B207)/1000</f>
        <v>5990</v>
      </c>
      <c r="G207" s="52" t="n">
        <f aca="false">SUMIFS(Costs!$D$3:$D$500,Costs!$C$3:$C$500,$A207,Costs!$B$3:$B$500,"&gt;="&amp;DATE($B207,1,1),Costs!$B$3:$B$500,"&lt;="&amp;DATE($B207,12,31))/1000</f>
        <v>0</v>
      </c>
      <c r="H207" s="52" t="n">
        <f aca="false">SUMIFS('Partial Sales'!$D$3:$D$500,'Partial Sales'!$C$3:$C$500,$A207,'Partial Sales'!$B$3:$B$500,"&gt;="&amp;DATE($B207,1,1),'Partial Sales'!$B$3:$B$500,"&lt;="&amp;DATE($B207,12,31))/1000</f>
        <v>0</v>
      </c>
      <c r="I207" s="52" t="n">
        <f aca="false">SUMIFS('Partial Purchases'!$D$3:$D$500,'Partial Purchases'!$C$3:$C$500,$A207,'Partial Purchases'!$B$3:$B$500,"&gt;="&amp;DATE($B207,1,1),'Partial Purchases'!$B$3:$B$500,"&lt;="&amp;DATE($B207,12,31))/1000</f>
        <v>0</v>
      </c>
      <c r="J207" s="52" t="n">
        <f aca="false">C207*(D207+0.5*(G207-H207+I207-F207))</f>
        <v>167936</v>
      </c>
      <c r="K207" s="52" t="n">
        <f aca="false">C207*(E207-D207+H207-G207-I207)</f>
        <v>4099</v>
      </c>
      <c r="L207" s="46" t="n">
        <f aca="false">IF(J207=0,"",C207*F207/J207)</f>
        <v>0.035668349847561</v>
      </c>
      <c r="M207" s="46" t="n">
        <f aca="false">IF(J207=0,"",K207/J207)</f>
        <v>0.0244081078506098</v>
      </c>
      <c r="N207" s="46" t="n">
        <f aca="false">IF(J207=0,"",L207+M207)</f>
        <v>0.0600764576981707</v>
      </c>
    </row>
    <row r="208" customFormat="false" ht="15" hidden="false" customHeight="false" outlineLevel="0" collapsed="false">
      <c r="A208" s="8" t="s">
        <v>30</v>
      </c>
      <c r="B208" s="48" t="n">
        <v>2008</v>
      </c>
      <c r="C208" s="10" t="n">
        <f aca="false">IF(D208&gt;0,1,0)</f>
        <v>0</v>
      </c>
      <c r="D208" s="9" t="n">
        <f aca="false">IF(SUMIFS(Sales!$D$3:$D$500,Sales!$C$3:$C$500,$A208,Sales!$B$3:$B$500,"&lt;="&amp;DATE($B208-1,12,31))&gt;0,0,SUMIFS('Asset Value'!$F$4:$F$500,'Asset Value'!$C$4:$C$500,$A208,'Asset Value'!$B$4:$B$500,$B208-1)/1000)</f>
        <v>0</v>
      </c>
      <c r="E208" s="9" t="n">
        <f aca="false">IF(SUMIFS(Sales!$D$3:$D$500,Sales!$C$3:$C$500,$A208,Sales!$B$3:$B$500,"&gt;="&amp;DATE($B208,1,1),Sales!$B$3:$B$500,"&lt;="&amp;DATE($B208,12,31))&gt;0,SUMIFS(Sales!$D$3:$D$500,Sales!$C$3:$C$500,$A208,Sales!$B$3:$B$500,"&gt;="&amp;DATE($B208,1,1),Sales!$B$3:$B$500,"&lt;="&amp;DATE($B208,12,31))/1000,SUMIFS('Asset Value'!$F$4:$F$500,'Asset Value'!$C$4:$C$500,$A208,'Asset Value'!$B$4:$B$500,$B208)/1000)</f>
        <v>108480</v>
      </c>
      <c r="F208" s="9" t="n">
        <f aca="false">SUMIFS(Rent!$E$3:$E$500,Rent!$D$3:$D$500,$A208,Rent!$C$3:$C$500,$B208)/1000</f>
        <v>0</v>
      </c>
      <c r="G208" s="9" t="n">
        <f aca="false">SUMIFS(Costs!$D$3:$D$500,Costs!$C$3:$C$500,$A208,Costs!$B$3:$B$500,"&gt;="&amp;DATE($B208,1,1),Costs!$B$3:$B$500,"&lt;="&amp;DATE($B208,12,31))/1000</f>
        <v>0</v>
      </c>
      <c r="H208" s="9" t="n">
        <f aca="false">SUMIFS('Partial Sales'!$D$3:$D$500,'Partial Sales'!$C$3:$C$500,$A208,'Partial Sales'!$B$3:$B$500,"&gt;="&amp;DATE($B208,1,1),'Partial Sales'!$B$3:$B$500,"&lt;="&amp;DATE($B208,12,31))/1000</f>
        <v>0</v>
      </c>
      <c r="I208" s="9" t="n">
        <f aca="false">SUMIFS('Partial Purchases'!$D$3:$D$500,'Partial Purchases'!$C$3:$C$500,$A208,'Partial Purchases'!$B$3:$B$500,"&gt;="&amp;DATE($B208,1,1),'Partial Purchases'!$B$3:$B$500,"&lt;="&amp;DATE($B208,12,31))/1000</f>
        <v>0</v>
      </c>
      <c r="J208" s="9" t="n">
        <f aca="false">C208*(D208+0.5*(G208-H208+I208-F208))</f>
        <v>0</v>
      </c>
      <c r="K208" s="9" t="n">
        <f aca="false">C208*(E208-D208+H208-G208-I208)</f>
        <v>0</v>
      </c>
      <c r="L208" s="13" t="str">
        <f aca="false">IF(J208=0,"",C208*F208/J208)</f>
        <v/>
      </c>
      <c r="M208" s="13" t="str">
        <f aca="false">IF(J208=0,"",K208/J208)</f>
        <v/>
      </c>
      <c r="N208" s="13" t="str">
        <f aca="false">IF(J208=0,"",L208+M208)</f>
        <v/>
      </c>
    </row>
    <row r="209" customFormat="false" ht="15" hidden="false" customHeight="false" outlineLevel="0" collapsed="false">
      <c r="A209" s="8" t="s">
        <v>30</v>
      </c>
      <c r="B209" s="48" t="n">
        <v>2009</v>
      </c>
      <c r="C209" s="10" t="n">
        <f aca="false">IF(D209&gt;0,1,0)</f>
        <v>1</v>
      </c>
      <c r="D209" s="9" t="n">
        <f aca="false">IF(SUMIFS(Sales!$D$3:$D$500,Sales!$C$3:$C$500,$A209,Sales!$B$3:$B$500,"&lt;="&amp;DATE($B209-1,12,31))&gt;0,0,SUMIFS('Asset Value'!$F$4:$F$500,'Asset Value'!$C$4:$C$500,$A209,'Asset Value'!$B$4:$B$500,$B209-1)/1000)</f>
        <v>108480</v>
      </c>
      <c r="E209" s="9" t="n">
        <f aca="false">IF(SUMIFS(Sales!$D$3:$D$500,Sales!$C$3:$C$500,$A209,Sales!$B$3:$B$500,"&gt;="&amp;DATE($B209,1,1),Sales!$B$3:$B$500,"&lt;="&amp;DATE($B209,12,31))&gt;0,SUMIFS(Sales!$D$3:$D$500,Sales!$C$3:$C$500,$A209,Sales!$B$3:$B$500,"&gt;="&amp;DATE($B209,1,1),Sales!$B$3:$B$500,"&lt;="&amp;DATE($B209,12,31))/1000,SUMIFS('Asset Value'!$F$4:$F$500,'Asset Value'!$C$4:$C$500,$A209,'Asset Value'!$B$4:$B$500,$B209)/1000)</f>
        <v>232990</v>
      </c>
      <c r="F209" s="9" t="n">
        <f aca="false">SUMIFS(Rent!$E$3:$E$500,Rent!$D$3:$D$500,$A209,Rent!$C$3:$C$500,$B209)/1000</f>
        <v>0</v>
      </c>
      <c r="G209" s="9" t="n">
        <f aca="false">SUMIFS(Costs!$D$3:$D$500,Costs!$C$3:$C$500,$A209,Costs!$B$3:$B$500,"&gt;="&amp;DATE($B209,1,1),Costs!$B$3:$B$500,"&lt;="&amp;DATE($B209,12,31))/1000</f>
        <v>0</v>
      </c>
      <c r="H209" s="9" t="n">
        <f aca="false">SUMIFS('Partial Sales'!$D$3:$D$500,'Partial Sales'!$C$3:$C$500,$A209,'Partial Sales'!$B$3:$B$500,"&gt;="&amp;DATE($B209,1,1),'Partial Sales'!$B$3:$B$500,"&lt;="&amp;DATE($B209,12,31))/1000</f>
        <v>0</v>
      </c>
      <c r="I209" s="9" t="n">
        <f aca="false">SUMIFS('Partial Purchases'!$D$3:$D$500,'Partial Purchases'!$C$3:$C$500,$A209,'Partial Purchases'!$B$3:$B$500,"&gt;="&amp;DATE($B209,1,1),'Partial Purchases'!$B$3:$B$500,"&lt;="&amp;DATE($B209,12,31))/1000</f>
        <v>0</v>
      </c>
      <c r="J209" s="9" t="n">
        <f aca="false">C209*(D209+0.5*(G209-H209+I209-F209))</f>
        <v>108480</v>
      </c>
      <c r="K209" s="9" t="n">
        <f aca="false">C209*(E209-D209+H209-G209-I209)</f>
        <v>124510</v>
      </c>
      <c r="L209" s="13" t="n">
        <f aca="false">IF(J209=0,"",C209*F209/J209)</f>
        <v>0</v>
      </c>
      <c r="M209" s="13" t="n">
        <f aca="false">IF(J209=0,"",K209/J209)</f>
        <v>1.1477691740413</v>
      </c>
      <c r="N209" s="13" t="n">
        <f aca="false">IF(J209=0,"",L209+M209)</f>
        <v>1.1477691740413</v>
      </c>
    </row>
    <row r="210" customFormat="false" ht="15" hidden="false" customHeight="false" outlineLevel="0" collapsed="false">
      <c r="A210" s="8" t="s">
        <v>30</v>
      </c>
      <c r="B210" s="48" t="n">
        <v>2010</v>
      </c>
      <c r="C210" s="10" t="n">
        <f aca="false">IF(D210&gt;0,1,0)</f>
        <v>1</v>
      </c>
      <c r="D210" s="9" t="n">
        <f aca="false">IF(SUMIFS(Sales!$D$3:$D$500,Sales!$C$3:$C$500,$A210,Sales!$B$3:$B$500,"&lt;="&amp;DATE($B210-1,12,31))&gt;0,0,SUMIFS('Asset Value'!$F$4:$F$500,'Asset Value'!$C$4:$C$500,$A210,'Asset Value'!$B$4:$B$500,$B210-1)/1000)</f>
        <v>232990</v>
      </c>
      <c r="E210" s="9" t="n">
        <f aca="false">IF(SUMIFS(Sales!$D$3:$D$500,Sales!$C$3:$C$500,$A210,Sales!$B$3:$B$500,"&gt;="&amp;DATE($B210,1,1),Sales!$B$3:$B$500,"&lt;="&amp;DATE($B210,12,31))&gt;0,SUMIFS(Sales!$D$3:$D$500,Sales!$C$3:$C$500,$A210,Sales!$B$3:$B$500,"&gt;="&amp;DATE($B210,1,1),Sales!$B$3:$B$500,"&lt;="&amp;DATE($B210,12,31))/1000,SUMIFS('Asset Value'!$F$4:$F$500,'Asset Value'!$C$4:$C$500,$A210,'Asset Value'!$B$4:$B$500,$B210)/1000)</f>
        <v>200050</v>
      </c>
      <c r="F210" s="9" t="n">
        <f aca="false">SUMIFS(Rent!$E$3:$E$500,Rent!$D$3:$D$500,$A210,Rent!$C$3:$C$500,$B210)/1000</f>
        <v>0</v>
      </c>
      <c r="G210" s="9" t="n">
        <f aca="false">SUMIFS(Costs!$D$3:$D$500,Costs!$C$3:$C$500,$A210,Costs!$B$3:$B$500,"&gt;="&amp;DATE($B210,1,1),Costs!$B$3:$B$500,"&lt;="&amp;DATE($B210,12,31))/1000</f>
        <v>0</v>
      </c>
      <c r="H210" s="9" t="n">
        <f aca="false">SUMIFS('Partial Sales'!$D$3:$D$500,'Partial Sales'!$C$3:$C$500,$A210,'Partial Sales'!$B$3:$B$500,"&gt;="&amp;DATE($B210,1,1),'Partial Sales'!$B$3:$B$500,"&lt;="&amp;DATE($B210,12,31))/1000</f>
        <v>0</v>
      </c>
      <c r="I210" s="9" t="n">
        <f aca="false">SUMIFS('Partial Purchases'!$D$3:$D$500,'Partial Purchases'!$C$3:$C$500,$A210,'Partial Purchases'!$B$3:$B$500,"&gt;="&amp;DATE($B210,1,1),'Partial Purchases'!$B$3:$B$500,"&lt;="&amp;DATE($B210,12,31))/1000</f>
        <v>0</v>
      </c>
      <c r="J210" s="9" t="n">
        <f aca="false">C210*(D210+0.5*(G210-H210+I210-F210))</f>
        <v>232990</v>
      </c>
      <c r="K210" s="9" t="n">
        <f aca="false">C210*(E210-D210+H210-G210-I210)</f>
        <v>-32940</v>
      </c>
      <c r="L210" s="13" t="n">
        <f aca="false">IF(J210=0,"",C210*F210/J210)</f>
        <v>0</v>
      </c>
      <c r="M210" s="13" t="n">
        <f aca="false">IF(J210=0,"",K210/J210)</f>
        <v>-0.141379458345852</v>
      </c>
      <c r="N210" s="13" t="n">
        <f aca="false">IF(J210=0,"",L210+M210)</f>
        <v>-0.141379458345852</v>
      </c>
    </row>
    <row r="211" customFormat="false" ht="15" hidden="false" customHeight="false" outlineLevel="0" collapsed="false">
      <c r="A211" s="8" t="s">
        <v>30</v>
      </c>
      <c r="B211" s="48" t="n">
        <v>2011</v>
      </c>
      <c r="C211" s="10" t="n">
        <f aca="false">IF(D211&gt;0,1,0)</f>
        <v>1</v>
      </c>
      <c r="D211" s="9" t="n">
        <f aca="false">IF(SUMIFS(Sales!$D$3:$D$500,Sales!$C$3:$C$500,$A211,Sales!$B$3:$B$500,"&lt;="&amp;DATE($B211-1,12,31))&gt;0,0,SUMIFS('Asset Value'!$F$4:$F$500,'Asset Value'!$C$4:$C$500,$A211,'Asset Value'!$B$4:$B$500,$B211-1)/1000)</f>
        <v>200050</v>
      </c>
      <c r="E211" s="9" t="n">
        <f aca="false">IF(SUMIFS(Sales!$D$3:$D$500,Sales!$C$3:$C$500,$A211,Sales!$B$3:$B$500,"&gt;="&amp;DATE($B211,1,1),Sales!$B$3:$B$500,"&lt;="&amp;DATE($B211,12,31))&gt;0,SUMIFS(Sales!$D$3:$D$500,Sales!$C$3:$C$500,$A211,Sales!$B$3:$B$500,"&gt;="&amp;DATE($B211,1,1),Sales!$B$3:$B$500,"&lt;="&amp;DATE($B211,12,31))/1000,SUMIFS('Asset Value'!$F$4:$F$500,'Asset Value'!$C$4:$C$500,$A211,'Asset Value'!$B$4:$B$500,$B211)/1000)</f>
        <v>219290</v>
      </c>
      <c r="F211" s="9" t="n">
        <f aca="false">SUMIFS(Rent!$E$3:$E$500,Rent!$D$3:$D$500,$A211,Rent!$C$3:$C$500,$B211)/1000</f>
        <v>0</v>
      </c>
      <c r="G211" s="9" t="n">
        <f aca="false">SUMIFS(Costs!$D$3:$D$500,Costs!$C$3:$C$500,$A211,Costs!$B$3:$B$500,"&gt;="&amp;DATE($B211,1,1),Costs!$B$3:$B$500,"&lt;="&amp;DATE($B211,12,31))/1000</f>
        <v>0</v>
      </c>
      <c r="H211" s="9" t="n">
        <f aca="false">SUMIFS('Partial Sales'!$D$3:$D$500,'Partial Sales'!$C$3:$C$500,$A211,'Partial Sales'!$B$3:$B$500,"&gt;="&amp;DATE($B211,1,1),'Partial Sales'!$B$3:$B$500,"&lt;="&amp;DATE($B211,12,31))/1000</f>
        <v>0</v>
      </c>
      <c r="I211" s="9" t="n">
        <f aca="false">SUMIFS('Partial Purchases'!$D$3:$D$500,'Partial Purchases'!$C$3:$C$500,$A211,'Partial Purchases'!$B$3:$B$500,"&gt;="&amp;DATE($B211,1,1),'Partial Purchases'!$B$3:$B$500,"&lt;="&amp;DATE($B211,12,31))/1000</f>
        <v>0</v>
      </c>
      <c r="J211" s="9" t="n">
        <f aca="false">C211*(D211+0.5*(G211-H211+I211-F211))</f>
        <v>200050</v>
      </c>
      <c r="K211" s="9" t="n">
        <f aca="false">C211*(E211-D211+H211-G211-I211)</f>
        <v>19240</v>
      </c>
      <c r="L211" s="13" t="n">
        <f aca="false">IF(J211=0,"",C211*F211/J211)</f>
        <v>0</v>
      </c>
      <c r="M211" s="13" t="n">
        <f aca="false">IF(J211=0,"",K211/J211)</f>
        <v>0.0961759560109973</v>
      </c>
      <c r="N211" s="13" t="n">
        <f aca="false">IF(J211=0,"",L211+M211)</f>
        <v>0.0961759560109973</v>
      </c>
    </row>
    <row r="212" customFormat="false" ht="15" hidden="false" customHeight="false" outlineLevel="0" collapsed="false">
      <c r="A212" s="8" t="s">
        <v>30</v>
      </c>
      <c r="B212" s="48" t="n">
        <v>2012</v>
      </c>
      <c r="C212" s="10" t="n">
        <f aca="false">IF(D212&gt;0,1,0)</f>
        <v>1</v>
      </c>
      <c r="D212" s="9" t="n">
        <f aca="false">IF(SUMIFS(Sales!$D$3:$D$500,Sales!$C$3:$C$500,$A212,Sales!$B$3:$B$500,"&lt;="&amp;DATE($B212-1,12,31))&gt;0,0,SUMIFS('Asset Value'!$F$4:$F$500,'Asset Value'!$C$4:$C$500,$A212,'Asset Value'!$B$4:$B$500,$B212-1)/1000)</f>
        <v>219290</v>
      </c>
      <c r="E212" s="9" t="n">
        <f aca="false">IF(SUMIFS(Sales!$D$3:$D$500,Sales!$C$3:$C$500,$A212,Sales!$B$3:$B$500,"&gt;="&amp;DATE($B212,1,1),Sales!$B$3:$B$500,"&lt;="&amp;DATE($B212,12,31))&gt;0,SUMIFS(Sales!$D$3:$D$500,Sales!$C$3:$C$500,$A212,Sales!$B$3:$B$500,"&gt;="&amp;DATE($B212,1,1),Sales!$B$3:$B$500,"&lt;="&amp;DATE($B212,12,31))/1000,SUMIFS('Asset Value'!$F$4:$F$500,'Asset Value'!$C$4:$C$500,$A212,'Asset Value'!$B$4:$B$500,$B212)/1000)</f>
        <v>255020</v>
      </c>
      <c r="F212" s="9" t="n">
        <f aca="false">SUMIFS(Rent!$E$3:$E$500,Rent!$D$3:$D$500,$A212,Rent!$C$3:$C$500,$B212)/1000</f>
        <v>0</v>
      </c>
      <c r="G212" s="9" t="n">
        <f aca="false">SUMIFS(Costs!$D$3:$D$500,Costs!$C$3:$C$500,$A212,Costs!$B$3:$B$500,"&gt;="&amp;DATE($B212,1,1),Costs!$B$3:$B$500,"&lt;="&amp;DATE($B212,12,31))/1000</f>
        <v>0</v>
      </c>
      <c r="H212" s="9" t="n">
        <f aca="false">SUMIFS('Partial Sales'!$D$3:$D$500,'Partial Sales'!$C$3:$C$500,$A212,'Partial Sales'!$B$3:$B$500,"&gt;="&amp;DATE($B212,1,1),'Partial Sales'!$B$3:$B$500,"&lt;="&amp;DATE($B212,12,31))/1000</f>
        <v>0</v>
      </c>
      <c r="I212" s="9" t="n">
        <f aca="false">SUMIFS('Partial Purchases'!$D$3:$D$500,'Partial Purchases'!$C$3:$C$500,$A212,'Partial Purchases'!$B$3:$B$500,"&gt;="&amp;DATE($B212,1,1),'Partial Purchases'!$B$3:$B$500,"&lt;="&amp;DATE($B212,12,31))/1000</f>
        <v>0</v>
      </c>
      <c r="J212" s="9" t="n">
        <f aca="false">C212*(D212+0.5*(G212-H212+I212-F212))</f>
        <v>219290</v>
      </c>
      <c r="K212" s="9" t="n">
        <f aca="false">C212*(E212-D212+H212-G212-I212)</f>
        <v>35730</v>
      </c>
      <c r="L212" s="13" t="n">
        <f aca="false">IF(J212=0,"",C212*F212/J212)</f>
        <v>0</v>
      </c>
      <c r="M212" s="13" t="n">
        <f aca="false">IF(J212=0,"",K212/J212)</f>
        <v>0.162934926353231</v>
      </c>
      <c r="N212" s="13" t="n">
        <f aca="false">IF(J212=0,"",L212+M212)</f>
        <v>0.162934926353231</v>
      </c>
    </row>
    <row r="213" customFormat="false" ht="15" hidden="false" customHeight="false" outlineLevel="0" collapsed="false">
      <c r="A213" s="8" t="s">
        <v>30</v>
      </c>
      <c r="B213" s="48" t="n">
        <v>2013</v>
      </c>
      <c r="C213" s="10" t="n">
        <f aca="false">IF(D213&gt;0,1,0)</f>
        <v>1</v>
      </c>
      <c r="D213" s="9" t="n">
        <f aca="false">IF(SUMIFS(Sales!$D$3:$D$500,Sales!$C$3:$C$500,$A213,Sales!$B$3:$B$500,"&lt;="&amp;DATE($B213-1,12,31))&gt;0,0,SUMIFS('Asset Value'!$F$4:$F$500,'Asset Value'!$C$4:$C$500,$A213,'Asset Value'!$B$4:$B$500,$B213-1)/1000)</f>
        <v>255020</v>
      </c>
      <c r="E213" s="9" t="n">
        <f aca="false">IF(SUMIFS(Sales!$D$3:$D$500,Sales!$C$3:$C$500,$A213,Sales!$B$3:$B$500,"&gt;="&amp;DATE($B213,1,1),Sales!$B$3:$B$500,"&lt;="&amp;DATE($B213,12,31))&gt;0,SUMIFS(Sales!$D$3:$D$500,Sales!$C$3:$C$500,$A213,Sales!$B$3:$B$500,"&gt;="&amp;DATE($B213,1,1),Sales!$B$3:$B$500,"&lt;="&amp;DATE($B213,12,31))/1000,SUMIFS('Asset Value'!$F$4:$F$500,'Asset Value'!$C$4:$C$500,$A213,'Asset Value'!$B$4:$B$500,$B213)/1000)</f>
        <v>256728</v>
      </c>
      <c r="F213" s="9" t="n">
        <f aca="false">SUMIFS(Rent!$E$3:$E$500,Rent!$D$3:$D$500,$A213,Rent!$C$3:$C$500,$B213)/1000</f>
        <v>0</v>
      </c>
      <c r="G213" s="9" t="n">
        <f aca="false">SUMIFS(Costs!$D$3:$D$500,Costs!$C$3:$C$500,$A213,Costs!$B$3:$B$500,"&gt;="&amp;DATE($B213,1,1),Costs!$B$3:$B$500,"&lt;="&amp;DATE($B213,12,31))/1000</f>
        <v>0</v>
      </c>
      <c r="H213" s="9" t="n">
        <f aca="false">SUMIFS('Partial Sales'!$D$3:$D$500,'Partial Sales'!$C$3:$C$500,$A213,'Partial Sales'!$B$3:$B$500,"&gt;="&amp;DATE($B213,1,1),'Partial Sales'!$B$3:$B$500,"&lt;="&amp;DATE($B213,12,31))/1000</f>
        <v>0</v>
      </c>
      <c r="I213" s="9" t="n">
        <f aca="false">SUMIFS('Partial Purchases'!$D$3:$D$500,'Partial Purchases'!$C$3:$C$500,$A213,'Partial Purchases'!$B$3:$B$500,"&gt;="&amp;DATE($B213,1,1),'Partial Purchases'!$B$3:$B$500,"&lt;="&amp;DATE($B213,12,31))/1000</f>
        <v>0</v>
      </c>
      <c r="J213" s="9" t="n">
        <f aca="false">C213*(D213+0.5*(G213-H213+I213-F213))</f>
        <v>255020</v>
      </c>
      <c r="K213" s="9" t="n">
        <f aca="false">C213*(E213-D213+H213-G213-I213)</f>
        <v>1708</v>
      </c>
      <c r="L213" s="13" t="n">
        <f aca="false">IF(J213=0,"",C213*F213/J213)</f>
        <v>0</v>
      </c>
      <c r="M213" s="13" t="n">
        <f aca="false">IF(J213=0,"",K213/J213)</f>
        <v>0.00669751392047683</v>
      </c>
      <c r="N213" s="13" t="n">
        <f aca="false">IF(J213=0,"",L213+M213)</f>
        <v>0.00669751392047683</v>
      </c>
    </row>
    <row r="214" customFormat="false" ht="15" hidden="false" customHeight="false" outlineLevel="0" collapsed="false">
      <c r="A214" s="8" t="s">
        <v>30</v>
      </c>
      <c r="B214" s="48" t="n">
        <v>2014</v>
      </c>
      <c r="C214" s="10" t="n">
        <f aca="false">IF(D214&gt;0,1,0)</f>
        <v>1</v>
      </c>
      <c r="D214" s="9" t="n">
        <f aca="false">IF(SUMIFS(Sales!$D$3:$D$500,Sales!$C$3:$C$500,$A214,Sales!$B$3:$B$500,"&lt;="&amp;DATE($B214-1,12,31))&gt;0,0,SUMIFS('Asset Value'!$F$4:$F$500,'Asset Value'!$C$4:$C$500,$A214,'Asset Value'!$B$4:$B$500,$B214-1)/1000)</f>
        <v>256728</v>
      </c>
      <c r="E214" s="9" t="n">
        <f aca="false">IF(SUMIFS(Sales!$D$3:$D$500,Sales!$C$3:$C$500,$A214,Sales!$B$3:$B$500,"&gt;="&amp;DATE($B214,1,1),Sales!$B$3:$B$500,"&lt;="&amp;DATE($B214,12,31))&gt;0,SUMIFS(Sales!$D$3:$D$500,Sales!$C$3:$C$500,$A214,Sales!$B$3:$B$500,"&gt;="&amp;DATE($B214,1,1),Sales!$B$3:$B$500,"&lt;="&amp;DATE($B214,12,31))/1000,SUMIFS('Asset Value'!$F$4:$F$500,'Asset Value'!$C$4:$C$500,$A214,'Asset Value'!$B$4:$B$500,$B214)/1000)</f>
        <v>308243</v>
      </c>
      <c r="F214" s="9" t="n">
        <f aca="false">SUMIFS(Rent!$E$3:$E$500,Rent!$D$3:$D$500,$A214,Rent!$C$3:$C$500,$B214)/1000</f>
        <v>0</v>
      </c>
      <c r="G214" s="9" t="n">
        <f aca="false">SUMIFS(Costs!$D$3:$D$500,Costs!$C$3:$C$500,$A214,Costs!$B$3:$B$500,"&gt;="&amp;DATE($B214,1,1),Costs!$B$3:$B$500,"&lt;="&amp;DATE($B214,12,31))/1000</f>
        <v>0</v>
      </c>
      <c r="H214" s="9" t="n">
        <f aca="false">SUMIFS('Partial Sales'!$D$3:$D$500,'Partial Sales'!$C$3:$C$500,$A214,'Partial Sales'!$B$3:$B$500,"&gt;="&amp;DATE($B214,1,1),'Partial Sales'!$B$3:$B$500,"&lt;="&amp;DATE($B214,12,31))/1000</f>
        <v>0</v>
      </c>
      <c r="I214" s="9" t="n">
        <f aca="false">SUMIFS('Partial Purchases'!$D$3:$D$500,'Partial Purchases'!$C$3:$C$500,$A214,'Partial Purchases'!$B$3:$B$500,"&gt;="&amp;DATE($B214,1,1),'Partial Purchases'!$B$3:$B$500,"&lt;="&amp;DATE($B214,12,31))/1000</f>
        <v>0</v>
      </c>
      <c r="J214" s="9" t="n">
        <f aca="false">C214*(D214+0.5*(G214-H214+I214-F214))</f>
        <v>256728</v>
      </c>
      <c r="K214" s="9" t="n">
        <f aca="false">C214*(E214-D214+H214-G214-I214)</f>
        <v>51515</v>
      </c>
      <c r="L214" s="13" t="n">
        <f aca="false">IF(J214=0,"",C214*F214/J214)</f>
        <v>0</v>
      </c>
      <c r="M214" s="13" t="n">
        <f aca="false">IF(J214=0,"",K214/J214)</f>
        <v>0.200659842323393</v>
      </c>
      <c r="N214" s="13" t="n">
        <f aca="false">IF(J214=0,"",L214+M214)</f>
        <v>0.200659842323393</v>
      </c>
    </row>
    <row r="215" customFormat="false" ht="15" hidden="false" customHeight="false" outlineLevel="0" collapsed="false">
      <c r="A215" s="49" t="s">
        <v>30</v>
      </c>
      <c r="B215" s="50" t="n">
        <v>2015</v>
      </c>
      <c r="C215" s="51" t="n">
        <f aca="false">IF(D215&gt;0,1,0)</f>
        <v>1</v>
      </c>
      <c r="D215" s="52" t="n">
        <f aca="false">IF(SUMIFS(Sales!$D$3:$D$500,Sales!$C$3:$C$500,$A215,Sales!$B$3:$B$500,"&lt;="&amp;DATE($B215-1,12,31))&gt;0,0,SUMIFS('Asset Value'!$F$4:$F$500,'Asset Value'!$C$4:$C$500,$A215,'Asset Value'!$B$4:$B$500,$B215-1)/1000)</f>
        <v>308243</v>
      </c>
      <c r="E215" s="52" t="n">
        <f aca="false">IF(SUMIFS(Sales!$D$3:$D$500,Sales!$C$3:$C$500,$A215,Sales!$B$3:$B$500,"&gt;="&amp;DATE($B215,1,1),Sales!$B$3:$B$500,"&lt;="&amp;DATE($B215,12,31))&gt;0,SUMIFS(Sales!$D$3:$D$500,Sales!$C$3:$C$500,$A215,Sales!$B$3:$B$500,"&gt;="&amp;DATE($B215,1,1),Sales!$B$3:$B$500,"&lt;="&amp;DATE($B215,12,31))/1000,SUMIFS('Asset Value'!$F$4:$F$500,'Asset Value'!$C$4:$C$500,$A215,'Asset Value'!$B$4:$B$500,$B215)/1000)</f>
        <v>315870</v>
      </c>
      <c r="F215" s="52" t="n">
        <f aca="false">SUMIFS(Rent!$E$3:$E$500,Rent!$D$3:$D$500,$A215,Rent!$C$3:$C$500,$B215)/1000</f>
        <v>0</v>
      </c>
      <c r="G215" s="52" t="n">
        <f aca="false">SUMIFS(Costs!$D$3:$D$500,Costs!$C$3:$C$500,$A215,Costs!$B$3:$B$500,"&gt;="&amp;DATE($B215,1,1),Costs!$B$3:$B$500,"&lt;="&amp;DATE($B215,12,31))/1000</f>
        <v>0</v>
      </c>
      <c r="H215" s="52" t="n">
        <f aca="false">SUMIFS('Partial Sales'!$D$3:$D$500,'Partial Sales'!$C$3:$C$500,$A215,'Partial Sales'!$B$3:$B$500,"&gt;="&amp;DATE($B215,1,1),'Partial Sales'!$B$3:$B$500,"&lt;="&amp;DATE($B215,12,31))/1000</f>
        <v>0</v>
      </c>
      <c r="I215" s="52" t="n">
        <f aca="false">SUMIFS('Partial Purchases'!$D$3:$D$500,'Partial Purchases'!$C$3:$C$500,$A215,'Partial Purchases'!$B$3:$B$500,"&gt;="&amp;DATE($B215,1,1),'Partial Purchases'!$B$3:$B$500,"&lt;="&amp;DATE($B215,12,31))/1000</f>
        <v>0</v>
      </c>
      <c r="J215" s="52" t="n">
        <f aca="false">C215*(D215+0.5*(G215-H215+I215-F215))</f>
        <v>308243</v>
      </c>
      <c r="K215" s="52" t="n">
        <f aca="false">C215*(E215-D215+H215-G215-I215)</f>
        <v>7627</v>
      </c>
      <c r="L215" s="46" t="n">
        <f aca="false">IF(J215=0,"",C215*F215/J215)</f>
        <v>0</v>
      </c>
      <c r="M215" s="46" t="n">
        <f aca="false">IF(J215=0,"",K215/J215)</f>
        <v>0.0247434653828311</v>
      </c>
      <c r="N215" s="46" t="n">
        <f aca="false">IF(J215=0,"",L215+M215)</f>
        <v>0.0247434653828311</v>
      </c>
    </row>
    <row r="216" customFormat="false" ht="15" hidden="false" customHeight="false" outlineLevel="0" collapsed="false">
      <c r="A216" s="8" t="s">
        <v>31</v>
      </c>
      <c r="B216" s="48" t="n">
        <v>2008</v>
      </c>
      <c r="C216" s="10" t="n">
        <f aca="false">IF(D216&gt;0,1,0)</f>
        <v>0</v>
      </c>
      <c r="D216" s="9" t="n">
        <f aca="false">IF(SUMIFS(Sales!$D$3:$D$500,Sales!$C$3:$C$500,$A216,Sales!$B$3:$B$500,"&lt;="&amp;DATE($B216-1,12,31))&gt;0,0,SUMIFS('Asset Value'!$F$4:$F$500,'Asset Value'!$C$4:$C$500,$A216,'Asset Value'!$B$4:$B$500,$B216-1)/1000)</f>
        <v>0</v>
      </c>
      <c r="E216" s="9" t="n">
        <f aca="false">IF(SUMIFS(Sales!$D$3:$D$500,Sales!$C$3:$C$500,$A216,Sales!$B$3:$B$500,"&gt;="&amp;DATE($B216,1,1),Sales!$B$3:$B$500,"&lt;="&amp;DATE($B216,12,31))&gt;0,SUMIFS(Sales!$D$3:$D$500,Sales!$C$3:$C$500,$A216,Sales!$B$3:$B$500,"&gt;="&amp;DATE($B216,1,1),Sales!$B$3:$B$500,"&lt;="&amp;DATE($B216,12,31))/1000,SUMIFS('Asset Value'!$F$4:$F$500,'Asset Value'!$C$4:$C$500,$A216,'Asset Value'!$B$4:$B$500,$B216)/1000)</f>
        <v>0</v>
      </c>
      <c r="F216" s="9" t="n">
        <f aca="false">SUMIFS(Rent!$E$3:$E$500,Rent!$D$3:$D$500,$A216,Rent!$C$3:$C$500,$B216)/1000</f>
        <v>0</v>
      </c>
      <c r="G216" s="9" t="n">
        <f aca="false">SUMIFS(Costs!$D$3:$D$500,Costs!$C$3:$C$500,$A216,Costs!$B$3:$B$500,"&gt;="&amp;DATE($B216,1,1),Costs!$B$3:$B$500,"&lt;="&amp;DATE($B216,12,31))/1000</f>
        <v>0</v>
      </c>
      <c r="H216" s="9" t="n">
        <f aca="false">SUMIFS('Partial Sales'!$D$3:$D$500,'Partial Sales'!$C$3:$C$500,$A216,'Partial Sales'!$B$3:$B$500,"&gt;="&amp;DATE($B216,1,1),'Partial Sales'!$B$3:$B$500,"&lt;="&amp;DATE($B216,12,31))/1000</f>
        <v>0</v>
      </c>
      <c r="I216" s="9" t="n">
        <f aca="false">SUMIFS('Partial Purchases'!$D$3:$D$500,'Partial Purchases'!$C$3:$C$500,$A216,'Partial Purchases'!$B$3:$B$500,"&gt;="&amp;DATE($B216,1,1),'Partial Purchases'!$B$3:$B$500,"&lt;="&amp;DATE($B216,12,31))/1000</f>
        <v>0</v>
      </c>
      <c r="J216" s="9" t="n">
        <f aca="false">C216*(D216+0.5*(G216-H216+I216-F216))</f>
        <v>0</v>
      </c>
      <c r="K216" s="9" t="n">
        <f aca="false">C216*(E216-D216+H216-G216-I216)</f>
        <v>0</v>
      </c>
      <c r="L216" s="13" t="str">
        <f aca="false">IF(J216=0,"",C216*F216/J216)</f>
        <v/>
      </c>
      <c r="M216" s="13" t="str">
        <f aca="false">IF(J216=0,"",K216/J216)</f>
        <v/>
      </c>
      <c r="N216" s="13" t="str">
        <f aca="false">IF(J216=0,"",L216+M216)</f>
        <v/>
      </c>
    </row>
    <row r="217" customFormat="false" ht="15" hidden="false" customHeight="false" outlineLevel="0" collapsed="false">
      <c r="A217" s="8" t="s">
        <v>31</v>
      </c>
      <c r="B217" s="48" t="n">
        <v>2009</v>
      </c>
      <c r="C217" s="10" t="n">
        <f aca="false">IF(D217&gt;0,1,0)</f>
        <v>0</v>
      </c>
      <c r="D217" s="9" t="n">
        <f aca="false">IF(SUMIFS(Sales!$D$3:$D$500,Sales!$C$3:$C$500,$A217,Sales!$B$3:$B$500,"&lt;="&amp;DATE($B217-1,12,31))&gt;0,0,SUMIFS('Asset Value'!$F$4:$F$500,'Asset Value'!$C$4:$C$500,$A217,'Asset Value'!$B$4:$B$500,$B217-1)/1000)</f>
        <v>0</v>
      </c>
      <c r="E217" s="9" t="n">
        <f aca="false">IF(SUMIFS(Sales!$D$3:$D$500,Sales!$C$3:$C$500,$A217,Sales!$B$3:$B$500,"&gt;="&amp;DATE($B217,1,1),Sales!$B$3:$B$500,"&lt;="&amp;DATE($B217,12,31))&gt;0,SUMIFS(Sales!$D$3:$D$500,Sales!$C$3:$C$500,$A217,Sales!$B$3:$B$500,"&gt;="&amp;DATE($B217,1,1),Sales!$B$3:$B$500,"&lt;="&amp;DATE($B217,12,31))/1000,SUMIFS('Asset Value'!$F$4:$F$500,'Asset Value'!$C$4:$C$500,$A217,'Asset Value'!$B$4:$B$500,$B217)/1000)</f>
        <v>49990</v>
      </c>
      <c r="F217" s="9" t="n">
        <f aca="false">SUMIFS(Rent!$E$3:$E$500,Rent!$D$3:$D$500,$A217,Rent!$C$3:$C$500,$B217)/1000</f>
        <v>0</v>
      </c>
      <c r="G217" s="9" t="n">
        <f aca="false">SUMIFS(Costs!$D$3:$D$500,Costs!$C$3:$C$500,$A217,Costs!$B$3:$B$500,"&gt;="&amp;DATE($B217,1,1),Costs!$B$3:$B$500,"&lt;="&amp;DATE($B217,12,31))/1000</f>
        <v>0</v>
      </c>
      <c r="H217" s="9" t="n">
        <f aca="false">SUMIFS('Partial Sales'!$D$3:$D$500,'Partial Sales'!$C$3:$C$500,$A217,'Partial Sales'!$B$3:$B$500,"&gt;="&amp;DATE($B217,1,1),'Partial Sales'!$B$3:$B$500,"&lt;="&amp;DATE($B217,12,31))/1000</f>
        <v>0</v>
      </c>
      <c r="I217" s="9" t="n">
        <f aca="false">SUMIFS('Partial Purchases'!$D$3:$D$500,'Partial Purchases'!$C$3:$C$500,$A217,'Partial Purchases'!$B$3:$B$500,"&gt;="&amp;DATE($B217,1,1),'Partial Purchases'!$B$3:$B$500,"&lt;="&amp;DATE($B217,12,31))/1000</f>
        <v>0</v>
      </c>
      <c r="J217" s="9" t="n">
        <f aca="false">C217*(D217+0.5*(G217-H217+I217-F217))</f>
        <v>0</v>
      </c>
      <c r="K217" s="9" t="n">
        <f aca="false">C217*(E217-D217+H217-G217-I217)</f>
        <v>0</v>
      </c>
      <c r="L217" s="13" t="str">
        <f aca="false">IF(J217=0,"",C217*F217/J217)</f>
        <v/>
      </c>
      <c r="M217" s="13" t="str">
        <f aca="false">IF(J217=0,"",K217/J217)</f>
        <v/>
      </c>
      <c r="N217" s="13" t="str">
        <f aca="false">IF(J217=0,"",L217+M217)</f>
        <v/>
      </c>
    </row>
    <row r="218" customFormat="false" ht="15" hidden="false" customHeight="false" outlineLevel="0" collapsed="false">
      <c r="A218" s="8" t="s">
        <v>31</v>
      </c>
      <c r="B218" s="48" t="n">
        <v>2010</v>
      </c>
      <c r="C218" s="10" t="n">
        <f aca="false">IF(D218&gt;0,1,0)</f>
        <v>1</v>
      </c>
      <c r="D218" s="9" t="n">
        <f aca="false">IF(SUMIFS(Sales!$D$3:$D$500,Sales!$C$3:$C$500,$A218,Sales!$B$3:$B$500,"&lt;="&amp;DATE($B218-1,12,31))&gt;0,0,SUMIFS('Asset Value'!$F$4:$F$500,'Asset Value'!$C$4:$C$500,$A218,'Asset Value'!$B$4:$B$500,$B218-1)/1000)</f>
        <v>49990</v>
      </c>
      <c r="E218" s="9" t="n">
        <f aca="false">IF(SUMIFS(Sales!$D$3:$D$500,Sales!$C$3:$C$500,$A218,Sales!$B$3:$B$500,"&gt;="&amp;DATE($B218,1,1),Sales!$B$3:$B$500,"&lt;="&amp;DATE($B218,12,31))&gt;0,SUMIFS(Sales!$D$3:$D$500,Sales!$C$3:$C$500,$A218,Sales!$B$3:$B$500,"&gt;="&amp;DATE($B218,1,1),Sales!$B$3:$B$500,"&lt;="&amp;DATE($B218,12,31))/1000,SUMIFS('Asset Value'!$F$4:$F$500,'Asset Value'!$C$4:$C$500,$A218,'Asset Value'!$B$4:$B$500,$B218)/1000)</f>
        <v>50760</v>
      </c>
      <c r="F218" s="9" t="n">
        <f aca="false">SUMIFS(Rent!$E$3:$E$500,Rent!$D$3:$D$500,$A218,Rent!$C$3:$C$500,$B218)/1000</f>
        <v>0</v>
      </c>
      <c r="G218" s="9" t="n">
        <f aca="false">SUMIFS(Costs!$D$3:$D$500,Costs!$C$3:$C$500,$A218,Costs!$B$3:$B$500,"&gt;="&amp;DATE($B218,1,1),Costs!$B$3:$B$500,"&lt;="&amp;DATE($B218,12,31))/1000</f>
        <v>0</v>
      </c>
      <c r="H218" s="9" t="n">
        <f aca="false">SUMIFS('Partial Sales'!$D$3:$D$500,'Partial Sales'!$C$3:$C$500,$A218,'Partial Sales'!$B$3:$B$500,"&gt;="&amp;DATE($B218,1,1),'Partial Sales'!$B$3:$B$500,"&lt;="&amp;DATE($B218,12,31))/1000</f>
        <v>0</v>
      </c>
      <c r="I218" s="9" t="n">
        <f aca="false">SUMIFS('Partial Purchases'!$D$3:$D$500,'Partial Purchases'!$C$3:$C$500,$A218,'Partial Purchases'!$B$3:$B$500,"&gt;="&amp;DATE($B218,1,1),'Partial Purchases'!$B$3:$B$500,"&lt;="&amp;DATE($B218,12,31))/1000</f>
        <v>0</v>
      </c>
      <c r="J218" s="9" t="n">
        <f aca="false">C218*(D218+0.5*(G218-H218+I218-F218))</f>
        <v>49990</v>
      </c>
      <c r="K218" s="9" t="n">
        <f aca="false">C218*(E218-D218+H218-G218-I218)</f>
        <v>770</v>
      </c>
      <c r="L218" s="13" t="n">
        <f aca="false">IF(J218=0,"",C218*F218/J218)</f>
        <v>0</v>
      </c>
      <c r="M218" s="13" t="n">
        <f aca="false">IF(J218=0,"",K218/J218)</f>
        <v>0.0154030806161232</v>
      </c>
      <c r="N218" s="13" t="n">
        <f aca="false">IF(J218=0,"",L218+M218)</f>
        <v>0.0154030806161232</v>
      </c>
    </row>
    <row r="219" customFormat="false" ht="15" hidden="false" customHeight="false" outlineLevel="0" collapsed="false">
      <c r="A219" s="8" t="s">
        <v>31</v>
      </c>
      <c r="B219" s="48" t="n">
        <v>2011</v>
      </c>
      <c r="C219" s="10" t="n">
        <f aca="false">IF(D219&gt;0,1,0)</f>
        <v>1</v>
      </c>
      <c r="D219" s="9" t="n">
        <f aca="false">IF(SUMIFS(Sales!$D$3:$D$500,Sales!$C$3:$C$500,$A219,Sales!$B$3:$B$500,"&lt;="&amp;DATE($B219-1,12,31))&gt;0,0,SUMIFS('Asset Value'!$F$4:$F$500,'Asset Value'!$C$4:$C$500,$A219,'Asset Value'!$B$4:$B$500,$B219-1)/1000)</f>
        <v>50760</v>
      </c>
      <c r="E219" s="9" t="n">
        <f aca="false">IF(SUMIFS(Sales!$D$3:$D$500,Sales!$C$3:$C$500,$A219,Sales!$B$3:$B$500,"&gt;="&amp;DATE($B219,1,1),Sales!$B$3:$B$500,"&lt;="&amp;DATE($B219,12,31))&gt;0,SUMIFS(Sales!$D$3:$D$500,Sales!$C$3:$C$500,$A219,Sales!$B$3:$B$500,"&gt;="&amp;DATE($B219,1,1),Sales!$B$3:$B$500,"&lt;="&amp;DATE($B219,12,31))/1000,SUMIFS('Asset Value'!$F$4:$F$500,'Asset Value'!$C$4:$C$500,$A219,'Asset Value'!$B$4:$B$500,$B219)/1000)</f>
        <v>60540</v>
      </c>
      <c r="F219" s="9" t="n">
        <f aca="false">SUMIFS(Rent!$E$3:$E$500,Rent!$D$3:$D$500,$A219,Rent!$C$3:$C$500,$B219)/1000</f>
        <v>0</v>
      </c>
      <c r="G219" s="9" t="n">
        <f aca="false">SUMIFS(Costs!$D$3:$D$500,Costs!$C$3:$C$500,$A219,Costs!$B$3:$B$500,"&gt;="&amp;DATE($B219,1,1),Costs!$B$3:$B$500,"&lt;="&amp;DATE($B219,12,31))/1000</f>
        <v>0</v>
      </c>
      <c r="H219" s="9" t="n">
        <f aca="false">SUMIFS('Partial Sales'!$D$3:$D$500,'Partial Sales'!$C$3:$C$500,$A219,'Partial Sales'!$B$3:$B$500,"&gt;="&amp;DATE($B219,1,1),'Partial Sales'!$B$3:$B$500,"&lt;="&amp;DATE($B219,12,31))/1000</f>
        <v>0</v>
      </c>
      <c r="I219" s="9" t="n">
        <f aca="false">SUMIFS('Partial Purchases'!$D$3:$D$500,'Partial Purchases'!$C$3:$C$500,$A219,'Partial Purchases'!$B$3:$B$500,"&gt;="&amp;DATE($B219,1,1),'Partial Purchases'!$B$3:$B$500,"&lt;="&amp;DATE($B219,12,31))/1000</f>
        <v>0</v>
      </c>
      <c r="J219" s="9" t="n">
        <f aca="false">C219*(D219+0.5*(G219-H219+I219-F219))</f>
        <v>50760</v>
      </c>
      <c r="K219" s="9" t="n">
        <f aca="false">C219*(E219-D219+H219-G219-I219)</f>
        <v>9780</v>
      </c>
      <c r="L219" s="13" t="n">
        <f aca="false">IF(J219=0,"",C219*F219/J219)</f>
        <v>0</v>
      </c>
      <c r="M219" s="13" t="n">
        <f aca="false">IF(J219=0,"",K219/J219)</f>
        <v>0.192671394799054</v>
      </c>
      <c r="N219" s="13" t="n">
        <f aca="false">IF(J219=0,"",L219+M219)</f>
        <v>0.192671394799054</v>
      </c>
    </row>
    <row r="220" customFormat="false" ht="15" hidden="false" customHeight="false" outlineLevel="0" collapsed="false">
      <c r="A220" s="8" t="s">
        <v>31</v>
      </c>
      <c r="B220" s="48" t="n">
        <v>2012</v>
      </c>
      <c r="C220" s="10" t="n">
        <f aca="false">IF(D220&gt;0,1,0)</f>
        <v>1</v>
      </c>
      <c r="D220" s="9" t="n">
        <f aca="false">IF(SUMIFS(Sales!$D$3:$D$500,Sales!$C$3:$C$500,$A220,Sales!$B$3:$B$500,"&lt;="&amp;DATE($B220-1,12,31))&gt;0,0,SUMIFS('Asset Value'!$F$4:$F$500,'Asset Value'!$C$4:$C$500,$A220,'Asset Value'!$B$4:$B$500,$B220-1)/1000)</f>
        <v>60540</v>
      </c>
      <c r="E220" s="9" t="n">
        <f aca="false">IF(SUMIFS(Sales!$D$3:$D$500,Sales!$C$3:$C$500,$A220,Sales!$B$3:$B$500,"&gt;="&amp;DATE($B220,1,1),Sales!$B$3:$B$500,"&lt;="&amp;DATE($B220,12,31))&gt;0,SUMIFS(Sales!$D$3:$D$500,Sales!$C$3:$C$500,$A220,Sales!$B$3:$B$500,"&gt;="&amp;DATE($B220,1,1),Sales!$B$3:$B$500,"&lt;="&amp;DATE($B220,12,31))/1000,SUMIFS('Asset Value'!$F$4:$F$500,'Asset Value'!$C$4:$C$500,$A220,'Asset Value'!$B$4:$B$500,$B220)/1000)</f>
        <v>63480</v>
      </c>
      <c r="F220" s="9" t="n">
        <f aca="false">SUMIFS(Rent!$E$3:$E$500,Rent!$D$3:$D$500,$A220,Rent!$C$3:$C$500,$B220)/1000</f>
        <v>0</v>
      </c>
      <c r="G220" s="9" t="n">
        <f aca="false">SUMIFS(Costs!$D$3:$D$500,Costs!$C$3:$C$500,$A220,Costs!$B$3:$B$500,"&gt;="&amp;DATE($B220,1,1),Costs!$B$3:$B$500,"&lt;="&amp;DATE($B220,12,31))/1000</f>
        <v>0</v>
      </c>
      <c r="H220" s="9" t="n">
        <f aca="false">SUMIFS('Partial Sales'!$D$3:$D$500,'Partial Sales'!$C$3:$C$500,$A220,'Partial Sales'!$B$3:$B$500,"&gt;="&amp;DATE($B220,1,1),'Partial Sales'!$B$3:$B$500,"&lt;="&amp;DATE($B220,12,31))/1000</f>
        <v>0</v>
      </c>
      <c r="I220" s="9" t="n">
        <f aca="false">SUMIFS('Partial Purchases'!$D$3:$D$500,'Partial Purchases'!$C$3:$C$500,$A220,'Partial Purchases'!$B$3:$B$500,"&gt;="&amp;DATE($B220,1,1),'Partial Purchases'!$B$3:$B$500,"&lt;="&amp;DATE($B220,12,31))/1000</f>
        <v>0</v>
      </c>
      <c r="J220" s="9" t="n">
        <f aca="false">C220*(D220+0.5*(G220-H220+I220-F220))</f>
        <v>60540</v>
      </c>
      <c r="K220" s="9" t="n">
        <f aca="false">C220*(E220-D220+H220-G220-I220)</f>
        <v>2940</v>
      </c>
      <c r="L220" s="13" t="n">
        <f aca="false">IF(J220=0,"",C220*F220/J220)</f>
        <v>0</v>
      </c>
      <c r="M220" s="13" t="n">
        <f aca="false">IF(J220=0,"",K220/J220)</f>
        <v>0.0485629335976214</v>
      </c>
      <c r="N220" s="13" t="n">
        <f aca="false">IF(J220=0,"",L220+M220)</f>
        <v>0.0485629335976214</v>
      </c>
    </row>
    <row r="221" customFormat="false" ht="15" hidden="false" customHeight="false" outlineLevel="0" collapsed="false">
      <c r="A221" s="8" t="s">
        <v>31</v>
      </c>
      <c r="B221" s="48" t="n">
        <v>2013</v>
      </c>
      <c r="C221" s="10" t="n">
        <f aca="false">IF(D221&gt;0,1,0)</f>
        <v>1</v>
      </c>
      <c r="D221" s="9" t="n">
        <f aca="false">IF(SUMIFS(Sales!$D$3:$D$500,Sales!$C$3:$C$500,$A221,Sales!$B$3:$B$500,"&lt;="&amp;DATE($B221-1,12,31))&gt;0,0,SUMIFS('Asset Value'!$F$4:$F$500,'Asset Value'!$C$4:$C$500,$A221,'Asset Value'!$B$4:$B$500,$B221-1)/1000)</f>
        <v>63480</v>
      </c>
      <c r="E221" s="9" t="n">
        <f aca="false">IF(SUMIFS(Sales!$D$3:$D$500,Sales!$C$3:$C$500,$A221,Sales!$B$3:$B$500,"&gt;="&amp;DATE($B221,1,1),Sales!$B$3:$B$500,"&lt;="&amp;DATE($B221,12,31))&gt;0,SUMIFS(Sales!$D$3:$D$500,Sales!$C$3:$C$500,$A221,Sales!$B$3:$B$500,"&gt;="&amp;DATE($B221,1,1),Sales!$B$3:$B$500,"&lt;="&amp;DATE($B221,12,31))/1000,SUMIFS('Asset Value'!$F$4:$F$500,'Asset Value'!$C$4:$C$500,$A221,'Asset Value'!$B$4:$B$500,$B221)/1000)</f>
        <v>86708</v>
      </c>
      <c r="F221" s="9" t="n">
        <f aca="false">SUMIFS(Rent!$E$3:$E$500,Rent!$D$3:$D$500,$A221,Rent!$C$3:$C$500,$B221)/1000</f>
        <v>2100</v>
      </c>
      <c r="G221" s="9" t="n">
        <f aca="false">SUMIFS(Costs!$D$3:$D$500,Costs!$C$3:$C$500,$A221,Costs!$B$3:$B$500,"&gt;="&amp;DATE($B221,1,1),Costs!$B$3:$B$500,"&lt;="&amp;DATE($B221,12,31))/1000</f>
        <v>0</v>
      </c>
      <c r="H221" s="9" t="n">
        <f aca="false">SUMIFS('Partial Sales'!$D$3:$D$500,'Partial Sales'!$C$3:$C$500,$A221,'Partial Sales'!$B$3:$B$500,"&gt;="&amp;DATE($B221,1,1),'Partial Sales'!$B$3:$B$500,"&lt;="&amp;DATE($B221,12,31))/1000</f>
        <v>0</v>
      </c>
      <c r="I221" s="9" t="n">
        <f aca="false">SUMIFS('Partial Purchases'!$D$3:$D$500,'Partial Purchases'!$C$3:$C$500,$A221,'Partial Purchases'!$B$3:$B$500,"&gt;="&amp;DATE($B221,1,1),'Partial Purchases'!$B$3:$B$500,"&lt;="&amp;DATE($B221,12,31))/1000</f>
        <v>0</v>
      </c>
      <c r="J221" s="9" t="n">
        <f aca="false">C221*(D221+0.5*(G221-H221+I221-F221))</f>
        <v>62430</v>
      </c>
      <c r="K221" s="9" t="n">
        <f aca="false">C221*(E221-D221+H221-G221-I221)</f>
        <v>23228</v>
      </c>
      <c r="L221" s="13" t="n">
        <f aca="false">IF(J221=0,"",C221*F221/J221)</f>
        <v>0.0336376741950985</v>
      </c>
      <c r="M221" s="13" t="n">
        <f aca="false">IF(J221=0,"",K221/J221)</f>
        <v>0.372064712477975</v>
      </c>
      <c r="N221" s="13" t="n">
        <f aca="false">IF(J221=0,"",L221+M221)</f>
        <v>0.405702386673074</v>
      </c>
    </row>
    <row r="222" customFormat="false" ht="15" hidden="false" customHeight="false" outlineLevel="0" collapsed="false">
      <c r="A222" s="8" t="s">
        <v>31</v>
      </c>
      <c r="B222" s="48" t="n">
        <v>2014</v>
      </c>
      <c r="C222" s="10" t="n">
        <f aca="false">IF(D222&gt;0,1,0)</f>
        <v>1</v>
      </c>
      <c r="D222" s="9" t="n">
        <f aca="false">IF(SUMIFS(Sales!$D$3:$D$500,Sales!$C$3:$C$500,$A222,Sales!$B$3:$B$500,"&lt;="&amp;DATE($B222-1,12,31))&gt;0,0,SUMIFS('Asset Value'!$F$4:$F$500,'Asset Value'!$C$4:$C$500,$A222,'Asset Value'!$B$4:$B$500,$B222-1)/1000)</f>
        <v>86708</v>
      </c>
      <c r="E222" s="9" t="n">
        <f aca="false">IF(SUMIFS(Sales!$D$3:$D$500,Sales!$C$3:$C$500,$A222,Sales!$B$3:$B$500,"&gt;="&amp;DATE($B222,1,1),Sales!$B$3:$B$500,"&lt;="&amp;DATE($B222,12,31))&gt;0,SUMIFS(Sales!$D$3:$D$500,Sales!$C$3:$C$500,$A222,Sales!$B$3:$B$500,"&gt;="&amp;DATE($B222,1,1),Sales!$B$3:$B$500,"&lt;="&amp;DATE($B222,12,31))/1000,SUMIFS('Asset Value'!$F$4:$F$500,'Asset Value'!$C$4:$C$500,$A222,'Asset Value'!$B$4:$B$500,$B222)/1000)</f>
        <v>137610</v>
      </c>
      <c r="F222" s="9" t="n">
        <f aca="false">SUMIFS(Rent!$E$3:$E$500,Rent!$D$3:$D$500,$A222,Rent!$C$3:$C$500,$B222)/1000</f>
        <v>0</v>
      </c>
      <c r="G222" s="9" t="n">
        <f aca="false">SUMIFS(Costs!$D$3:$D$500,Costs!$C$3:$C$500,$A222,Costs!$B$3:$B$500,"&gt;="&amp;DATE($B222,1,1),Costs!$B$3:$B$500,"&lt;="&amp;DATE($B222,12,31))/1000</f>
        <v>0</v>
      </c>
      <c r="H222" s="9" t="n">
        <f aca="false">SUMIFS('Partial Sales'!$D$3:$D$500,'Partial Sales'!$C$3:$C$500,$A222,'Partial Sales'!$B$3:$B$500,"&gt;="&amp;DATE($B222,1,1),'Partial Sales'!$B$3:$B$500,"&lt;="&amp;DATE($B222,12,31))/1000</f>
        <v>0</v>
      </c>
      <c r="I222" s="9" t="n">
        <f aca="false">SUMIFS('Partial Purchases'!$D$3:$D$500,'Partial Purchases'!$C$3:$C$500,$A222,'Partial Purchases'!$B$3:$B$500,"&gt;="&amp;DATE($B222,1,1),'Partial Purchases'!$B$3:$B$500,"&lt;="&amp;DATE($B222,12,31))/1000</f>
        <v>0</v>
      </c>
      <c r="J222" s="9" t="n">
        <f aca="false">C222*(D222+0.5*(G222-H222+I222-F222))</f>
        <v>86708</v>
      </c>
      <c r="K222" s="9" t="n">
        <f aca="false">C222*(E222-D222+H222-G222-I222)</f>
        <v>50902</v>
      </c>
      <c r="L222" s="13" t="n">
        <f aca="false">IF(J222=0,"",C222*F222/J222)</f>
        <v>0</v>
      </c>
      <c r="M222" s="13" t="n">
        <f aca="false">IF(J222=0,"",K222/J222)</f>
        <v>0.587050791161139</v>
      </c>
      <c r="N222" s="13" t="n">
        <f aca="false">IF(J222=0,"",L222+M222)</f>
        <v>0.587050791161139</v>
      </c>
    </row>
    <row r="223" customFormat="false" ht="15" hidden="false" customHeight="false" outlineLevel="0" collapsed="false">
      <c r="A223" s="49" t="s">
        <v>31</v>
      </c>
      <c r="B223" s="50" t="n">
        <v>2015</v>
      </c>
      <c r="C223" s="51" t="n">
        <f aca="false">IF(D223&gt;0,1,0)</f>
        <v>1</v>
      </c>
      <c r="D223" s="52" t="n">
        <f aca="false">IF(SUMIFS(Sales!$D$3:$D$500,Sales!$C$3:$C$500,$A223,Sales!$B$3:$B$500,"&lt;="&amp;DATE($B223-1,12,31))&gt;0,0,SUMIFS('Asset Value'!$F$4:$F$500,'Asset Value'!$C$4:$C$500,$A223,'Asset Value'!$B$4:$B$500,$B223-1)/1000)</f>
        <v>137610</v>
      </c>
      <c r="E223" s="52" t="n">
        <f aca="false">IF(SUMIFS(Sales!$D$3:$D$500,Sales!$C$3:$C$500,$A223,Sales!$B$3:$B$500,"&gt;="&amp;DATE($B223,1,1),Sales!$B$3:$B$500,"&lt;="&amp;DATE($B223,12,31))&gt;0,SUMIFS(Sales!$D$3:$D$500,Sales!$C$3:$C$500,$A223,Sales!$B$3:$B$500,"&gt;="&amp;DATE($B223,1,1),Sales!$B$3:$B$500,"&lt;="&amp;DATE($B223,12,31))/1000,SUMIFS('Asset Value'!$F$4:$F$500,'Asset Value'!$C$4:$C$500,$A223,'Asset Value'!$B$4:$B$500,$B223)/1000)</f>
        <v>143710</v>
      </c>
      <c r="F223" s="52" t="n">
        <f aca="false">SUMIFS(Rent!$E$3:$E$500,Rent!$D$3:$D$500,$A223,Rent!$C$3:$C$500,$B223)/1000</f>
        <v>586</v>
      </c>
      <c r="G223" s="52" t="n">
        <f aca="false">SUMIFS(Costs!$D$3:$D$500,Costs!$C$3:$C$500,$A223,Costs!$B$3:$B$500,"&gt;="&amp;DATE($B223,1,1),Costs!$B$3:$B$500,"&lt;="&amp;DATE($B223,12,31))/1000</f>
        <v>0</v>
      </c>
      <c r="H223" s="52" t="n">
        <f aca="false">SUMIFS('Partial Sales'!$D$3:$D$500,'Partial Sales'!$C$3:$C$500,$A223,'Partial Sales'!$B$3:$B$500,"&gt;="&amp;DATE($B223,1,1),'Partial Sales'!$B$3:$B$500,"&lt;="&amp;DATE($B223,12,31))/1000</f>
        <v>0</v>
      </c>
      <c r="I223" s="52" t="n">
        <f aca="false">SUMIFS('Partial Purchases'!$D$3:$D$500,'Partial Purchases'!$C$3:$C$500,$A223,'Partial Purchases'!$B$3:$B$500,"&gt;="&amp;DATE($B223,1,1),'Partial Purchases'!$B$3:$B$500,"&lt;="&amp;DATE($B223,12,31))/1000</f>
        <v>0</v>
      </c>
      <c r="J223" s="52" t="n">
        <f aca="false">C223*(D223+0.5*(G223-H223+I223-F223))</f>
        <v>137317</v>
      </c>
      <c r="K223" s="52" t="n">
        <f aca="false">C223*(E223-D223+H223-G223-I223)</f>
        <v>6100</v>
      </c>
      <c r="L223" s="46" t="n">
        <f aca="false">IF(J223=0,"",C223*F223/J223)</f>
        <v>0.0042674978334802</v>
      </c>
      <c r="M223" s="46" t="n">
        <f aca="false">IF(J223=0,"",K223/J223)</f>
        <v>0.044422759017456</v>
      </c>
      <c r="N223" s="46" t="n">
        <f aca="false">IF(J223=0,"",L223+M223)</f>
        <v>0.0486902568509362</v>
      </c>
    </row>
    <row r="224" customFormat="false" ht="15" hidden="false" customHeight="false" outlineLevel="0" collapsed="false">
      <c r="A224" s="8" t="s">
        <v>32</v>
      </c>
      <c r="B224" s="48" t="n">
        <v>2008</v>
      </c>
      <c r="C224" s="10" t="n">
        <f aca="false">IF(D224&gt;0,1,0)</f>
        <v>0</v>
      </c>
      <c r="D224" s="9" t="n">
        <f aca="false">IF(SUMIFS(Sales!$D$3:$D$500,Sales!$C$3:$C$500,$A224,Sales!$B$3:$B$500,"&lt;="&amp;DATE($B224-1,12,31))&gt;0,0,SUMIFS('Asset Value'!$F$4:$F$500,'Asset Value'!$C$4:$C$500,$A224,'Asset Value'!$B$4:$B$500,$B224-1)/1000)</f>
        <v>0</v>
      </c>
      <c r="E224" s="9" t="n">
        <f aca="false">IF(SUMIFS(Sales!$D$3:$D$500,Sales!$C$3:$C$500,$A224,Sales!$B$3:$B$500,"&gt;="&amp;DATE($B224,1,1),Sales!$B$3:$B$500,"&lt;="&amp;DATE($B224,12,31))&gt;0,SUMIFS(Sales!$D$3:$D$500,Sales!$C$3:$C$500,$A224,Sales!$B$3:$B$500,"&gt;="&amp;DATE($B224,1,1),Sales!$B$3:$B$500,"&lt;="&amp;DATE($B224,12,31))/1000,SUMIFS('Asset Value'!$F$4:$F$500,'Asset Value'!$C$4:$C$500,$A224,'Asset Value'!$B$4:$B$500,$B224)/1000)</f>
        <v>0</v>
      </c>
      <c r="F224" s="9" t="n">
        <f aca="false">SUMIFS(Rent!$E$3:$E$500,Rent!$D$3:$D$500,$A224,Rent!$C$3:$C$500,$B224)/1000</f>
        <v>0</v>
      </c>
      <c r="G224" s="9" t="n">
        <f aca="false">SUMIFS(Costs!$D$3:$D$500,Costs!$C$3:$C$500,$A224,Costs!$B$3:$B$500,"&gt;="&amp;DATE($B224,1,1),Costs!$B$3:$B$500,"&lt;="&amp;DATE($B224,12,31))/1000</f>
        <v>0</v>
      </c>
      <c r="H224" s="9" t="n">
        <f aca="false">SUMIFS('Partial Sales'!$D$3:$D$500,'Partial Sales'!$C$3:$C$500,$A224,'Partial Sales'!$B$3:$B$500,"&gt;="&amp;DATE($B224,1,1),'Partial Sales'!$B$3:$B$500,"&lt;="&amp;DATE($B224,12,31))/1000</f>
        <v>0</v>
      </c>
      <c r="I224" s="9" t="n">
        <f aca="false">SUMIFS('Partial Purchases'!$D$3:$D$500,'Partial Purchases'!$C$3:$C$500,$A224,'Partial Purchases'!$B$3:$B$500,"&gt;="&amp;DATE($B224,1,1),'Partial Purchases'!$B$3:$B$500,"&lt;="&amp;DATE($B224,12,31))/1000</f>
        <v>0</v>
      </c>
      <c r="J224" s="9" t="n">
        <f aca="false">C224*(D224+0.5*(G224-H224+I224-F224))</f>
        <v>0</v>
      </c>
      <c r="K224" s="9" t="n">
        <f aca="false">C224*(E224-D224+H224-G224-I224)</f>
        <v>0</v>
      </c>
      <c r="L224" s="13" t="str">
        <f aca="false">IF(J224=0,"",C224*F224/J224)</f>
        <v/>
      </c>
      <c r="M224" s="13" t="str">
        <f aca="false">IF(J224=0,"",K224/J224)</f>
        <v/>
      </c>
      <c r="N224" s="13" t="str">
        <f aca="false">IF(J224=0,"",L224+M224)</f>
        <v/>
      </c>
    </row>
    <row r="225" customFormat="false" ht="15" hidden="false" customHeight="false" outlineLevel="0" collapsed="false">
      <c r="A225" s="8" t="s">
        <v>32</v>
      </c>
      <c r="B225" s="48" t="n">
        <v>2009</v>
      </c>
      <c r="C225" s="10" t="n">
        <f aca="false">IF(D225&gt;0,1,0)</f>
        <v>0</v>
      </c>
      <c r="D225" s="9" t="n">
        <f aca="false">IF(SUMIFS(Sales!$D$3:$D$500,Sales!$C$3:$C$500,$A225,Sales!$B$3:$B$500,"&lt;="&amp;DATE($B225-1,12,31))&gt;0,0,SUMIFS('Asset Value'!$F$4:$F$500,'Asset Value'!$C$4:$C$500,$A225,'Asset Value'!$B$4:$B$500,$B225-1)/1000)</f>
        <v>0</v>
      </c>
      <c r="E225" s="9" t="n">
        <f aca="false">IF(SUMIFS(Sales!$D$3:$D$500,Sales!$C$3:$C$500,$A225,Sales!$B$3:$B$500,"&gt;="&amp;DATE($B225,1,1),Sales!$B$3:$B$500,"&lt;="&amp;DATE($B225,12,31))&gt;0,SUMIFS(Sales!$D$3:$D$500,Sales!$C$3:$C$500,$A225,Sales!$B$3:$B$500,"&gt;="&amp;DATE($B225,1,1),Sales!$B$3:$B$500,"&lt;="&amp;DATE($B225,12,31))/1000,SUMIFS('Asset Value'!$F$4:$F$500,'Asset Value'!$C$4:$C$500,$A225,'Asset Value'!$B$4:$B$500,$B225)/1000)</f>
        <v>0</v>
      </c>
      <c r="F225" s="9" t="n">
        <f aca="false">SUMIFS(Rent!$E$3:$E$500,Rent!$D$3:$D$500,$A225,Rent!$C$3:$C$500,$B225)/1000</f>
        <v>0</v>
      </c>
      <c r="G225" s="9" t="n">
        <f aca="false">SUMIFS(Costs!$D$3:$D$500,Costs!$C$3:$C$500,$A225,Costs!$B$3:$B$500,"&gt;="&amp;DATE($B225,1,1),Costs!$B$3:$B$500,"&lt;="&amp;DATE($B225,12,31))/1000</f>
        <v>0</v>
      </c>
      <c r="H225" s="9" t="n">
        <f aca="false">SUMIFS('Partial Sales'!$D$3:$D$500,'Partial Sales'!$C$3:$C$500,$A225,'Partial Sales'!$B$3:$B$500,"&gt;="&amp;DATE($B225,1,1),'Partial Sales'!$B$3:$B$500,"&lt;="&amp;DATE($B225,12,31))/1000</f>
        <v>0</v>
      </c>
      <c r="I225" s="9" t="n">
        <f aca="false">SUMIFS('Partial Purchases'!$D$3:$D$500,'Partial Purchases'!$C$3:$C$500,$A225,'Partial Purchases'!$B$3:$B$500,"&gt;="&amp;DATE($B225,1,1),'Partial Purchases'!$B$3:$B$500,"&lt;="&amp;DATE($B225,12,31))/1000</f>
        <v>0</v>
      </c>
      <c r="J225" s="9" t="n">
        <f aca="false">C225*(D225+0.5*(G225-H225+I225-F225))</f>
        <v>0</v>
      </c>
      <c r="K225" s="9" t="n">
        <f aca="false">C225*(E225-D225+H225-G225-I225)</f>
        <v>0</v>
      </c>
      <c r="L225" s="13" t="str">
        <f aca="false">IF(J225=0,"",C225*F225/J225)</f>
        <v/>
      </c>
      <c r="M225" s="13" t="str">
        <f aca="false">IF(J225=0,"",K225/J225)</f>
        <v/>
      </c>
      <c r="N225" s="13" t="str">
        <f aca="false">IF(J225=0,"",L225+M225)</f>
        <v/>
      </c>
    </row>
    <row r="226" customFormat="false" ht="15" hidden="false" customHeight="false" outlineLevel="0" collapsed="false">
      <c r="A226" s="8" t="s">
        <v>32</v>
      </c>
      <c r="B226" s="48" t="n">
        <v>2010</v>
      </c>
      <c r="C226" s="10" t="n">
        <f aca="false">IF(D226&gt;0,1,0)</f>
        <v>0</v>
      </c>
      <c r="D226" s="9" t="n">
        <f aca="false">IF(SUMIFS(Sales!$D$3:$D$500,Sales!$C$3:$C$500,$A226,Sales!$B$3:$B$500,"&lt;="&amp;DATE($B226-1,12,31))&gt;0,0,SUMIFS('Asset Value'!$F$4:$F$500,'Asset Value'!$C$4:$C$500,$A226,'Asset Value'!$B$4:$B$500,$B226-1)/1000)</f>
        <v>0</v>
      </c>
      <c r="E226" s="9" t="n">
        <f aca="false">IF(SUMIFS(Sales!$D$3:$D$500,Sales!$C$3:$C$500,$A226,Sales!$B$3:$B$500,"&gt;="&amp;DATE($B226,1,1),Sales!$B$3:$B$500,"&lt;="&amp;DATE($B226,12,31))&gt;0,SUMIFS(Sales!$D$3:$D$500,Sales!$C$3:$C$500,$A226,Sales!$B$3:$B$500,"&gt;="&amp;DATE($B226,1,1),Sales!$B$3:$B$500,"&lt;="&amp;DATE($B226,12,31))/1000,SUMIFS('Asset Value'!$F$4:$F$500,'Asset Value'!$C$4:$C$500,$A226,'Asset Value'!$B$4:$B$500,$B226)/1000)</f>
        <v>0</v>
      </c>
      <c r="F226" s="9" t="n">
        <f aca="false">SUMIFS(Rent!$E$3:$E$500,Rent!$D$3:$D$500,$A226,Rent!$C$3:$C$500,$B226)/1000</f>
        <v>0</v>
      </c>
      <c r="G226" s="9" t="n">
        <f aca="false">SUMIFS(Costs!$D$3:$D$500,Costs!$C$3:$C$500,$A226,Costs!$B$3:$B$500,"&gt;="&amp;DATE($B226,1,1),Costs!$B$3:$B$500,"&lt;="&amp;DATE($B226,12,31))/1000</f>
        <v>0</v>
      </c>
      <c r="H226" s="9" t="n">
        <f aca="false">SUMIFS('Partial Sales'!$D$3:$D$500,'Partial Sales'!$C$3:$C$500,$A226,'Partial Sales'!$B$3:$B$500,"&gt;="&amp;DATE($B226,1,1),'Partial Sales'!$B$3:$B$500,"&lt;="&amp;DATE($B226,12,31))/1000</f>
        <v>0</v>
      </c>
      <c r="I226" s="9" t="n">
        <f aca="false">SUMIFS('Partial Purchases'!$D$3:$D$500,'Partial Purchases'!$C$3:$C$500,$A226,'Partial Purchases'!$B$3:$B$500,"&gt;="&amp;DATE($B226,1,1),'Partial Purchases'!$B$3:$B$500,"&lt;="&amp;DATE($B226,12,31))/1000</f>
        <v>0</v>
      </c>
      <c r="J226" s="9" t="n">
        <f aca="false">C226*(D226+0.5*(G226-H226+I226-F226))</f>
        <v>0</v>
      </c>
      <c r="K226" s="9" t="n">
        <f aca="false">C226*(E226-D226+H226-G226-I226)</f>
        <v>0</v>
      </c>
      <c r="L226" s="13" t="str">
        <f aca="false">IF(J226=0,"",C226*F226/J226)</f>
        <v/>
      </c>
      <c r="M226" s="13" t="str">
        <f aca="false">IF(J226=0,"",K226/J226)</f>
        <v/>
      </c>
      <c r="N226" s="13" t="str">
        <f aca="false">IF(J226=0,"",L226+M226)</f>
        <v/>
      </c>
    </row>
    <row r="227" customFormat="false" ht="15" hidden="false" customHeight="false" outlineLevel="0" collapsed="false">
      <c r="A227" s="8" t="s">
        <v>32</v>
      </c>
      <c r="B227" s="48" t="n">
        <v>2011</v>
      </c>
      <c r="C227" s="10" t="n">
        <f aca="false">IF(D227&gt;0,1,0)</f>
        <v>0</v>
      </c>
      <c r="D227" s="9" t="n">
        <f aca="false">IF(SUMIFS(Sales!$D$3:$D$500,Sales!$C$3:$C$500,$A227,Sales!$B$3:$B$500,"&lt;="&amp;DATE($B227-1,12,31))&gt;0,0,SUMIFS('Asset Value'!$F$4:$F$500,'Asset Value'!$C$4:$C$500,$A227,'Asset Value'!$B$4:$B$500,$B227-1)/1000)</f>
        <v>0</v>
      </c>
      <c r="E227" s="9" t="n">
        <f aca="false">IF(SUMIFS(Sales!$D$3:$D$500,Sales!$C$3:$C$500,$A227,Sales!$B$3:$B$500,"&gt;="&amp;DATE($B227,1,1),Sales!$B$3:$B$500,"&lt;="&amp;DATE($B227,12,31))&gt;0,SUMIFS(Sales!$D$3:$D$500,Sales!$C$3:$C$500,$A227,Sales!$B$3:$B$500,"&gt;="&amp;DATE($B227,1,1),Sales!$B$3:$B$500,"&lt;="&amp;DATE($B227,12,31))/1000,SUMIFS('Asset Value'!$F$4:$F$500,'Asset Value'!$C$4:$C$500,$A227,'Asset Value'!$B$4:$B$500,$B227)/1000)</f>
        <v>0</v>
      </c>
      <c r="F227" s="9" t="n">
        <f aca="false">SUMIFS(Rent!$E$3:$E$500,Rent!$D$3:$D$500,$A227,Rent!$C$3:$C$500,$B227)/1000</f>
        <v>0</v>
      </c>
      <c r="G227" s="9" t="n">
        <f aca="false">SUMIFS(Costs!$D$3:$D$500,Costs!$C$3:$C$500,$A227,Costs!$B$3:$B$500,"&gt;="&amp;DATE($B227,1,1),Costs!$B$3:$B$500,"&lt;="&amp;DATE($B227,12,31))/1000</f>
        <v>0</v>
      </c>
      <c r="H227" s="9" t="n">
        <f aca="false">SUMIFS('Partial Sales'!$D$3:$D$500,'Partial Sales'!$C$3:$C$500,$A227,'Partial Sales'!$B$3:$B$500,"&gt;="&amp;DATE($B227,1,1),'Partial Sales'!$B$3:$B$500,"&lt;="&amp;DATE($B227,12,31))/1000</f>
        <v>0</v>
      </c>
      <c r="I227" s="9" t="n">
        <f aca="false">SUMIFS('Partial Purchases'!$D$3:$D$500,'Partial Purchases'!$C$3:$C$500,$A227,'Partial Purchases'!$B$3:$B$500,"&gt;="&amp;DATE($B227,1,1),'Partial Purchases'!$B$3:$B$500,"&lt;="&amp;DATE($B227,12,31))/1000</f>
        <v>0</v>
      </c>
      <c r="J227" s="9" t="n">
        <f aca="false">C227*(D227+0.5*(G227-H227+I227-F227))</f>
        <v>0</v>
      </c>
      <c r="K227" s="9" t="n">
        <f aca="false">C227*(E227-D227+H227-G227-I227)</f>
        <v>0</v>
      </c>
      <c r="L227" s="13" t="str">
        <f aca="false">IF(J227=0,"",C227*F227/J227)</f>
        <v/>
      </c>
      <c r="M227" s="13" t="str">
        <f aca="false">IF(J227=0,"",K227/J227)</f>
        <v/>
      </c>
      <c r="N227" s="13" t="str">
        <f aca="false">IF(J227=0,"",L227+M227)</f>
        <v/>
      </c>
    </row>
    <row r="228" customFormat="false" ht="15" hidden="false" customHeight="false" outlineLevel="0" collapsed="false">
      <c r="A228" s="8" t="s">
        <v>32</v>
      </c>
      <c r="B228" s="48" t="n">
        <v>2012</v>
      </c>
      <c r="C228" s="10" t="n">
        <f aca="false">IF(D228&gt;0,1,0)</f>
        <v>0</v>
      </c>
      <c r="D228" s="9" t="n">
        <f aca="false">IF(SUMIFS(Sales!$D$3:$D$500,Sales!$C$3:$C$500,$A228,Sales!$B$3:$B$500,"&lt;="&amp;DATE($B228-1,12,31))&gt;0,0,SUMIFS('Asset Value'!$F$4:$F$500,'Asset Value'!$C$4:$C$500,$A228,'Asset Value'!$B$4:$B$500,$B228-1)/1000)</f>
        <v>0</v>
      </c>
      <c r="E228" s="9" t="n">
        <f aca="false">IF(SUMIFS(Sales!$D$3:$D$500,Sales!$C$3:$C$500,$A228,Sales!$B$3:$B$500,"&gt;="&amp;DATE($B228,1,1),Sales!$B$3:$B$500,"&lt;="&amp;DATE($B228,12,31))&gt;0,SUMIFS(Sales!$D$3:$D$500,Sales!$C$3:$C$500,$A228,Sales!$B$3:$B$500,"&gt;="&amp;DATE($B228,1,1),Sales!$B$3:$B$500,"&lt;="&amp;DATE($B228,12,31))/1000,SUMIFS('Asset Value'!$F$4:$F$500,'Asset Value'!$C$4:$C$500,$A228,'Asset Value'!$B$4:$B$500,$B228)/1000)</f>
        <v>65475</v>
      </c>
      <c r="F228" s="9" t="n">
        <f aca="false">SUMIFS(Rent!$E$3:$E$500,Rent!$D$3:$D$500,$A228,Rent!$C$3:$C$500,$B228)/1000</f>
        <v>2533</v>
      </c>
      <c r="G228" s="9" t="n">
        <f aca="false">SUMIFS(Costs!$D$3:$D$500,Costs!$C$3:$C$500,$A228,Costs!$B$3:$B$500,"&gt;="&amp;DATE($B228,1,1),Costs!$B$3:$B$500,"&lt;="&amp;DATE($B228,12,31))/1000</f>
        <v>0</v>
      </c>
      <c r="H228" s="9" t="n">
        <f aca="false">SUMIFS('Partial Sales'!$D$3:$D$500,'Partial Sales'!$C$3:$C$500,$A228,'Partial Sales'!$B$3:$B$500,"&gt;="&amp;DATE($B228,1,1),'Partial Sales'!$B$3:$B$500,"&lt;="&amp;DATE($B228,12,31))/1000</f>
        <v>0</v>
      </c>
      <c r="I228" s="9" t="n">
        <f aca="false">SUMIFS('Partial Purchases'!$D$3:$D$500,'Partial Purchases'!$C$3:$C$500,$A228,'Partial Purchases'!$B$3:$B$500,"&gt;="&amp;DATE($B228,1,1),'Partial Purchases'!$B$3:$B$500,"&lt;="&amp;DATE($B228,12,31))/1000</f>
        <v>0</v>
      </c>
      <c r="J228" s="9" t="n">
        <f aca="false">C228*(D228+0.5*(G228-H228+I228-F228))</f>
        <v>-0</v>
      </c>
      <c r="K228" s="9" t="n">
        <f aca="false">C228*(E228-D228+H228-G228-I228)</f>
        <v>0</v>
      </c>
      <c r="L228" s="13" t="str">
        <f aca="false">IF(J228=0,"",C228*F228/J228)</f>
        <v/>
      </c>
      <c r="M228" s="13" t="str">
        <f aca="false">IF(J228=0,"",K228/J228)</f>
        <v/>
      </c>
      <c r="N228" s="13" t="str">
        <f aca="false">IF(J228=0,"",L228+M228)</f>
        <v/>
      </c>
    </row>
    <row r="229" customFormat="false" ht="15" hidden="false" customHeight="false" outlineLevel="0" collapsed="false">
      <c r="A229" s="8" t="s">
        <v>32</v>
      </c>
      <c r="B229" s="48" t="n">
        <v>2013</v>
      </c>
      <c r="C229" s="10" t="n">
        <f aca="false">IF(D229&gt;0,1,0)</f>
        <v>1</v>
      </c>
      <c r="D229" s="9" t="n">
        <f aca="false">IF(SUMIFS(Sales!$D$3:$D$500,Sales!$C$3:$C$500,$A229,Sales!$B$3:$B$500,"&lt;="&amp;DATE($B229-1,12,31))&gt;0,0,SUMIFS('Asset Value'!$F$4:$F$500,'Asset Value'!$C$4:$C$500,$A229,'Asset Value'!$B$4:$B$500,$B229-1)/1000)</f>
        <v>65475</v>
      </c>
      <c r="E229" s="9" t="n">
        <f aca="false">IF(SUMIFS(Sales!$D$3:$D$500,Sales!$C$3:$C$500,$A229,Sales!$B$3:$B$500,"&gt;="&amp;DATE($B229,1,1),Sales!$B$3:$B$500,"&lt;="&amp;DATE($B229,12,31))&gt;0,SUMIFS(Sales!$D$3:$D$500,Sales!$C$3:$C$500,$A229,Sales!$B$3:$B$500,"&gt;="&amp;DATE($B229,1,1),Sales!$B$3:$B$500,"&lt;="&amp;DATE($B229,12,31))/1000,SUMIFS('Asset Value'!$F$4:$F$500,'Asset Value'!$C$4:$C$500,$A229,'Asset Value'!$B$4:$B$500,$B229)/1000)</f>
        <v>83471</v>
      </c>
      <c r="F229" s="9" t="n">
        <f aca="false">SUMIFS(Rent!$E$3:$E$500,Rent!$D$3:$D$500,$A229,Rent!$C$3:$C$500,$B229)/1000</f>
        <v>1965</v>
      </c>
      <c r="G229" s="9" t="n">
        <f aca="false">SUMIFS(Costs!$D$3:$D$500,Costs!$C$3:$C$500,$A229,Costs!$B$3:$B$500,"&gt;="&amp;DATE($B229,1,1),Costs!$B$3:$B$500,"&lt;="&amp;DATE($B229,12,31))/1000</f>
        <v>0</v>
      </c>
      <c r="H229" s="9" t="n">
        <f aca="false">SUMIFS('Partial Sales'!$D$3:$D$500,'Partial Sales'!$C$3:$C$500,$A229,'Partial Sales'!$B$3:$B$500,"&gt;="&amp;DATE($B229,1,1),'Partial Sales'!$B$3:$B$500,"&lt;="&amp;DATE($B229,12,31))/1000</f>
        <v>0</v>
      </c>
      <c r="I229" s="9" t="n">
        <f aca="false">SUMIFS('Partial Purchases'!$D$3:$D$500,'Partial Purchases'!$C$3:$C$500,$A229,'Partial Purchases'!$B$3:$B$500,"&gt;="&amp;DATE($B229,1,1),'Partial Purchases'!$B$3:$B$500,"&lt;="&amp;DATE($B229,12,31))/1000</f>
        <v>0</v>
      </c>
      <c r="J229" s="9" t="n">
        <f aca="false">C229*(D229+0.5*(G229-H229+I229-F229))</f>
        <v>64492.5</v>
      </c>
      <c r="K229" s="9" t="n">
        <f aca="false">C229*(E229-D229+H229-G229-I229)</f>
        <v>17996</v>
      </c>
      <c r="L229" s="13" t="n">
        <f aca="false">IF(J229=0,"",C229*F229/J229)</f>
        <v>0.0304686591464124</v>
      </c>
      <c r="M229" s="13" t="n">
        <f aca="false">IF(J229=0,"",K229/J229)</f>
        <v>0.279040198472691</v>
      </c>
      <c r="N229" s="13" t="n">
        <f aca="false">IF(J229=0,"",L229+M229)</f>
        <v>0.309508857619103</v>
      </c>
    </row>
    <row r="230" customFormat="false" ht="15" hidden="false" customHeight="false" outlineLevel="0" collapsed="false">
      <c r="A230" s="8" t="s">
        <v>32</v>
      </c>
      <c r="B230" s="48" t="n">
        <v>2014</v>
      </c>
      <c r="C230" s="10" t="n">
        <f aca="false">IF(D230&gt;0,1,0)</f>
        <v>1</v>
      </c>
      <c r="D230" s="9" t="n">
        <f aca="false">IF(SUMIFS(Sales!$D$3:$D$500,Sales!$C$3:$C$500,$A230,Sales!$B$3:$B$500,"&lt;="&amp;DATE($B230-1,12,31))&gt;0,0,SUMIFS('Asset Value'!$F$4:$F$500,'Asset Value'!$C$4:$C$500,$A230,'Asset Value'!$B$4:$B$500,$B230-1)/1000)</f>
        <v>83471</v>
      </c>
      <c r="E230" s="9" t="n">
        <f aca="false">IF(SUMIFS(Sales!$D$3:$D$500,Sales!$C$3:$C$500,$A230,Sales!$B$3:$B$500,"&gt;="&amp;DATE($B230,1,1),Sales!$B$3:$B$500,"&lt;="&amp;DATE($B230,12,31))&gt;0,SUMIFS(Sales!$D$3:$D$500,Sales!$C$3:$C$500,$A230,Sales!$B$3:$B$500,"&gt;="&amp;DATE($B230,1,1),Sales!$B$3:$B$500,"&lt;="&amp;DATE($B230,12,31))/1000,SUMIFS('Asset Value'!$F$4:$F$500,'Asset Value'!$C$4:$C$500,$A230,'Asset Value'!$B$4:$B$500,$B230)/1000)</f>
        <v>87257</v>
      </c>
      <c r="F230" s="9" t="n">
        <f aca="false">SUMIFS(Rent!$E$3:$E$500,Rent!$D$3:$D$500,$A230,Rent!$C$3:$C$500,$B230)/1000</f>
        <v>2688</v>
      </c>
      <c r="G230" s="9" t="n">
        <f aca="false">SUMIFS(Costs!$D$3:$D$500,Costs!$C$3:$C$500,$A230,Costs!$B$3:$B$500,"&gt;="&amp;DATE($B230,1,1),Costs!$B$3:$B$500,"&lt;="&amp;DATE($B230,12,31))/1000</f>
        <v>0</v>
      </c>
      <c r="H230" s="9" t="n">
        <f aca="false">SUMIFS('Partial Sales'!$D$3:$D$500,'Partial Sales'!$C$3:$C$500,$A230,'Partial Sales'!$B$3:$B$500,"&gt;="&amp;DATE($B230,1,1),'Partial Sales'!$B$3:$B$500,"&lt;="&amp;DATE($B230,12,31))/1000</f>
        <v>0</v>
      </c>
      <c r="I230" s="9" t="n">
        <f aca="false">SUMIFS('Partial Purchases'!$D$3:$D$500,'Partial Purchases'!$C$3:$C$500,$A230,'Partial Purchases'!$B$3:$B$500,"&gt;="&amp;DATE($B230,1,1),'Partial Purchases'!$B$3:$B$500,"&lt;="&amp;DATE($B230,12,31))/1000</f>
        <v>0</v>
      </c>
      <c r="J230" s="9" t="n">
        <f aca="false">C230*(D230+0.5*(G230-H230+I230-F230))</f>
        <v>82127</v>
      </c>
      <c r="K230" s="9" t="n">
        <f aca="false">C230*(E230-D230+H230-G230-I230)</f>
        <v>3786</v>
      </c>
      <c r="L230" s="13" t="n">
        <f aca="false">IF(J230=0,"",C230*F230/J230)</f>
        <v>0.0327297965346354</v>
      </c>
      <c r="M230" s="13" t="n">
        <f aca="false">IF(J230=0,"",K230/J230)</f>
        <v>0.0460993339583815</v>
      </c>
      <c r="N230" s="13" t="n">
        <f aca="false">IF(J230=0,"",L230+M230)</f>
        <v>0.0788291304930169</v>
      </c>
    </row>
    <row r="231" customFormat="false" ht="15" hidden="false" customHeight="false" outlineLevel="0" collapsed="false">
      <c r="A231" s="49" t="s">
        <v>32</v>
      </c>
      <c r="B231" s="50" t="n">
        <v>2015</v>
      </c>
      <c r="C231" s="51" t="n">
        <f aca="false">IF(D231&gt;0,1,0)</f>
        <v>1</v>
      </c>
      <c r="D231" s="52" t="n">
        <f aca="false">IF(SUMIFS(Sales!$D$3:$D$500,Sales!$C$3:$C$500,$A231,Sales!$B$3:$B$500,"&lt;="&amp;DATE($B231-1,12,31))&gt;0,0,SUMIFS('Asset Value'!$F$4:$F$500,'Asset Value'!$C$4:$C$500,$A231,'Asset Value'!$B$4:$B$500,$B231-1)/1000)</f>
        <v>87257</v>
      </c>
      <c r="E231" s="52" t="n">
        <f aca="false">IF(SUMIFS(Sales!$D$3:$D$500,Sales!$C$3:$C$500,$A231,Sales!$B$3:$B$500,"&gt;="&amp;DATE($B231,1,1),Sales!$B$3:$B$500,"&lt;="&amp;DATE($B231,12,31))&gt;0,SUMIFS(Sales!$D$3:$D$500,Sales!$C$3:$C$500,$A231,Sales!$B$3:$B$500,"&gt;="&amp;DATE($B231,1,1),Sales!$B$3:$B$500,"&lt;="&amp;DATE($B231,12,31))/1000,SUMIFS('Asset Value'!$F$4:$F$500,'Asset Value'!$C$4:$C$500,$A231,'Asset Value'!$B$4:$B$500,$B231)/1000)</f>
        <v>93350</v>
      </c>
      <c r="F231" s="52" t="n">
        <f aca="false">SUMIFS(Rent!$E$3:$E$500,Rent!$D$3:$D$500,$A231,Rent!$C$3:$C$500,$B231)/1000</f>
        <v>0</v>
      </c>
      <c r="G231" s="52" t="n">
        <f aca="false">SUMIFS(Costs!$D$3:$D$500,Costs!$C$3:$C$500,$A231,Costs!$B$3:$B$500,"&gt;="&amp;DATE($B231,1,1),Costs!$B$3:$B$500,"&lt;="&amp;DATE($B231,12,31))/1000</f>
        <v>0</v>
      </c>
      <c r="H231" s="52" t="n">
        <f aca="false">SUMIFS('Partial Sales'!$D$3:$D$500,'Partial Sales'!$C$3:$C$500,$A231,'Partial Sales'!$B$3:$B$500,"&gt;="&amp;DATE($B231,1,1),'Partial Sales'!$B$3:$B$500,"&lt;="&amp;DATE($B231,12,31))/1000</f>
        <v>0</v>
      </c>
      <c r="I231" s="52" t="n">
        <f aca="false">SUMIFS('Partial Purchases'!$D$3:$D$500,'Partial Purchases'!$C$3:$C$500,$A231,'Partial Purchases'!$B$3:$B$500,"&gt;="&amp;DATE($B231,1,1),'Partial Purchases'!$B$3:$B$500,"&lt;="&amp;DATE($B231,12,31))/1000</f>
        <v>0</v>
      </c>
      <c r="J231" s="52" t="n">
        <f aca="false">C231*(D231+0.5*(G231-H231+I231-F231))</f>
        <v>87257</v>
      </c>
      <c r="K231" s="52" t="n">
        <f aca="false">C231*(E231-D231+H231-G231-I231)</f>
        <v>6093</v>
      </c>
      <c r="L231" s="46" t="n">
        <f aca="false">IF(J231=0,"",C231*F231/J231)</f>
        <v>0</v>
      </c>
      <c r="M231" s="46" t="n">
        <f aca="false">IF(J231=0,"",K231/J231)</f>
        <v>0.069828208625096</v>
      </c>
      <c r="N231" s="46" t="n">
        <f aca="false">IF(J231=0,"",L231+M231)</f>
        <v>0.069828208625096</v>
      </c>
    </row>
    <row r="232" customFormat="false" ht="15" hidden="false" customHeight="false" outlineLevel="0" collapsed="false">
      <c r="A232" s="8" t="s">
        <v>33</v>
      </c>
      <c r="B232" s="48" t="n">
        <v>2008</v>
      </c>
      <c r="C232" s="10" t="n">
        <f aca="false">IF(D232&gt;0,1,0)</f>
        <v>0</v>
      </c>
      <c r="D232" s="9" t="n">
        <f aca="false">IF(SUMIFS(Sales!$D$3:$D$500,Sales!$C$3:$C$500,$A232,Sales!$B$3:$B$500,"&lt;="&amp;DATE($B232-1,12,31))&gt;0,0,SUMIFS('Asset Value'!$F$4:$F$500,'Asset Value'!$C$4:$C$500,$A232,'Asset Value'!$B$4:$B$500,$B232-1)/1000)</f>
        <v>0</v>
      </c>
      <c r="E232" s="9" t="n">
        <f aca="false">IF(SUMIFS(Sales!$D$3:$D$500,Sales!$C$3:$C$500,$A232,Sales!$B$3:$B$500,"&gt;="&amp;DATE($B232,1,1),Sales!$B$3:$B$500,"&lt;="&amp;DATE($B232,12,31))&gt;0,SUMIFS(Sales!$D$3:$D$500,Sales!$C$3:$C$500,$A232,Sales!$B$3:$B$500,"&gt;="&amp;DATE($B232,1,1),Sales!$B$3:$B$500,"&lt;="&amp;DATE($B232,12,31))/1000,SUMIFS('Asset Value'!$F$4:$F$500,'Asset Value'!$C$4:$C$500,$A232,'Asset Value'!$B$4:$B$500,$B232)/1000)</f>
        <v>20520</v>
      </c>
      <c r="F232" s="9" t="n">
        <f aca="false">SUMIFS(Rent!$E$3:$E$500,Rent!$D$3:$D$500,$A232,Rent!$C$3:$C$500,$B232)/1000</f>
        <v>1083.6</v>
      </c>
      <c r="G232" s="9" t="n">
        <f aca="false">SUMIFS(Costs!$D$3:$D$500,Costs!$C$3:$C$500,$A232,Costs!$B$3:$B$500,"&gt;="&amp;DATE($B232,1,1),Costs!$B$3:$B$500,"&lt;="&amp;DATE($B232,12,31))/1000</f>
        <v>0</v>
      </c>
      <c r="H232" s="9" t="n">
        <f aca="false">SUMIFS('Partial Sales'!$D$3:$D$500,'Partial Sales'!$C$3:$C$500,$A232,'Partial Sales'!$B$3:$B$500,"&gt;="&amp;DATE($B232,1,1),'Partial Sales'!$B$3:$B$500,"&lt;="&amp;DATE($B232,12,31))/1000</f>
        <v>0</v>
      </c>
      <c r="I232" s="9" t="n">
        <f aca="false">SUMIFS('Partial Purchases'!$D$3:$D$500,'Partial Purchases'!$C$3:$C$500,$A232,'Partial Purchases'!$B$3:$B$500,"&gt;="&amp;DATE($B232,1,1),'Partial Purchases'!$B$3:$B$500,"&lt;="&amp;DATE($B232,12,31))/1000</f>
        <v>0</v>
      </c>
      <c r="J232" s="9" t="n">
        <f aca="false">C232*(D232+0.5*(G232-H232+I232-F232))</f>
        <v>-0</v>
      </c>
      <c r="K232" s="9" t="n">
        <f aca="false">C232*(E232-D232+H232-G232-I232)</f>
        <v>0</v>
      </c>
      <c r="L232" s="13" t="str">
        <f aca="false">IF(J232=0,"",C232*F232/J232)</f>
        <v/>
      </c>
      <c r="M232" s="13" t="str">
        <f aca="false">IF(J232=0,"",K232/J232)</f>
        <v/>
      </c>
      <c r="N232" s="13" t="str">
        <f aca="false">IF(J232=0,"",L232+M232)</f>
        <v/>
      </c>
    </row>
    <row r="233" customFormat="false" ht="15" hidden="false" customHeight="false" outlineLevel="0" collapsed="false">
      <c r="A233" s="8" t="s">
        <v>33</v>
      </c>
      <c r="B233" s="48" t="n">
        <v>2009</v>
      </c>
      <c r="C233" s="10" t="n">
        <f aca="false">IF(D233&gt;0,1,0)</f>
        <v>1</v>
      </c>
      <c r="D233" s="9" t="n">
        <f aca="false">IF(SUMIFS(Sales!$D$3:$D$500,Sales!$C$3:$C$500,$A233,Sales!$B$3:$B$500,"&lt;="&amp;DATE($B233-1,12,31))&gt;0,0,SUMIFS('Asset Value'!$F$4:$F$500,'Asset Value'!$C$4:$C$500,$A233,'Asset Value'!$B$4:$B$500,$B233-1)/1000)</f>
        <v>20520</v>
      </c>
      <c r="E233" s="9" t="n">
        <f aca="false">IF(SUMIFS(Sales!$D$3:$D$500,Sales!$C$3:$C$500,$A233,Sales!$B$3:$B$500,"&gt;="&amp;DATE($B233,1,1),Sales!$B$3:$B$500,"&lt;="&amp;DATE($B233,12,31))&gt;0,SUMIFS(Sales!$D$3:$D$500,Sales!$C$3:$C$500,$A233,Sales!$B$3:$B$500,"&gt;="&amp;DATE($B233,1,1),Sales!$B$3:$B$500,"&lt;="&amp;DATE($B233,12,31))/1000,SUMIFS('Asset Value'!$F$4:$F$500,'Asset Value'!$C$4:$C$500,$A233,'Asset Value'!$B$4:$B$500,$B233)/1000)</f>
        <v>25260</v>
      </c>
      <c r="F233" s="9" t="n">
        <f aca="false">SUMIFS(Rent!$E$3:$E$500,Rent!$D$3:$D$500,$A233,Rent!$C$3:$C$500,$B233)/1000</f>
        <v>948.15</v>
      </c>
      <c r="G233" s="9" t="n">
        <f aca="false">SUMIFS(Costs!$D$3:$D$500,Costs!$C$3:$C$500,$A233,Costs!$B$3:$B$500,"&gt;="&amp;DATE($B233,1,1),Costs!$B$3:$B$500,"&lt;="&amp;DATE($B233,12,31))/1000</f>
        <v>0</v>
      </c>
      <c r="H233" s="9" t="n">
        <f aca="false">SUMIFS('Partial Sales'!$D$3:$D$500,'Partial Sales'!$C$3:$C$500,$A233,'Partial Sales'!$B$3:$B$500,"&gt;="&amp;DATE($B233,1,1),'Partial Sales'!$B$3:$B$500,"&lt;="&amp;DATE($B233,12,31))/1000</f>
        <v>0</v>
      </c>
      <c r="I233" s="9" t="n">
        <f aca="false">SUMIFS('Partial Purchases'!$D$3:$D$500,'Partial Purchases'!$C$3:$C$500,$A233,'Partial Purchases'!$B$3:$B$500,"&gt;="&amp;DATE($B233,1,1),'Partial Purchases'!$B$3:$B$500,"&lt;="&amp;DATE($B233,12,31))/1000</f>
        <v>0</v>
      </c>
      <c r="J233" s="9" t="n">
        <f aca="false">C233*(D233+0.5*(G233-H233+I233-F233))</f>
        <v>20045.925</v>
      </c>
      <c r="K233" s="9" t="n">
        <f aca="false">C233*(E233-D233+H233-G233-I233)</f>
        <v>4740</v>
      </c>
      <c r="L233" s="13" t="n">
        <f aca="false">IF(J233=0,"",C233*F233/J233)</f>
        <v>0.047298889924012</v>
      </c>
      <c r="M233" s="13" t="n">
        <f aca="false">IF(J233=0,"",K233/J233)</f>
        <v>0.236457035532159</v>
      </c>
      <c r="N233" s="13" t="n">
        <f aca="false">IF(J233=0,"",L233+M233)</f>
        <v>0.283755925456171</v>
      </c>
    </row>
    <row r="234" customFormat="false" ht="15" hidden="false" customHeight="false" outlineLevel="0" collapsed="false">
      <c r="A234" s="8" t="s">
        <v>33</v>
      </c>
      <c r="B234" s="48" t="n">
        <v>2010</v>
      </c>
      <c r="C234" s="10" t="n">
        <f aca="false">IF(D234&gt;0,1,0)</f>
        <v>1</v>
      </c>
      <c r="D234" s="9" t="n">
        <f aca="false">IF(SUMIFS(Sales!$D$3:$D$500,Sales!$C$3:$C$500,$A234,Sales!$B$3:$B$500,"&lt;="&amp;DATE($B234-1,12,31))&gt;0,0,SUMIFS('Asset Value'!$F$4:$F$500,'Asset Value'!$C$4:$C$500,$A234,'Asset Value'!$B$4:$B$500,$B234-1)/1000)</f>
        <v>25260</v>
      </c>
      <c r="E234" s="9" t="n">
        <f aca="false">IF(SUMIFS(Sales!$D$3:$D$500,Sales!$C$3:$C$500,$A234,Sales!$B$3:$B$500,"&gt;="&amp;DATE($B234,1,1),Sales!$B$3:$B$500,"&lt;="&amp;DATE($B234,12,31))&gt;0,SUMIFS(Sales!$D$3:$D$500,Sales!$C$3:$C$500,$A234,Sales!$B$3:$B$500,"&gt;="&amp;DATE($B234,1,1),Sales!$B$3:$B$500,"&lt;="&amp;DATE($B234,12,31))/1000,SUMIFS('Asset Value'!$F$4:$F$500,'Asset Value'!$C$4:$C$500,$A234,'Asset Value'!$B$4:$B$500,$B234)/1000)</f>
        <v>27160</v>
      </c>
      <c r="F234" s="9" t="n">
        <f aca="false">SUMIFS(Rent!$E$3:$E$500,Rent!$D$3:$D$500,$A234,Rent!$C$3:$C$500,$B234)/1000</f>
        <v>0</v>
      </c>
      <c r="G234" s="9" t="n">
        <f aca="false">SUMIFS(Costs!$D$3:$D$500,Costs!$C$3:$C$500,$A234,Costs!$B$3:$B$500,"&gt;="&amp;DATE($B234,1,1),Costs!$B$3:$B$500,"&lt;="&amp;DATE($B234,12,31))/1000</f>
        <v>0</v>
      </c>
      <c r="H234" s="9" t="n">
        <f aca="false">SUMIFS('Partial Sales'!$D$3:$D$500,'Partial Sales'!$C$3:$C$500,$A234,'Partial Sales'!$B$3:$B$500,"&gt;="&amp;DATE($B234,1,1),'Partial Sales'!$B$3:$B$500,"&lt;="&amp;DATE($B234,12,31))/1000</f>
        <v>0</v>
      </c>
      <c r="I234" s="9" t="n">
        <f aca="false">SUMIFS('Partial Purchases'!$D$3:$D$500,'Partial Purchases'!$C$3:$C$500,$A234,'Partial Purchases'!$B$3:$B$500,"&gt;="&amp;DATE($B234,1,1),'Partial Purchases'!$B$3:$B$500,"&lt;="&amp;DATE($B234,12,31))/1000</f>
        <v>0</v>
      </c>
      <c r="J234" s="9" t="n">
        <f aca="false">C234*(D234+0.5*(G234-H234+I234-F234))</f>
        <v>25260</v>
      </c>
      <c r="K234" s="9" t="n">
        <f aca="false">C234*(E234-D234+H234-G234-I234)</f>
        <v>1900</v>
      </c>
      <c r="L234" s="13" t="n">
        <f aca="false">IF(J234=0,"",C234*F234/J234)</f>
        <v>0</v>
      </c>
      <c r="M234" s="13" t="n">
        <f aca="false">IF(J234=0,"",K234/J234)</f>
        <v>0.0752177355502771</v>
      </c>
      <c r="N234" s="13" t="n">
        <f aca="false">IF(J234=0,"",L234+M234)</f>
        <v>0.0752177355502771</v>
      </c>
    </row>
    <row r="235" customFormat="false" ht="15" hidden="false" customHeight="false" outlineLevel="0" collapsed="false">
      <c r="A235" s="8" t="s">
        <v>33</v>
      </c>
      <c r="B235" s="48" t="n">
        <v>2011</v>
      </c>
      <c r="C235" s="10" t="n">
        <f aca="false">IF(D235&gt;0,1,0)</f>
        <v>0</v>
      </c>
      <c r="D235" s="9" t="n">
        <f aca="false">IF(SUMIFS(Sales!$D$3:$D$500,Sales!$C$3:$C$500,$A235,Sales!$B$3:$B$500,"&lt;="&amp;DATE($B235-1,12,31))&gt;0,0,SUMIFS('Asset Value'!$F$4:$F$500,'Asset Value'!$C$4:$C$500,$A235,'Asset Value'!$B$4:$B$500,$B235-1)/1000)</f>
        <v>0</v>
      </c>
      <c r="E235" s="9" t="n">
        <f aca="false">IF(SUMIFS(Sales!$D$3:$D$500,Sales!$C$3:$C$500,$A235,Sales!$B$3:$B$500,"&gt;="&amp;DATE($B235,1,1),Sales!$B$3:$B$500,"&lt;="&amp;DATE($B235,12,31))&gt;0,SUMIFS(Sales!$D$3:$D$500,Sales!$C$3:$C$500,$A235,Sales!$B$3:$B$500,"&gt;="&amp;DATE($B235,1,1),Sales!$B$3:$B$500,"&lt;="&amp;DATE($B235,12,31))/1000,SUMIFS('Asset Value'!$F$4:$F$500,'Asset Value'!$C$4:$C$500,$A235,'Asset Value'!$B$4:$B$500,$B235)/1000)</f>
        <v>0</v>
      </c>
      <c r="F235" s="9" t="n">
        <f aca="false">SUMIFS(Rent!$E$3:$E$500,Rent!$D$3:$D$500,$A235,Rent!$C$3:$C$500,$B235)/1000</f>
        <v>0</v>
      </c>
      <c r="G235" s="9" t="n">
        <f aca="false">SUMIFS(Costs!$D$3:$D$500,Costs!$C$3:$C$500,$A235,Costs!$B$3:$B$500,"&gt;="&amp;DATE($B235,1,1),Costs!$B$3:$B$500,"&lt;="&amp;DATE($B235,12,31))/1000</f>
        <v>0</v>
      </c>
      <c r="H235" s="9" t="n">
        <f aca="false">SUMIFS('Partial Sales'!$D$3:$D$500,'Partial Sales'!$C$3:$C$500,$A235,'Partial Sales'!$B$3:$B$500,"&gt;="&amp;DATE($B235,1,1),'Partial Sales'!$B$3:$B$500,"&lt;="&amp;DATE($B235,12,31))/1000</f>
        <v>0</v>
      </c>
      <c r="I235" s="9" t="n">
        <f aca="false">SUMIFS('Partial Purchases'!$D$3:$D$500,'Partial Purchases'!$C$3:$C$500,$A235,'Partial Purchases'!$B$3:$B$500,"&gt;="&amp;DATE($B235,1,1),'Partial Purchases'!$B$3:$B$500,"&lt;="&amp;DATE($B235,12,31))/1000</f>
        <v>0</v>
      </c>
      <c r="J235" s="9" t="n">
        <f aca="false">C235*(D235+0.5*(G235-H235+I235-F235))</f>
        <v>0</v>
      </c>
      <c r="K235" s="9" t="n">
        <f aca="false">C235*(E235-D235+H235-G235-I235)</f>
        <v>0</v>
      </c>
      <c r="L235" s="13" t="str">
        <f aca="false">IF(J235=0,"",C235*F235/J235)</f>
        <v/>
      </c>
      <c r="M235" s="13" t="str">
        <f aca="false">IF(J235=0,"",K235/J235)</f>
        <v/>
      </c>
      <c r="N235" s="13" t="str">
        <f aca="false">IF(J235=0,"",L235+M235)</f>
        <v/>
      </c>
    </row>
    <row r="236" customFormat="false" ht="15" hidden="false" customHeight="false" outlineLevel="0" collapsed="false">
      <c r="A236" s="8" t="s">
        <v>33</v>
      </c>
      <c r="B236" s="48" t="n">
        <v>2012</v>
      </c>
      <c r="C236" s="10" t="n">
        <f aca="false">IF(D236&gt;0,1,0)</f>
        <v>0</v>
      </c>
      <c r="D236" s="9" t="n">
        <f aca="false">IF(SUMIFS(Sales!$D$3:$D$500,Sales!$C$3:$C$500,$A236,Sales!$B$3:$B$500,"&lt;="&amp;DATE($B236-1,12,31))&gt;0,0,SUMIFS('Asset Value'!$F$4:$F$500,'Asset Value'!$C$4:$C$500,$A236,'Asset Value'!$B$4:$B$500,$B236-1)/1000)</f>
        <v>0</v>
      </c>
      <c r="E236" s="9" t="n">
        <f aca="false">IF(SUMIFS(Sales!$D$3:$D$500,Sales!$C$3:$C$500,$A236,Sales!$B$3:$B$500,"&gt;="&amp;DATE($B236,1,1),Sales!$B$3:$B$500,"&lt;="&amp;DATE($B236,12,31))&gt;0,SUMIFS(Sales!$D$3:$D$500,Sales!$C$3:$C$500,$A236,Sales!$B$3:$B$500,"&gt;="&amp;DATE($B236,1,1),Sales!$B$3:$B$500,"&lt;="&amp;DATE($B236,12,31))/1000,SUMIFS('Asset Value'!$F$4:$F$500,'Asset Value'!$C$4:$C$500,$A236,'Asset Value'!$B$4:$B$500,$B236)/1000)</f>
        <v>0</v>
      </c>
      <c r="F236" s="9" t="n">
        <f aca="false">SUMIFS(Rent!$E$3:$E$500,Rent!$D$3:$D$500,$A236,Rent!$C$3:$C$500,$B236)/1000</f>
        <v>0</v>
      </c>
      <c r="G236" s="9" t="n">
        <f aca="false">SUMIFS(Costs!$D$3:$D$500,Costs!$C$3:$C$500,$A236,Costs!$B$3:$B$500,"&gt;="&amp;DATE($B236,1,1),Costs!$B$3:$B$500,"&lt;="&amp;DATE($B236,12,31))/1000</f>
        <v>0</v>
      </c>
      <c r="H236" s="9" t="n">
        <f aca="false">SUMIFS('Partial Sales'!$D$3:$D$500,'Partial Sales'!$C$3:$C$500,$A236,'Partial Sales'!$B$3:$B$500,"&gt;="&amp;DATE($B236,1,1),'Partial Sales'!$B$3:$B$500,"&lt;="&amp;DATE($B236,12,31))/1000</f>
        <v>0</v>
      </c>
      <c r="I236" s="9" t="n">
        <f aca="false">SUMIFS('Partial Purchases'!$D$3:$D$500,'Partial Purchases'!$C$3:$C$500,$A236,'Partial Purchases'!$B$3:$B$500,"&gt;="&amp;DATE($B236,1,1),'Partial Purchases'!$B$3:$B$500,"&lt;="&amp;DATE($B236,12,31))/1000</f>
        <v>0</v>
      </c>
      <c r="J236" s="9" t="n">
        <f aca="false">C236*(D236+0.5*(G236-H236+I236-F236))</f>
        <v>0</v>
      </c>
      <c r="K236" s="9" t="n">
        <f aca="false">C236*(E236-D236+H236-G236-I236)</f>
        <v>0</v>
      </c>
      <c r="L236" s="13" t="str">
        <f aca="false">IF(J236=0,"",C236*F236/J236)</f>
        <v/>
      </c>
      <c r="M236" s="13" t="str">
        <f aca="false">IF(J236=0,"",K236/J236)</f>
        <v/>
      </c>
      <c r="N236" s="13" t="str">
        <f aca="false">IF(J236=0,"",L236+M236)</f>
        <v/>
      </c>
    </row>
    <row r="237" customFormat="false" ht="15" hidden="false" customHeight="false" outlineLevel="0" collapsed="false">
      <c r="A237" s="8" t="s">
        <v>33</v>
      </c>
      <c r="B237" s="48" t="n">
        <v>2013</v>
      </c>
      <c r="C237" s="10" t="n">
        <f aca="false">IF(D237&gt;0,1,0)</f>
        <v>0</v>
      </c>
      <c r="D237" s="9" t="n">
        <f aca="false">IF(SUMIFS(Sales!$D$3:$D$500,Sales!$C$3:$C$500,$A237,Sales!$B$3:$B$500,"&lt;="&amp;DATE($B237-1,12,31))&gt;0,0,SUMIFS('Asset Value'!$F$4:$F$500,'Asset Value'!$C$4:$C$500,$A237,'Asset Value'!$B$4:$B$500,$B237-1)/1000)</f>
        <v>0</v>
      </c>
      <c r="E237" s="9" t="n">
        <f aca="false">IF(SUMIFS(Sales!$D$3:$D$500,Sales!$C$3:$C$500,$A237,Sales!$B$3:$B$500,"&gt;="&amp;DATE($B237,1,1),Sales!$B$3:$B$500,"&lt;="&amp;DATE($B237,12,31))&gt;0,SUMIFS(Sales!$D$3:$D$500,Sales!$C$3:$C$500,$A237,Sales!$B$3:$B$500,"&gt;="&amp;DATE($B237,1,1),Sales!$B$3:$B$500,"&lt;="&amp;DATE($B237,12,31))/1000,SUMIFS('Asset Value'!$F$4:$F$500,'Asset Value'!$C$4:$C$500,$A237,'Asset Value'!$B$4:$B$500,$B237)/1000)</f>
        <v>0</v>
      </c>
      <c r="F237" s="9" t="n">
        <f aca="false">SUMIFS(Rent!$E$3:$E$500,Rent!$D$3:$D$500,$A237,Rent!$C$3:$C$500,$B237)/1000</f>
        <v>0</v>
      </c>
      <c r="G237" s="9" t="n">
        <f aca="false">SUMIFS(Costs!$D$3:$D$500,Costs!$C$3:$C$500,$A237,Costs!$B$3:$B$500,"&gt;="&amp;DATE($B237,1,1),Costs!$B$3:$B$500,"&lt;="&amp;DATE($B237,12,31))/1000</f>
        <v>0</v>
      </c>
      <c r="H237" s="9" t="n">
        <f aca="false">SUMIFS('Partial Sales'!$D$3:$D$500,'Partial Sales'!$C$3:$C$500,$A237,'Partial Sales'!$B$3:$B$500,"&gt;="&amp;DATE($B237,1,1),'Partial Sales'!$B$3:$B$500,"&lt;="&amp;DATE($B237,12,31))/1000</f>
        <v>0</v>
      </c>
      <c r="I237" s="9" t="n">
        <f aca="false">SUMIFS('Partial Purchases'!$D$3:$D$500,'Partial Purchases'!$C$3:$C$500,$A237,'Partial Purchases'!$B$3:$B$500,"&gt;="&amp;DATE($B237,1,1),'Partial Purchases'!$B$3:$B$500,"&lt;="&amp;DATE($B237,12,31))/1000</f>
        <v>0</v>
      </c>
      <c r="J237" s="9" t="n">
        <f aca="false">C237*(D237+0.5*(G237-H237+I237-F237))</f>
        <v>0</v>
      </c>
      <c r="K237" s="9" t="n">
        <f aca="false">C237*(E237-D237+H237-G237-I237)</f>
        <v>0</v>
      </c>
      <c r="L237" s="13" t="str">
        <f aca="false">IF(J237=0,"",C237*F237/J237)</f>
        <v/>
      </c>
      <c r="M237" s="13" t="str">
        <f aca="false">IF(J237=0,"",K237/J237)</f>
        <v/>
      </c>
      <c r="N237" s="13" t="str">
        <f aca="false">IF(J237=0,"",L237+M237)</f>
        <v/>
      </c>
    </row>
    <row r="238" customFormat="false" ht="15" hidden="false" customHeight="false" outlineLevel="0" collapsed="false">
      <c r="A238" s="8" t="s">
        <v>33</v>
      </c>
      <c r="B238" s="48" t="n">
        <v>2014</v>
      </c>
      <c r="C238" s="10" t="n">
        <f aca="false">IF(D238&gt;0,1,0)</f>
        <v>0</v>
      </c>
      <c r="D238" s="9" t="n">
        <f aca="false">IF(SUMIFS(Sales!$D$3:$D$500,Sales!$C$3:$C$500,$A238,Sales!$B$3:$B$500,"&lt;="&amp;DATE($B238-1,12,31))&gt;0,0,SUMIFS('Asset Value'!$F$4:$F$500,'Asset Value'!$C$4:$C$500,$A238,'Asset Value'!$B$4:$B$500,$B238-1)/1000)</f>
        <v>0</v>
      </c>
      <c r="E238" s="9" t="n">
        <f aca="false">IF(SUMIFS(Sales!$D$3:$D$500,Sales!$C$3:$C$500,$A238,Sales!$B$3:$B$500,"&gt;="&amp;DATE($B238,1,1),Sales!$B$3:$B$500,"&lt;="&amp;DATE($B238,12,31))&gt;0,SUMIFS(Sales!$D$3:$D$500,Sales!$C$3:$C$500,$A238,Sales!$B$3:$B$500,"&gt;="&amp;DATE($B238,1,1),Sales!$B$3:$B$500,"&lt;="&amp;DATE($B238,12,31))/1000,SUMIFS('Asset Value'!$F$4:$F$500,'Asset Value'!$C$4:$C$500,$A238,'Asset Value'!$B$4:$B$500,$B238)/1000)</f>
        <v>0</v>
      </c>
      <c r="F238" s="9" t="n">
        <f aca="false">SUMIFS(Rent!$E$3:$E$500,Rent!$D$3:$D$500,$A238,Rent!$C$3:$C$500,$B238)/1000</f>
        <v>0</v>
      </c>
      <c r="G238" s="9" t="n">
        <f aca="false">SUMIFS(Costs!$D$3:$D$500,Costs!$C$3:$C$500,$A238,Costs!$B$3:$B$500,"&gt;="&amp;DATE($B238,1,1),Costs!$B$3:$B$500,"&lt;="&amp;DATE($B238,12,31))/1000</f>
        <v>0</v>
      </c>
      <c r="H238" s="9" t="n">
        <f aca="false">SUMIFS('Partial Sales'!$D$3:$D$500,'Partial Sales'!$C$3:$C$500,$A238,'Partial Sales'!$B$3:$B$500,"&gt;="&amp;DATE($B238,1,1),'Partial Sales'!$B$3:$B$500,"&lt;="&amp;DATE($B238,12,31))/1000</f>
        <v>0</v>
      </c>
      <c r="I238" s="9" t="n">
        <f aca="false">SUMIFS('Partial Purchases'!$D$3:$D$500,'Partial Purchases'!$C$3:$C$500,$A238,'Partial Purchases'!$B$3:$B$500,"&gt;="&amp;DATE($B238,1,1),'Partial Purchases'!$B$3:$B$500,"&lt;="&amp;DATE($B238,12,31))/1000</f>
        <v>0</v>
      </c>
      <c r="J238" s="9" t="n">
        <f aca="false">C238*(D238+0.5*(G238-H238+I238-F238))</f>
        <v>0</v>
      </c>
      <c r="K238" s="9" t="n">
        <f aca="false">C238*(E238-D238+H238-G238-I238)</f>
        <v>0</v>
      </c>
      <c r="L238" s="13" t="str">
        <f aca="false">IF(J238=0,"",C238*F238/J238)</f>
        <v/>
      </c>
      <c r="M238" s="13" t="str">
        <f aca="false">IF(J238=0,"",K238/J238)</f>
        <v/>
      </c>
      <c r="N238" s="13" t="str">
        <f aca="false">IF(J238=0,"",L238+M238)</f>
        <v/>
      </c>
    </row>
    <row r="239" customFormat="false" ht="15" hidden="false" customHeight="false" outlineLevel="0" collapsed="false">
      <c r="A239" s="49" t="s">
        <v>33</v>
      </c>
      <c r="B239" s="50" t="n">
        <v>2015</v>
      </c>
      <c r="C239" s="51" t="n">
        <f aca="false">IF(D239&gt;0,1,0)</f>
        <v>0</v>
      </c>
      <c r="D239" s="52" t="n">
        <f aca="false">IF(SUMIFS(Sales!$D$3:$D$500,Sales!$C$3:$C$500,$A239,Sales!$B$3:$B$500,"&lt;="&amp;DATE($B239-1,12,31))&gt;0,0,SUMIFS('Asset Value'!$F$4:$F$500,'Asset Value'!$C$4:$C$500,$A239,'Asset Value'!$B$4:$B$500,$B239-1)/1000)</f>
        <v>0</v>
      </c>
      <c r="E239" s="52" t="n">
        <f aca="false">IF(SUMIFS(Sales!$D$3:$D$500,Sales!$C$3:$C$500,$A239,Sales!$B$3:$B$500,"&gt;="&amp;DATE($B239,1,1),Sales!$B$3:$B$500,"&lt;="&amp;DATE($B239,12,31))&gt;0,SUMIFS(Sales!$D$3:$D$500,Sales!$C$3:$C$500,$A239,Sales!$B$3:$B$500,"&gt;="&amp;DATE($B239,1,1),Sales!$B$3:$B$500,"&lt;="&amp;DATE($B239,12,31))/1000,SUMIFS('Asset Value'!$F$4:$F$500,'Asset Value'!$C$4:$C$500,$A239,'Asset Value'!$B$4:$B$500,$B239)/1000)</f>
        <v>0</v>
      </c>
      <c r="F239" s="52" t="n">
        <f aca="false">SUMIFS(Rent!$E$3:$E$500,Rent!$D$3:$D$500,$A239,Rent!$C$3:$C$500,$B239)/1000</f>
        <v>0</v>
      </c>
      <c r="G239" s="52" t="n">
        <f aca="false">SUMIFS(Costs!$D$3:$D$500,Costs!$C$3:$C$500,$A239,Costs!$B$3:$B$500,"&gt;="&amp;DATE($B239,1,1),Costs!$B$3:$B$500,"&lt;="&amp;DATE($B239,12,31))/1000</f>
        <v>0</v>
      </c>
      <c r="H239" s="52" t="n">
        <f aca="false">SUMIFS('Partial Sales'!$D$3:$D$500,'Partial Sales'!$C$3:$C$500,$A239,'Partial Sales'!$B$3:$B$500,"&gt;="&amp;DATE($B239,1,1),'Partial Sales'!$B$3:$B$500,"&lt;="&amp;DATE($B239,12,31))/1000</f>
        <v>0</v>
      </c>
      <c r="I239" s="52" t="n">
        <f aca="false">SUMIFS('Partial Purchases'!$D$3:$D$500,'Partial Purchases'!$C$3:$C$500,$A239,'Partial Purchases'!$B$3:$B$500,"&gt;="&amp;DATE($B239,1,1),'Partial Purchases'!$B$3:$B$500,"&lt;="&amp;DATE($B239,12,31))/1000</f>
        <v>0</v>
      </c>
      <c r="J239" s="52" t="n">
        <f aca="false">C239*(D239+0.5*(G239-H239+I239-F239))</f>
        <v>0</v>
      </c>
      <c r="K239" s="52" t="n">
        <f aca="false">C239*(E239-D239+H239-G239-I239)</f>
        <v>0</v>
      </c>
      <c r="L239" s="46" t="str">
        <f aca="false">IF(J239=0,"",C239*F239/J239)</f>
        <v/>
      </c>
      <c r="M239" s="46" t="str">
        <f aca="false">IF(J239=0,"",K239/J239)</f>
        <v/>
      </c>
      <c r="N239" s="46" t="str">
        <f aca="false">IF(J239=0,"",L239+M239)</f>
        <v/>
      </c>
    </row>
    <row r="242" customFormat="false" ht="15" hidden="false" customHeight="false" outlineLevel="0" collapsed="false">
      <c r="A242" s="38" t="s">
        <v>125</v>
      </c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</row>
    <row r="243" customFormat="false" ht="31.5" hidden="false" customHeight="true" outlineLevel="0" collapsed="false">
      <c r="A243" s="12" t="s">
        <v>12</v>
      </c>
      <c r="B243" s="12" t="s">
        <v>77</v>
      </c>
      <c r="C243" s="12" t="s">
        <v>113</v>
      </c>
      <c r="D243" s="12" t="s">
        <v>114</v>
      </c>
      <c r="E243" s="12" t="s">
        <v>115</v>
      </c>
      <c r="F243" s="12" t="s">
        <v>116</v>
      </c>
      <c r="G243" s="12" t="s">
        <v>117</v>
      </c>
      <c r="H243" s="12" t="s">
        <v>118</v>
      </c>
      <c r="I243" s="12" t="s">
        <v>119</v>
      </c>
      <c r="J243" s="12" t="s">
        <v>120</v>
      </c>
      <c r="K243" s="12" t="s">
        <v>121</v>
      </c>
      <c r="L243" s="12" t="s">
        <v>122</v>
      </c>
      <c r="M243" s="12" t="s">
        <v>123</v>
      </c>
      <c r="N243" s="12" t="s">
        <v>124</v>
      </c>
    </row>
    <row r="244" customFormat="false" ht="15" hidden="false" customHeight="false" outlineLevel="0" collapsed="false">
      <c r="A244" s="8" t="s">
        <v>19</v>
      </c>
      <c r="B244" s="48" t="n">
        <v>2008</v>
      </c>
      <c r="C244" s="10" t="n">
        <f aca="false">IF(D244&gt;0,1,0)</f>
        <v>0</v>
      </c>
      <c r="D244" s="9" t="n">
        <f aca="false">IF(SUMIFS(Sales!$F$3:$F$500,Sales!$C$3:$C$500,$A244,Sales!$B$3:$B$500,"&lt;="&amp;DATE($B244-1,12,31))&gt;0,0,SUMIFS('Asset Value'!$I$4:$I$500,'Asset Value'!$C$4:$C$500,$A244,'Asset Value'!$B$4:$B$500,$B244-1)/1000)</f>
        <v>0</v>
      </c>
      <c r="E244" s="9" t="n">
        <f aca="false">IF(SUMIFS(Sales!$F$3:$F$500,Sales!$C$3:$C$500,$A244,Sales!$B$3:$B$500,"&gt;="&amp;DATE($B244,1,1),Sales!$B$3:$B$500,"&lt;="&amp;DATE($B244,12,31))&gt;0,SUMIFS(Sales!$F$3:$F$500,Sales!$C$3:$C$500,$A244,Sales!$B$3:$B$500,"&gt;="&amp;DATE($B244,1,1),Sales!$B$3:$B$500,"&lt;="&amp;DATE($B244,12,31))/1000,SUMIFS('Asset Value'!$I$4:$I$500,'Asset Value'!$C$4:$C$500,$A244,'Asset Value'!$B$4:$B$500,$B244)/1000)</f>
        <v>85157.7324478179</v>
      </c>
      <c r="F244" s="9" t="n">
        <f aca="false">SUMIFS(Rent!$G$3:$G$500,Rent!$D$3:$D$500,$A244,Rent!$C$3:$C$500,$B244)/1000</f>
        <v>2467.3043778358</v>
      </c>
      <c r="G244" s="9" t="n">
        <f aca="false">SUMIFS(Costs!$F$3:$F$500,Costs!$C$3:$C$500,$A244,Costs!$B$3:$B$500,"&gt;="&amp;DATE($B244,1,1),Costs!$B$3:$B$500,"&lt;="&amp;DATE($B244,12,31))/1000</f>
        <v>0</v>
      </c>
      <c r="H244" s="9" t="n">
        <f aca="false">SUMIFS('Partial Sales'!$F$3:$F$500,'Partial Sales'!$C$3:$C$500,$A244,'Partial Sales'!$B$3:$B$500,"&gt;="&amp;DATE($B244,1,1),'Partial Sales'!$B$3:$B$500,"&lt;="&amp;DATE($B244,12,31))/1000</f>
        <v>0</v>
      </c>
      <c r="I244" s="9" t="n">
        <f aca="false">SUMIFS('Partial Purchases'!$F$3:$F$500,'Partial Purchases'!$C$3:$C$500,$A244,'Partial Purchases'!$B$3:$B$500,"&gt;="&amp;DATE($B244,1,1),'Partial Purchases'!$B$3:$B$500,"&lt;="&amp;DATE($B244,12,31))/1000</f>
        <v>0</v>
      </c>
      <c r="J244" s="9" t="n">
        <f aca="false">C244*(D244+0.5*(G244-H244+I244-F244))</f>
        <v>-0</v>
      </c>
      <c r="K244" s="9" t="n">
        <f aca="false">C244*(E244-D244+H244-G244-I244)</f>
        <v>0</v>
      </c>
      <c r="L244" s="13" t="str">
        <f aca="false">IF(J244=0,"",C244*F244/J244)</f>
        <v/>
      </c>
      <c r="M244" s="13" t="str">
        <f aca="false">IF(J244=0,"",K244/J244)</f>
        <v/>
      </c>
      <c r="N244" s="13" t="str">
        <f aca="false">IF(J244=0,"",L244+M244)</f>
        <v/>
      </c>
    </row>
    <row r="245" customFormat="false" ht="15" hidden="false" customHeight="false" outlineLevel="0" collapsed="false">
      <c r="A245" s="8" t="s">
        <v>19</v>
      </c>
      <c r="B245" s="48" t="n">
        <v>2009</v>
      </c>
      <c r="C245" s="10" t="n">
        <f aca="false">IF(D245&gt;0,1,0)</f>
        <v>1</v>
      </c>
      <c r="D245" s="9" t="n">
        <f aca="false">IF(SUMIFS(Sales!$F$3:$F$500,Sales!$C$3:$C$500,$A245,Sales!$B$3:$B$500,"&lt;="&amp;DATE($B245-1,12,31))&gt;0,0,SUMIFS('Asset Value'!$I$4:$I$500,'Asset Value'!$C$4:$C$500,$A245,'Asset Value'!$B$4:$B$500,$B245-1)/1000)</f>
        <v>85157.7324478179</v>
      </c>
      <c r="E245" s="9" t="n">
        <f aca="false">IF(SUMIFS(Sales!$F$3:$F$500,Sales!$C$3:$C$500,$A245,Sales!$B$3:$B$500,"&gt;="&amp;DATE($B245,1,1),Sales!$B$3:$B$500,"&lt;="&amp;DATE($B245,12,31))&gt;0,SUMIFS(Sales!$F$3:$F$500,Sales!$C$3:$C$500,$A245,Sales!$B$3:$B$500,"&gt;="&amp;DATE($B245,1,1),Sales!$B$3:$B$500,"&lt;="&amp;DATE($B245,12,31))/1000,SUMIFS('Asset Value'!$I$4:$I$500,'Asset Value'!$C$4:$C$500,$A245,'Asset Value'!$B$4:$B$500,$B245)/1000)</f>
        <v>78575.6853396901</v>
      </c>
      <c r="F245" s="9" t="n">
        <f aca="false">SUMIFS(Rent!$G$3:$G$500,Rent!$D$3:$D$500,$A245,Rent!$C$3:$C$500,$B245)/1000</f>
        <v>3121.60734601241</v>
      </c>
      <c r="G245" s="9" t="n">
        <f aca="false">SUMIFS(Costs!$F$3:$F$500,Costs!$C$3:$C$500,$A245,Costs!$B$3:$B$500,"&gt;="&amp;DATE($B245,1,1),Costs!$B$3:$B$500,"&lt;="&amp;DATE($B245,12,31))/1000</f>
        <v>0</v>
      </c>
      <c r="H245" s="9" t="n">
        <f aca="false">SUMIFS('Partial Sales'!$F$3:$F$500,'Partial Sales'!$C$3:$C$500,$A245,'Partial Sales'!$B$3:$B$500,"&gt;="&amp;DATE($B245,1,1),'Partial Sales'!$B$3:$B$500,"&lt;="&amp;DATE($B245,12,31))/1000</f>
        <v>0</v>
      </c>
      <c r="I245" s="9" t="n">
        <f aca="false">SUMIFS('Partial Purchases'!$F$3:$F$500,'Partial Purchases'!$C$3:$C$500,$A245,'Partial Purchases'!$B$3:$B$500,"&gt;="&amp;DATE($B245,1,1),'Partial Purchases'!$B$3:$B$500,"&lt;="&amp;DATE($B245,12,31))/1000</f>
        <v>0</v>
      </c>
      <c r="J245" s="9" t="n">
        <f aca="false">C245*(D245+0.5*(G245-H245+I245-F245))</f>
        <v>83596.9287748117</v>
      </c>
      <c r="K245" s="9" t="n">
        <f aca="false">C245*(E245-D245+H245-G245-I245)</f>
        <v>-6582.04710812774</v>
      </c>
      <c r="L245" s="13" t="n">
        <f aca="false">IF(J245=0,"",C245*F245/J245)</f>
        <v>0.0373411725976346</v>
      </c>
      <c r="M245" s="13" t="n">
        <f aca="false">IF(J245=0,"",K245/J245)</f>
        <v>-0.0787355134284665</v>
      </c>
      <c r="N245" s="13" t="n">
        <f aca="false">IF(J245=0,"",L245+M245)</f>
        <v>-0.0413943408308318</v>
      </c>
    </row>
    <row r="246" customFormat="false" ht="15" hidden="false" customHeight="false" outlineLevel="0" collapsed="false">
      <c r="A246" s="8" t="s">
        <v>19</v>
      </c>
      <c r="B246" s="48" t="n">
        <v>2010</v>
      </c>
      <c r="C246" s="10" t="n">
        <f aca="false">IF(D246&gt;0,1,0)</f>
        <v>1</v>
      </c>
      <c r="D246" s="9" t="n">
        <f aca="false">IF(SUMIFS(Sales!$F$3:$F$500,Sales!$C$3:$C$500,$A246,Sales!$B$3:$B$500,"&lt;="&amp;DATE($B246-1,12,31))&gt;0,0,SUMIFS('Asset Value'!$I$4:$I$500,'Asset Value'!$C$4:$C$500,$A246,'Asset Value'!$B$4:$B$500,$B246-1)/1000)</f>
        <v>78575.6853396901</v>
      </c>
      <c r="E246" s="9" t="n">
        <f aca="false">IF(SUMIFS(Sales!$F$3:$F$500,Sales!$C$3:$C$500,$A246,Sales!$B$3:$B$500,"&gt;="&amp;DATE($B246,1,1),Sales!$B$3:$B$500,"&lt;="&amp;DATE($B246,12,31))&gt;0,SUMIFS(Sales!$F$3:$F$500,Sales!$C$3:$C$500,$A246,Sales!$B$3:$B$500,"&gt;="&amp;DATE($B246,1,1),Sales!$B$3:$B$500,"&lt;="&amp;DATE($B246,12,31))/1000,SUMIFS('Asset Value'!$I$4:$I$500,'Asset Value'!$C$4:$C$500,$A246,'Asset Value'!$B$4:$B$500,$B246)/1000)</f>
        <v>94947.392762169</v>
      </c>
      <c r="F246" s="9" t="n">
        <f aca="false">SUMIFS(Rent!$G$3:$G$500,Rent!$D$3:$D$500,$A246,Rent!$C$3:$C$500,$B246)/1000</f>
        <v>3580.44861594812</v>
      </c>
      <c r="G246" s="9" t="n">
        <f aca="false">SUMIFS(Costs!$F$3:$F$500,Costs!$C$3:$C$500,$A246,Costs!$B$3:$B$500,"&gt;="&amp;DATE($B246,1,1),Costs!$B$3:$B$500,"&lt;="&amp;DATE($B246,12,31))/1000</f>
        <v>0</v>
      </c>
      <c r="H246" s="9" t="n">
        <f aca="false">SUMIFS('Partial Sales'!$F$3:$F$500,'Partial Sales'!$C$3:$C$500,$A246,'Partial Sales'!$B$3:$B$500,"&gt;="&amp;DATE($B246,1,1),'Partial Sales'!$B$3:$B$500,"&lt;="&amp;DATE($B246,12,31))/1000</f>
        <v>0</v>
      </c>
      <c r="I246" s="9" t="n">
        <f aca="false">SUMIFS('Partial Purchases'!$F$3:$F$500,'Partial Purchases'!$C$3:$C$500,$A246,'Partial Purchases'!$B$3:$B$500,"&gt;="&amp;DATE($B246,1,1),'Partial Purchases'!$B$3:$B$500,"&lt;="&amp;DATE($B246,12,31))/1000</f>
        <v>0</v>
      </c>
      <c r="J246" s="9" t="n">
        <f aca="false">C246*(D246+0.5*(G246-H246+I246-F246))</f>
        <v>76785.4610317161</v>
      </c>
      <c r="K246" s="9" t="n">
        <f aca="false">C246*(E246-D246+H246-G246-I246)</f>
        <v>16371.7074224789</v>
      </c>
      <c r="L246" s="13" t="n">
        <f aca="false">IF(J246=0,"",C246*F246/J246)</f>
        <v>0.0466292520464157</v>
      </c>
      <c r="M246" s="13" t="n">
        <f aca="false">IF(J246=0,"",K246/J246)</f>
        <v>0.213213637093572</v>
      </c>
      <c r="N246" s="13" t="n">
        <f aca="false">IF(J246=0,"",L246+M246)</f>
        <v>0.259842889139988</v>
      </c>
    </row>
    <row r="247" customFormat="false" ht="15" hidden="false" customHeight="false" outlineLevel="0" collapsed="false">
      <c r="A247" s="8" t="s">
        <v>19</v>
      </c>
      <c r="B247" s="48" t="n">
        <v>2011</v>
      </c>
      <c r="C247" s="10" t="n">
        <f aca="false">IF(D247&gt;0,1,0)</f>
        <v>1</v>
      </c>
      <c r="D247" s="9" t="n">
        <f aca="false">IF(SUMIFS(Sales!$F$3:$F$500,Sales!$C$3:$C$500,$A247,Sales!$B$3:$B$500,"&lt;="&amp;DATE($B247-1,12,31))&gt;0,0,SUMIFS('Asset Value'!$I$4:$I$500,'Asset Value'!$C$4:$C$500,$A247,'Asset Value'!$B$4:$B$500,$B247-1)/1000)</f>
        <v>94947.392762169</v>
      </c>
      <c r="E247" s="9" t="n">
        <f aca="false">IF(SUMIFS(Sales!$F$3:$F$500,Sales!$C$3:$C$500,$A247,Sales!$B$3:$B$500,"&gt;="&amp;DATE($B247,1,1),Sales!$B$3:$B$500,"&lt;="&amp;DATE($B247,12,31))&gt;0,SUMIFS(Sales!$F$3:$F$500,Sales!$C$3:$C$500,$A247,Sales!$B$3:$B$500,"&gt;="&amp;DATE($B247,1,1),Sales!$B$3:$B$500,"&lt;="&amp;DATE($B247,12,31))/1000,SUMIFS('Asset Value'!$I$4:$I$500,'Asset Value'!$C$4:$C$500,$A247,'Asset Value'!$B$4:$B$500,$B247)/1000)</f>
        <v>111513.382599516</v>
      </c>
      <c r="F247" s="9" t="n">
        <f aca="false">SUMIFS(Rent!$G$3:$G$500,Rent!$D$3:$D$500,$A247,Rent!$C$3:$C$500,$B247)/1000</f>
        <v>2133.38437416671</v>
      </c>
      <c r="G247" s="9" t="n">
        <f aca="false">SUMIFS(Costs!$F$3:$F$500,Costs!$C$3:$C$500,$A247,Costs!$B$3:$B$500,"&gt;="&amp;DATE($B247,1,1),Costs!$B$3:$B$500,"&lt;="&amp;DATE($B247,12,31))/1000</f>
        <v>0</v>
      </c>
      <c r="H247" s="9" t="n">
        <f aca="false">SUMIFS('Partial Sales'!$F$3:$F$500,'Partial Sales'!$C$3:$C$500,$A247,'Partial Sales'!$B$3:$B$500,"&gt;="&amp;DATE($B247,1,1),'Partial Sales'!$B$3:$B$500,"&lt;="&amp;DATE($B247,12,31))/1000</f>
        <v>0</v>
      </c>
      <c r="I247" s="9" t="n">
        <f aca="false">SUMIFS('Partial Purchases'!$F$3:$F$500,'Partial Purchases'!$C$3:$C$500,$A247,'Partial Purchases'!$B$3:$B$500,"&gt;="&amp;DATE($B247,1,1),'Partial Purchases'!$B$3:$B$500,"&lt;="&amp;DATE($B247,12,31))/1000</f>
        <v>0</v>
      </c>
      <c r="J247" s="9" t="n">
        <f aca="false">C247*(D247+0.5*(G247-H247+I247-F247))</f>
        <v>93880.7005750857</v>
      </c>
      <c r="K247" s="9" t="n">
        <f aca="false">C247*(E247-D247+H247-G247-I247)</f>
        <v>16565.9898373466</v>
      </c>
      <c r="L247" s="13" t="n">
        <f aca="false">IF(J247=0,"",C247*F247/J247)</f>
        <v>0.0227244189817313</v>
      </c>
      <c r="M247" s="13" t="n">
        <f aca="false">IF(J247=0,"",K247/J247)</f>
        <v>0.176457884696942</v>
      </c>
      <c r="N247" s="13" t="n">
        <f aca="false">IF(J247=0,"",L247+M247)</f>
        <v>0.199182303678673</v>
      </c>
    </row>
    <row r="248" customFormat="false" ht="15" hidden="false" customHeight="false" outlineLevel="0" collapsed="false">
      <c r="A248" s="8" t="s">
        <v>19</v>
      </c>
      <c r="B248" s="48" t="n">
        <v>2012</v>
      </c>
      <c r="C248" s="10" t="n">
        <f aca="false">IF(D248&gt;0,1,0)</f>
        <v>1</v>
      </c>
      <c r="D248" s="9" t="n">
        <f aca="false">IF(SUMIFS(Sales!$F$3:$F$500,Sales!$C$3:$C$500,$A248,Sales!$B$3:$B$500,"&lt;="&amp;DATE($B248-1,12,31))&gt;0,0,SUMIFS('Asset Value'!$I$4:$I$500,'Asset Value'!$C$4:$C$500,$A248,'Asset Value'!$B$4:$B$500,$B248-1)/1000)</f>
        <v>111513.382599516</v>
      </c>
      <c r="E248" s="9" t="n">
        <f aca="false">IF(SUMIFS(Sales!$F$3:$F$500,Sales!$C$3:$C$500,$A248,Sales!$B$3:$B$500,"&gt;="&amp;DATE($B248,1,1),Sales!$B$3:$B$500,"&lt;="&amp;DATE($B248,12,31))&gt;0,SUMIFS(Sales!$F$3:$F$500,Sales!$C$3:$C$500,$A248,Sales!$B$3:$B$500,"&gt;="&amp;DATE($B248,1,1),Sales!$B$3:$B$500,"&lt;="&amp;DATE($B248,12,31))/1000,SUMIFS('Asset Value'!$I$4:$I$500,'Asset Value'!$C$4:$C$500,$A248,'Asset Value'!$B$4:$B$500,$B248)/1000)</f>
        <v>106179.830608627</v>
      </c>
      <c r="F248" s="9" t="n">
        <f aca="false">SUMIFS(Rent!$G$3:$G$500,Rent!$D$3:$D$500,$A248,Rent!$C$3:$C$500,$B248)/1000</f>
        <v>3192.5204366342</v>
      </c>
      <c r="G248" s="9" t="n">
        <f aca="false">SUMIFS(Costs!$F$3:$F$500,Costs!$C$3:$C$500,$A248,Costs!$B$3:$B$500,"&gt;="&amp;DATE($B248,1,1),Costs!$B$3:$B$500,"&lt;="&amp;DATE($B248,12,31))/1000</f>
        <v>0</v>
      </c>
      <c r="H248" s="9" t="n">
        <f aca="false">SUMIFS('Partial Sales'!$F$3:$F$500,'Partial Sales'!$C$3:$C$500,$A248,'Partial Sales'!$B$3:$B$500,"&gt;="&amp;DATE($B248,1,1),'Partial Sales'!$B$3:$B$500,"&lt;="&amp;DATE($B248,12,31))/1000</f>
        <v>0</v>
      </c>
      <c r="I248" s="9" t="n">
        <f aca="false">SUMIFS('Partial Purchases'!$F$3:$F$500,'Partial Purchases'!$C$3:$C$500,$A248,'Partial Purchases'!$B$3:$B$500,"&gt;="&amp;DATE($B248,1,1),'Partial Purchases'!$B$3:$B$500,"&lt;="&amp;DATE($B248,12,31))/1000</f>
        <v>0</v>
      </c>
      <c r="J248" s="9" t="n">
        <f aca="false">C248*(D248+0.5*(G248-H248+I248-F248))</f>
        <v>109917.122381199</v>
      </c>
      <c r="K248" s="9" t="n">
        <f aca="false">C248*(E248-D248+H248-G248-I248)</f>
        <v>-5333.55199088847</v>
      </c>
      <c r="L248" s="13" t="n">
        <f aca="false">IF(J248=0,"",C248*F248/J248)</f>
        <v>0.029044796365414</v>
      </c>
      <c r="M248" s="13" t="n">
        <f aca="false">IF(J248=0,"",K248/J248)</f>
        <v>-0.0485233954032332</v>
      </c>
      <c r="N248" s="13" t="n">
        <f aca="false">IF(J248=0,"",L248+M248)</f>
        <v>-0.0194785990378193</v>
      </c>
    </row>
    <row r="249" customFormat="false" ht="15" hidden="false" customHeight="false" outlineLevel="0" collapsed="false">
      <c r="A249" s="8" t="s">
        <v>19</v>
      </c>
      <c r="B249" s="48" t="n">
        <v>2013</v>
      </c>
      <c r="C249" s="10" t="n">
        <f aca="false">IF(D249&gt;0,1,0)</f>
        <v>1</v>
      </c>
      <c r="D249" s="9" t="n">
        <f aca="false">IF(SUMIFS(Sales!$F$3:$F$500,Sales!$C$3:$C$500,$A249,Sales!$B$3:$B$500,"&lt;="&amp;DATE($B249-1,12,31))&gt;0,0,SUMIFS('Asset Value'!$I$4:$I$500,'Asset Value'!$C$4:$C$500,$A249,'Asset Value'!$B$4:$B$500,$B249-1)/1000)</f>
        <v>106179.830608627</v>
      </c>
      <c r="E249" s="9" t="n">
        <f aca="false">IF(SUMIFS(Sales!$F$3:$F$500,Sales!$C$3:$C$500,$A249,Sales!$B$3:$B$500,"&gt;="&amp;DATE($B249,1,1),Sales!$B$3:$B$500,"&lt;="&amp;DATE($B249,12,31))&gt;0,SUMIFS(Sales!$F$3:$F$500,Sales!$C$3:$C$500,$A249,Sales!$B$3:$B$500,"&gt;="&amp;DATE($B249,1,1),Sales!$B$3:$B$500,"&lt;="&amp;DATE($B249,12,31))/1000,SUMIFS('Asset Value'!$I$4:$I$500,'Asset Value'!$C$4:$C$500,$A249,'Asset Value'!$B$4:$B$500,$B249)/1000)</f>
        <v>98702.9785736284</v>
      </c>
      <c r="F249" s="9" t="n">
        <f aca="false">SUMIFS(Rent!$G$3:$G$500,Rent!$D$3:$D$500,$A249,Rent!$C$3:$C$500,$B249)/1000</f>
        <v>2520.0683176772</v>
      </c>
      <c r="G249" s="9" t="n">
        <f aca="false">SUMIFS(Costs!$F$3:$F$500,Costs!$C$3:$C$500,$A249,Costs!$B$3:$B$500,"&gt;="&amp;DATE($B249,1,1),Costs!$B$3:$B$500,"&lt;="&amp;DATE($B249,12,31))/1000</f>
        <v>0</v>
      </c>
      <c r="H249" s="9" t="n">
        <f aca="false">SUMIFS('Partial Sales'!$F$3:$F$500,'Partial Sales'!$C$3:$C$500,$A249,'Partial Sales'!$B$3:$B$500,"&gt;="&amp;DATE($B249,1,1),'Partial Sales'!$B$3:$B$500,"&lt;="&amp;DATE($B249,12,31))/1000</f>
        <v>0</v>
      </c>
      <c r="I249" s="9" t="n">
        <f aca="false">SUMIFS('Partial Purchases'!$F$3:$F$500,'Partial Purchases'!$C$3:$C$500,$A249,'Partial Purchases'!$B$3:$B$500,"&gt;="&amp;DATE($B249,1,1),'Partial Purchases'!$B$3:$B$500,"&lt;="&amp;DATE($B249,12,31))/1000</f>
        <v>0</v>
      </c>
      <c r="J249" s="9" t="n">
        <f aca="false">C249*(D249+0.5*(G249-H249+I249-F249))</f>
        <v>104919.796449789</v>
      </c>
      <c r="K249" s="9" t="n">
        <f aca="false">C249*(E249-D249+H249-G249-I249)</f>
        <v>-7476.85203499874</v>
      </c>
      <c r="L249" s="13" t="n">
        <f aca="false">IF(J249=0,"",C249*F249/J249)</f>
        <v>0.0240189973956271</v>
      </c>
      <c r="M249" s="13" t="n">
        <f aca="false">IF(J249=0,"",K249/J249)</f>
        <v>-0.0712625480414169</v>
      </c>
      <c r="N249" s="13" t="n">
        <f aca="false">IF(J249=0,"",L249+M249)</f>
        <v>-0.0472435506457898</v>
      </c>
    </row>
    <row r="250" customFormat="false" ht="15" hidden="false" customHeight="false" outlineLevel="0" collapsed="false">
      <c r="A250" s="8" t="s">
        <v>19</v>
      </c>
      <c r="B250" s="48" t="n">
        <v>2014</v>
      </c>
      <c r="C250" s="10" t="n">
        <f aca="false">IF(D250&gt;0,1,0)</f>
        <v>1</v>
      </c>
      <c r="D250" s="9" t="n">
        <f aca="false">IF(SUMIFS(Sales!$F$3:$F$500,Sales!$C$3:$C$500,$A250,Sales!$B$3:$B$500,"&lt;="&amp;DATE($B250-1,12,31))&gt;0,0,SUMIFS('Asset Value'!$I$4:$I$500,'Asset Value'!$C$4:$C$500,$A250,'Asset Value'!$B$4:$B$500,$B250-1)/1000)</f>
        <v>98702.9785736284</v>
      </c>
      <c r="E250" s="9" t="n">
        <f aca="false">IF(SUMIFS(Sales!$F$3:$F$500,Sales!$C$3:$C$500,$A250,Sales!$B$3:$B$500,"&gt;="&amp;DATE($B250,1,1),Sales!$B$3:$B$500,"&lt;="&amp;DATE($B250,12,31))&gt;0,SUMIFS(Sales!$F$3:$F$500,Sales!$C$3:$C$500,$A250,Sales!$B$3:$B$500,"&gt;="&amp;DATE($B250,1,1),Sales!$B$3:$B$500,"&lt;="&amp;DATE($B250,12,31))/1000,SUMIFS('Asset Value'!$I$4:$I$500,'Asset Value'!$C$4:$C$500,$A250,'Asset Value'!$B$4:$B$500,$B250)/1000)</f>
        <v>119075.789659432</v>
      </c>
      <c r="F250" s="9" t="n">
        <f aca="false">SUMIFS(Rent!$G$3:$G$500,Rent!$D$3:$D$500,$A250,Rent!$C$3:$C$500,$B250)/1000</f>
        <v>2472.88748305468</v>
      </c>
      <c r="G250" s="9" t="n">
        <f aca="false">SUMIFS(Costs!$F$3:$F$500,Costs!$C$3:$C$500,$A250,Costs!$B$3:$B$500,"&gt;="&amp;DATE($B250,1,1),Costs!$B$3:$B$500,"&lt;="&amp;DATE($B250,12,31))/1000</f>
        <v>0</v>
      </c>
      <c r="H250" s="9" t="n">
        <f aca="false">SUMIFS('Partial Sales'!$F$3:$F$500,'Partial Sales'!$C$3:$C$500,$A250,'Partial Sales'!$B$3:$B$500,"&gt;="&amp;DATE($B250,1,1),'Partial Sales'!$B$3:$B$500,"&lt;="&amp;DATE($B250,12,31))/1000</f>
        <v>0</v>
      </c>
      <c r="I250" s="9" t="n">
        <f aca="false">SUMIFS('Partial Purchases'!$F$3:$F$500,'Partial Purchases'!$C$3:$C$500,$A250,'Partial Purchases'!$B$3:$B$500,"&gt;="&amp;DATE($B250,1,1),'Partial Purchases'!$B$3:$B$500,"&lt;="&amp;DATE($B250,12,31))/1000</f>
        <v>0</v>
      </c>
      <c r="J250" s="9" t="n">
        <f aca="false">C250*(D250+0.5*(G250-H250+I250-F250))</f>
        <v>97466.5348321011</v>
      </c>
      <c r="K250" s="9" t="n">
        <f aca="false">C250*(E250-D250+H250-G250-I250)</f>
        <v>20372.8110858034</v>
      </c>
      <c r="L250" s="13" t="n">
        <f aca="false">IF(J250=0,"",C250*F250/J250)</f>
        <v>0.0253716569211633</v>
      </c>
      <c r="M250" s="13" t="n">
        <f aca="false">IF(J250=0,"",K250/J250)</f>
        <v>0.20902365228125</v>
      </c>
      <c r="N250" s="13" t="n">
        <f aca="false">IF(J250=0,"",L250+M250)</f>
        <v>0.234395309202413</v>
      </c>
    </row>
    <row r="251" customFormat="false" ht="15" hidden="false" customHeight="false" outlineLevel="0" collapsed="false">
      <c r="A251" s="49" t="s">
        <v>19</v>
      </c>
      <c r="B251" s="50" t="n">
        <v>2015</v>
      </c>
      <c r="C251" s="51" t="n">
        <f aca="false">IF(D251&gt;0,1,0)</f>
        <v>1</v>
      </c>
      <c r="D251" s="52" t="n">
        <f aca="false">IF(SUMIFS(Sales!$F$3:$F$500,Sales!$C$3:$C$500,$A251,Sales!$B$3:$B$500,"&lt;="&amp;DATE($B251-1,12,31))&gt;0,0,SUMIFS('Asset Value'!$I$4:$I$500,'Asset Value'!$C$4:$C$500,$A251,'Asset Value'!$B$4:$B$500,$B251-1)/1000)</f>
        <v>119075.789659432</v>
      </c>
      <c r="E251" s="52" t="n">
        <f aca="false">IF(SUMIFS(Sales!$F$3:$F$500,Sales!$C$3:$C$500,$A251,Sales!$B$3:$B$500,"&gt;="&amp;DATE($B251,1,1),Sales!$B$3:$B$500,"&lt;="&amp;DATE($B251,12,31))&gt;0,SUMIFS(Sales!$F$3:$F$500,Sales!$C$3:$C$500,$A251,Sales!$B$3:$B$500,"&gt;="&amp;DATE($B251,1,1),Sales!$B$3:$B$500,"&lt;="&amp;DATE($B251,12,31))/1000,SUMIFS('Asset Value'!$I$4:$I$500,'Asset Value'!$C$4:$C$500,$A251,'Asset Value'!$B$4:$B$500,$B251)/1000)</f>
        <v>85725.231331408</v>
      </c>
      <c r="F251" s="52" t="n">
        <f aca="false">SUMIFS(Rent!$G$3:$G$500,Rent!$D$3:$D$500,$A251,Rent!$C$3:$C$500,$B251)/1000</f>
        <v>2128.98929358127</v>
      </c>
      <c r="G251" s="52" t="n">
        <f aca="false">SUMIFS(Costs!$F$3:$F$500,Costs!$C$3:$C$500,$A251,Costs!$B$3:$B$500,"&gt;="&amp;DATE($B251,1,1),Costs!$B$3:$B$500,"&lt;="&amp;DATE($B251,12,31))/1000</f>
        <v>0</v>
      </c>
      <c r="H251" s="52" t="n">
        <f aca="false">SUMIFS('Partial Sales'!$F$3:$F$500,'Partial Sales'!$C$3:$C$500,$A251,'Partial Sales'!$B$3:$B$500,"&gt;="&amp;DATE($B251,1,1),'Partial Sales'!$B$3:$B$500,"&lt;="&amp;DATE($B251,12,31))/1000</f>
        <v>0</v>
      </c>
      <c r="I251" s="52" t="n">
        <f aca="false">SUMIFS('Partial Purchases'!$F$3:$F$500,'Partial Purchases'!$C$3:$C$500,$A251,'Partial Purchases'!$B$3:$B$500,"&gt;="&amp;DATE($B251,1,1),'Partial Purchases'!$B$3:$B$500,"&lt;="&amp;DATE($B251,12,31))/1000</f>
        <v>0</v>
      </c>
      <c r="J251" s="52" t="n">
        <f aca="false">C251*(D251+0.5*(G251-H251+I251-F251))</f>
        <v>118011.295012641</v>
      </c>
      <c r="K251" s="52" t="n">
        <f aca="false">C251*(E251-D251+H251-G251-I251)</f>
        <v>-33350.5583280238</v>
      </c>
      <c r="L251" s="46" t="n">
        <f aca="false">IF(J251=0,"",C251*F251/J251)</f>
        <v>0.0180405552989925</v>
      </c>
      <c r="M251" s="46" t="n">
        <f aca="false">IF(J251=0,"",K251/J251)</f>
        <v>-0.282604799180039</v>
      </c>
      <c r="N251" s="46" t="n">
        <f aca="false">IF(J251=0,"",L251+M251)</f>
        <v>-0.264564243881046</v>
      </c>
    </row>
    <row r="252" customFormat="false" ht="15" hidden="false" customHeight="false" outlineLevel="0" collapsed="false">
      <c r="A252" s="8" t="s">
        <v>20</v>
      </c>
      <c r="B252" s="48" t="n">
        <v>2008</v>
      </c>
      <c r="C252" s="10" t="n">
        <f aca="false">IF(D252&gt;0,1,0)</f>
        <v>0</v>
      </c>
      <c r="D252" s="9" t="n">
        <f aca="false">IF(SUMIFS(Sales!$F$3:$F$500,Sales!$C$3:$C$500,$A252,Sales!$B$3:$B$500,"&lt;="&amp;DATE($B252-1,12,31))&gt;0,0,SUMIFS('Asset Value'!$I$4:$I$500,'Asset Value'!$C$4:$C$500,$A252,'Asset Value'!$B$4:$B$500,$B252-1)/1000)</f>
        <v>0</v>
      </c>
      <c r="E252" s="9" t="n">
        <f aca="false">IF(SUMIFS(Sales!$F$3:$F$500,Sales!$C$3:$C$500,$A252,Sales!$B$3:$B$500,"&gt;="&amp;DATE($B252,1,1),Sales!$B$3:$B$500,"&lt;="&amp;DATE($B252,12,31))&gt;0,SUMIFS(Sales!$F$3:$F$500,Sales!$C$3:$C$500,$A252,Sales!$B$3:$B$500,"&gt;="&amp;DATE($B252,1,1),Sales!$B$3:$B$500,"&lt;="&amp;DATE($B252,12,31))/1000,SUMIFS('Asset Value'!$I$4:$I$500,'Asset Value'!$C$4:$C$500,$A252,'Asset Value'!$B$4:$B$500,$B252)/1000)</f>
        <v>123167.694497154</v>
      </c>
      <c r="F252" s="9" t="n">
        <f aca="false">SUMIFS(Rent!$G$3:$G$500,Rent!$D$3:$D$500,$A252,Rent!$C$3:$C$500,$B252)/1000</f>
        <v>2602.04364352367</v>
      </c>
      <c r="G252" s="9" t="n">
        <f aca="false">SUMIFS(Costs!$F$3:$F$500,Costs!$C$3:$C$500,$A252,Costs!$B$3:$B$500,"&gt;="&amp;DATE($B252,1,1),Costs!$B$3:$B$500,"&lt;="&amp;DATE($B252,12,31))/1000</f>
        <v>0</v>
      </c>
      <c r="H252" s="9" t="n">
        <f aca="false">SUMIFS('Partial Sales'!$F$3:$F$500,'Partial Sales'!$C$3:$C$500,$A252,'Partial Sales'!$B$3:$B$500,"&gt;="&amp;DATE($B252,1,1),'Partial Sales'!$B$3:$B$500,"&lt;="&amp;DATE($B252,12,31))/1000</f>
        <v>0</v>
      </c>
      <c r="I252" s="9" t="n">
        <f aca="false">SUMIFS('Partial Purchases'!$F$3:$F$500,'Partial Purchases'!$C$3:$C$500,$A252,'Partial Purchases'!$B$3:$B$500,"&gt;="&amp;DATE($B252,1,1),'Partial Purchases'!$B$3:$B$500,"&lt;="&amp;DATE($B252,12,31))/1000</f>
        <v>0</v>
      </c>
      <c r="J252" s="9" t="n">
        <f aca="false">C252*(D252+0.5*(G252-H252+I252-F252))</f>
        <v>-0</v>
      </c>
      <c r="K252" s="9" t="n">
        <f aca="false">C252*(E252-D252+H252-G252-I252)</f>
        <v>0</v>
      </c>
      <c r="L252" s="13" t="str">
        <f aca="false">IF(J252=0,"",C252*F252/J252)</f>
        <v/>
      </c>
      <c r="M252" s="13" t="str">
        <f aca="false">IF(J252=0,"",K252/J252)</f>
        <v/>
      </c>
      <c r="N252" s="13" t="str">
        <f aca="false">IF(J252=0,"",L252+M252)</f>
        <v/>
      </c>
    </row>
    <row r="253" customFormat="false" ht="15" hidden="false" customHeight="false" outlineLevel="0" collapsed="false">
      <c r="A253" s="8" t="s">
        <v>20</v>
      </c>
      <c r="B253" s="48" t="n">
        <v>2009</v>
      </c>
      <c r="C253" s="10" t="n">
        <f aca="false">IF(D253&gt;0,1,0)</f>
        <v>1</v>
      </c>
      <c r="D253" s="9" t="n">
        <f aca="false">IF(SUMIFS(Sales!$F$3:$F$500,Sales!$C$3:$C$500,$A253,Sales!$B$3:$B$500,"&lt;="&amp;DATE($B253-1,12,31))&gt;0,0,SUMIFS('Asset Value'!$I$4:$I$500,'Asset Value'!$C$4:$C$500,$A253,'Asset Value'!$B$4:$B$500,$B253-1)/1000)</f>
        <v>123167.694497154</v>
      </c>
      <c r="E253" s="9" t="n">
        <f aca="false">IF(SUMIFS(Sales!$F$3:$F$500,Sales!$C$3:$C$500,$A253,Sales!$B$3:$B$500,"&gt;="&amp;DATE($B253,1,1),Sales!$B$3:$B$500,"&lt;="&amp;DATE($B253,12,31))&gt;0,SUMIFS(Sales!$F$3:$F$500,Sales!$C$3:$C$500,$A253,Sales!$B$3:$B$500,"&gt;="&amp;DATE($B253,1,1),Sales!$B$3:$B$500,"&lt;="&amp;DATE($B253,12,31))/1000,SUMIFS('Asset Value'!$I$4:$I$500,'Asset Value'!$C$4:$C$500,$A253,'Asset Value'!$B$4:$B$500,$B253)/1000)</f>
        <v>116612.038140644</v>
      </c>
      <c r="F253" s="9" t="n">
        <f aca="false">SUMIFS(Rent!$G$3:$G$500,Rent!$D$3:$D$500,$A253,Rent!$C$3:$C$500,$B253)/1000</f>
        <v>3409.65225235578</v>
      </c>
      <c r="G253" s="9" t="n">
        <f aca="false">SUMIFS(Costs!$F$3:$F$500,Costs!$C$3:$C$500,$A253,Costs!$B$3:$B$500,"&gt;="&amp;DATE($B253,1,1),Costs!$B$3:$B$500,"&lt;="&amp;DATE($B253,12,31))/1000</f>
        <v>0</v>
      </c>
      <c r="H253" s="9" t="n">
        <f aca="false">SUMIFS('Partial Sales'!$F$3:$F$500,'Partial Sales'!$C$3:$C$500,$A253,'Partial Sales'!$B$3:$B$500,"&gt;="&amp;DATE($B253,1,1),'Partial Sales'!$B$3:$B$500,"&lt;="&amp;DATE($B253,12,31))/1000</f>
        <v>0</v>
      </c>
      <c r="I253" s="9" t="n">
        <f aca="false">SUMIFS('Partial Purchases'!$F$3:$F$500,'Partial Purchases'!$C$3:$C$500,$A253,'Partial Purchases'!$B$3:$B$500,"&gt;="&amp;DATE($B253,1,1),'Partial Purchases'!$B$3:$B$500,"&lt;="&amp;DATE($B253,12,31))/1000</f>
        <v>0</v>
      </c>
      <c r="J253" s="9" t="n">
        <f aca="false">C253*(D253+0.5*(G253-H253+I253-F253))</f>
        <v>121462.868370976</v>
      </c>
      <c r="K253" s="9" t="n">
        <f aca="false">C253*(E253-D253+H253-G253-I253)</f>
        <v>-6555.6563565101</v>
      </c>
      <c r="L253" s="13" t="n">
        <f aca="false">IF(J253=0,"",C253*F253/J253)</f>
        <v>0.028071560453701</v>
      </c>
      <c r="M253" s="13" t="n">
        <f aca="false">IF(J253=0,"",K253/J253)</f>
        <v>-0.0539725139413602</v>
      </c>
      <c r="N253" s="13" t="n">
        <f aca="false">IF(J253=0,"",L253+M253)</f>
        <v>-0.0259009534876592</v>
      </c>
    </row>
    <row r="254" customFormat="false" ht="15" hidden="false" customHeight="false" outlineLevel="0" collapsed="false">
      <c r="A254" s="8" t="s">
        <v>20</v>
      </c>
      <c r="B254" s="48" t="n">
        <v>2010</v>
      </c>
      <c r="C254" s="10" t="n">
        <f aca="false">IF(D254&gt;0,1,0)</f>
        <v>1</v>
      </c>
      <c r="D254" s="9" t="n">
        <f aca="false">IF(SUMIFS(Sales!$F$3:$F$500,Sales!$C$3:$C$500,$A254,Sales!$B$3:$B$500,"&lt;="&amp;DATE($B254-1,12,31))&gt;0,0,SUMIFS('Asset Value'!$I$4:$I$500,'Asset Value'!$C$4:$C$500,$A254,'Asset Value'!$B$4:$B$500,$B254-1)/1000)</f>
        <v>116612.038140644</v>
      </c>
      <c r="E254" s="9" t="n">
        <f aca="false">IF(SUMIFS(Sales!$F$3:$F$500,Sales!$C$3:$C$500,$A254,Sales!$B$3:$B$500,"&gt;="&amp;DATE($B254,1,1),Sales!$B$3:$B$500,"&lt;="&amp;DATE($B254,12,31))&gt;0,SUMIFS(Sales!$F$3:$F$500,Sales!$C$3:$C$500,$A254,Sales!$B$3:$B$500,"&gt;="&amp;DATE($B254,1,1),Sales!$B$3:$B$500,"&lt;="&amp;DATE($B254,12,31))/1000,SUMIFS('Asset Value'!$I$4:$I$500,'Asset Value'!$C$4:$C$500,$A254,'Asset Value'!$B$4:$B$500,$B254)/1000)</f>
        <v>139790.727251705</v>
      </c>
      <c r="F254" s="9" t="n">
        <f aca="false">SUMIFS(Rent!$G$3:$G$500,Rent!$D$3:$D$500,$A254,Rent!$C$3:$C$500,$B254)/1000</f>
        <v>4084.64768824307</v>
      </c>
      <c r="G254" s="9" t="n">
        <f aca="false">SUMIFS(Costs!$F$3:$F$500,Costs!$C$3:$C$500,$A254,Costs!$B$3:$B$500,"&gt;="&amp;DATE($B254,1,1),Costs!$B$3:$B$500,"&lt;="&amp;DATE($B254,12,31))/1000</f>
        <v>0</v>
      </c>
      <c r="H254" s="9" t="n">
        <f aca="false">SUMIFS('Partial Sales'!$F$3:$F$500,'Partial Sales'!$C$3:$C$500,$A254,'Partial Sales'!$B$3:$B$500,"&gt;="&amp;DATE($B254,1,1),'Partial Sales'!$B$3:$B$500,"&lt;="&amp;DATE($B254,12,31))/1000</f>
        <v>0</v>
      </c>
      <c r="I254" s="9" t="n">
        <f aca="false">SUMIFS('Partial Purchases'!$F$3:$F$500,'Partial Purchases'!$C$3:$C$500,$A254,'Partial Purchases'!$B$3:$B$500,"&gt;="&amp;DATE($B254,1,1),'Partial Purchases'!$B$3:$B$500,"&lt;="&amp;DATE($B254,12,31))/1000</f>
        <v>0</v>
      </c>
      <c r="J254" s="9" t="n">
        <f aca="false">C254*(D254+0.5*(G254-H254+I254-F254))</f>
        <v>114569.714296522</v>
      </c>
      <c r="K254" s="9" t="n">
        <f aca="false">C254*(E254-D254+H254-G254-I254)</f>
        <v>23178.6891110618</v>
      </c>
      <c r="L254" s="13" t="n">
        <f aca="false">IF(J254=0,"",C254*F254/J254)</f>
        <v>0.0356520718701579</v>
      </c>
      <c r="M254" s="13" t="n">
        <f aca="false">IF(J254=0,"",K254/J254)</f>
        <v>0.20231078739598</v>
      </c>
      <c r="N254" s="13" t="n">
        <f aca="false">IF(J254=0,"",L254+M254)</f>
        <v>0.237962859266138</v>
      </c>
    </row>
    <row r="255" customFormat="false" ht="15" hidden="false" customHeight="false" outlineLevel="0" collapsed="false">
      <c r="A255" s="8" t="s">
        <v>20</v>
      </c>
      <c r="B255" s="48" t="n">
        <v>2011</v>
      </c>
      <c r="C255" s="10" t="n">
        <f aca="false">IF(D255&gt;0,1,0)</f>
        <v>1</v>
      </c>
      <c r="D255" s="9" t="n">
        <f aca="false">IF(SUMIFS(Sales!$F$3:$F$500,Sales!$C$3:$C$500,$A255,Sales!$B$3:$B$500,"&lt;="&amp;DATE($B255-1,12,31))&gt;0,0,SUMIFS('Asset Value'!$I$4:$I$500,'Asset Value'!$C$4:$C$500,$A255,'Asset Value'!$B$4:$B$500,$B255-1)/1000)</f>
        <v>139790.727251705</v>
      </c>
      <c r="E255" s="9" t="n">
        <f aca="false">IF(SUMIFS(Sales!$F$3:$F$500,Sales!$C$3:$C$500,$A255,Sales!$B$3:$B$500,"&gt;="&amp;DATE($B255,1,1),Sales!$B$3:$B$500,"&lt;="&amp;DATE($B255,12,31))&gt;0,SUMIFS(Sales!$F$3:$F$500,Sales!$C$3:$C$500,$A255,Sales!$B$3:$B$500,"&gt;="&amp;DATE($B255,1,1),Sales!$B$3:$B$500,"&lt;="&amp;DATE($B255,12,31))/1000,SUMIFS('Asset Value'!$I$4:$I$500,'Asset Value'!$C$4:$C$500,$A255,'Asset Value'!$B$4:$B$500,$B255)/1000)</f>
        <v>170104.949388313</v>
      </c>
      <c r="F255" s="9" t="n">
        <f aca="false">SUMIFS(Rent!$G$3:$G$500,Rent!$D$3:$D$500,$A255,Rent!$C$3:$C$500,$B255)/1000</f>
        <v>2433.8303006773</v>
      </c>
      <c r="G255" s="9" t="n">
        <f aca="false">SUMIFS(Costs!$F$3:$F$500,Costs!$C$3:$C$500,$A255,Costs!$B$3:$B$500,"&gt;="&amp;DATE($B255,1,1),Costs!$B$3:$B$500,"&lt;="&amp;DATE($B255,12,31))/1000</f>
        <v>0</v>
      </c>
      <c r="H255" s="9" t="n">
        <f aca="false">SUMIFS('Partial Sales'!$F$3:$F$500,'Partial Sales'!$C$3:$C$500,$A255,'Partial Sales'!$B$3:$B$500,"&gt;="&amp;DATE($B255,1,1),'Partial Sales'!$B$3:$B$500,"&lt;="&amp;DATE($B255,12,31))/1000</f>
        <v>0</v>
      </c>
      <c r="I255" s="9" t="n">
        <f aca="false">SUMIFS('Partial Purchases'!$F$3:$F$500,'Partial Purchases'!$C$3:$C$500,$A255,'Partial Purchases'!$B$3:$B$500,"&gt;="&amp;DATE($B255,1,1),'Partial Purchases'!$B$3:$B$500,"&lt;="&amp;DATE($B255,12,31))/1000</f>
        <v>0</v>
      </c>
      <c r="J255" s="9" t="n">
        <f aca="false">C255*(D255+0.5*(G255-H255+I255-F255))</f>
        <v>138573.812101367</v>
      </c>
      <c r="K255" s="9" t="n">
        <f aca="false">C255*(E255-D255+H255-G255-I255)</f>
        <v>30314.2221366073</v>
      </c>
      <c r="L255" s="13" t="n">
        <f aca="false">IF(J255=0,"",C255*F255/J255)</f>
        <v>0.0175634217156193</v>
      </c>
      <c r="M255" s="13" t="n">
        <f aca="false">IF(J255=0,"",K255/J255)</f>
        <v>0.218758664980887</v>
      </c>
      <c r="N255" s="13" t="n">
        <f aca="false">IF(J255=0,"",L255+M255)</f>
        <v>0.236322086696506</v>
      </c>
    </row>
    <row r="256" customFormat="false" ht="15" hidden="false" customHeight="false" outlineLevel="0" collapsed="false">
      <c r="A256" s="8" t="s">
        <v>20</v>
      </c>
      <c r="B256" s="48" t="n">
        <v>2012</v>
      </c>
      <c r="C256" s="10" t="n">
        <f aca="false">IF(D256&gt;0,1,0)</f>
        <v>1</v>
      </c>
      <c r="D256" s="9" t="n">
        <f aca="false">IF(SUMIFS(Sales!$F$3:$F$500,Sales!$C$3:$C$500,$A256,Sales!$B$3:$B$500,"&lt;="&amp;DATE($B256-1,12,31))&gt;0,0,SUMIFS('Asset Value'!$I$4:$I$500,'Asset Value'!$C$4:$C$500,$A256,'Asset Value'!$B$4:$B$500,$B256-1)/1000)</f>
        <v>170104.949388313</v>
      </c>
      <c r="E256" s="9" t="n">
        <f aca="false">IF(SUMIFS(Sales!$F$3:$F$500,Sales!$C$3:$C$500,$A256,Sales!$B$3:$B$500,"&gt;="&amp;DATE($B256,1,1),Sales!$B$3:$B$500,"&lt;="&amp;DATE($B256,12,31))&gt;0,SUMIFS(Sales!$F$3:$F$500,Sales!$C$3:$C$500,$A256,Sales!$B$3:$B$500,"&gt;="&amp;DATE($B256,1,1),Sales!$B$3:$B$500,"&lt;="&amp;DATE($B256,12,31))/1000,SUMIFS('Asset Value'!$I$4:$I$500,'Asset Value'!$C$4:$C$500,$A256,'Asset Value'!$B$4:$B$500,$B256)/1000)</f>
        <v>158725.625369313</v>
      </c>
      <c r="F256" s="9" t="n">
        <f aca="false">SUMIFS(Rent!$G$3:$G$500,Rent!$D$3:$D$500,$A256,Rent!$C$3:$C$500,$B256)/1000</f>
        <v>3815.6542170444</v>
      </c>
      <c r="G256" s="9" t="n">
        <f aca="false">SUMIFS(Costs!$F$3:$F$500,Costs!$C$3:$C$500,$A256,Costs!$B$3:$B$500,"&gt;="&amp;DATE($B256,1,1),Costs!$B$3:$B$500,"&lt;="&amp;DATE($B256,12,31))/1000</f>
        <v>0</v>
      </c>
      <c r="H256" s="9" t="n">
        <f aca="false">SUMIFS('Partial Sales'!$F$3:$F$500,'Partial Sales'!$C$3:$C$500,$A256,'Partial Sales'!$B$3:$B$500,"&gt;="&amp;DATE($B256,1,1),'Partial Sales'!$B$3:$B$500,"&lt;="&amp;DATE($B256,12,31))/1000</f>
        <v>0</v>
      </c>
      <c r="I256" s="9" t="n">
        <f aca="false">SUMIFS('Partial Purchases'!$F$3:$F$500,'Partial Purchases'!$C$3:$C$500,$A256,'Partial Purchases'!$B$3:$B$500,"&gt;="&amp;DATE($B256,1,1),'Partial Purchases'!$B$3:$B$500,"&lt;="&amp;DATE($B256,12,31))/1000</f>
        <v>0</v>
      </c>
      <c r="J256" s="9" t="n">
        <f aca="false">C256*(D256+0.5*(G256-H256+I256-F256))</f>
        <v>168197.122279791</v>
      </c>
      <c r="K256" s="9" t="n">
        <f aca="false">C256*(E256-D256+H256-G256-I256)</f>
        <v>-11379.3240190001</v>
      </c>
      <c r="L256" s="13" t="n">
        <f aca="false">IF(J256=0,"",C256*F256/J256)</f>
        <v>0.0226856093928717</v>
      </c>
      <c r="M256" s="13" t="n">
        <f aca="false">IF(J256=0,"",K256/J256)</f>
        <v>-0.0676546891216783</v>
      </c>
      <c r="N256" s="13" t="n">
        <f aca="false">IF(J256=0,"",L256+M256)</f>
        <v>-0.0449690797288067</v>
      </c>
    </row>
    <row r="257" customFormat="false" ht="15" hidden="false" customHeight="false" outlineLevel="0" collapsed="false">
      <c r="A257" s="8" t="s">
        <v>20</v>
      </c>
      <c r="B257" s="48" t="n">
        <v>2013</v>
      </c>
      <c r="C257" s="10" t="n">
        <f aca="false">IF(D257&gt;0,1,0)</f>
        <v>1</v>
      </c>
      <c r="D257" s="9" t="n">
        <f aca="false">IF(SUMIFS(Sales!$F$3:$F$500,Sales!$C$3:$C$500,$A257,Sales!$B$3:$B$500,"&lt;="&amp;DATE($B257-1,12,31))&gt;0,0,SUMIFS('Asset Value'!$I$4:$I$500,'Asset Value'!$C$4:$C$500,$A257,'Asset Value'!$B$4:$B$500,$B257-1)/1000)</f>
        <v>158725.625369313</v>
      </c>
      <c r="E257" s="9" t="n">
        <f aca="false">IF(SUMIFS(Sales!$F$3:$F$500,Sales!$C$3:$C$500,$A257,Sales!$B$3:$B$500,"&gt;="&amp;DATE($B257,1,1),Sales!$B$3:$B$500,"&lt;="&amp;DATE($B257,12,31))&gt;0,SUMIFS(Sales!$F$3:$F$500,Sales!$C$3:$C$500,$A257,Sales!$B$3:$B$500,"&gt;="&amp;DATE($B257,1,1),Sales!$B$3:$B$500,"&lt;="&amp;DATE($B257,12,31))/1000,SUMIFS('Asset Value'!$I$4:$I$500,'Asset Value'!$C$4:$C$500,$A257,'Asset Value'!$B$4:$B$500,$B257)/1000)</f>
        <v>145942.188393682</v>
      </c>
      <c r="F257" s="9" t="n">
        <f aca="false">SUMIFS(Rent!$G$3:$G$500,Rent!$D$3:$D$500,$A257,Rent!$C$3:$C$500,$B257)/1000</f>
        <v>3195.13236549957</v>
      </c>
      <c r="G257" s="9" t="n">
        <f aca="false">SUMIFS(Costs!$F$3:$F$500,Costs!$C$3:$C$500,$A257,Costs!$B$3:$B$500,"&gt;="&amp;DATE($B257,1,1),Costs!$B$3:$B$500,"&lt;="&amp;DATE($B257,12,31))/1000</f>
        <v>0</v>
      </c>
      <c r="H257" s="9" t="n">
        <f aca="false">SUMIFS('Partial Sales'!$F$3:$F$500,'Partial Sales'!$C$3:$C$500,$A257,'Partial Sales'!$B$3:$B$500,"&gt;="&amp;DATE($B257,1,1),'Partial Sales'!$B$3:$B$500,"&lt;="&amp;DATE($B257,12,31))/1000</f>
        <v>0</v>
      </c>
      <c r="I257" s="9" t="n">
        <f aca="false">SUMIFS('Partial Purchases'!$F$3:$F$500,'Partial Purchases'!$C$3:$C$500,$A257,'Partial Purchases'!$B$3:$B$500,"&gt;="&amp;DATE($B257,1,1),'Partial Purchases'!$B$3:$B$500,"&lt;="&amp;DATE($B257,12,31))/1000</f>
        <v>0</v>
      </c>
      <c r="J257" s="9" t="n">
        <f aca="false">C257*(D257+0.5*(G257-H257+I257-F257))</f>
        <v>157128.059186563</v>
      </c>
      <c r="K257" s="9" t="n">
        <f aca="false">C257*(E257-D257+H257-G257-I257)</f>
        <v>-12783.4369756305</v>
      </c>
      <c r="L257" s="13" t="n">
        <f aca="false">IF(J257=0,"",C257*F257/J257)</f>
        <v>0.0203345753905475</v>
      </c>
      <c r="M257" s="13" t="n">
        <f aca="false">IF(J257=0,"",K257/J257)</f>
        <v>-0.081356805664177</v>
      </c>
      <c r="N257" s="13" t="n">
        <f aca="false">IF(J257=0,"",L257+M257)</f>
        <v>-0.0610222302736295</v>
      </c>
    </row>
    <row r="258" customFormat="false" ht="15" hidden="false" customHeight="false" outlineLevel="0" collapsed="false">
      <c r="A258" s="8" t="s">
        <v>20</v>
      </c>
      <c r="B258" s="48" t="n">
        <v>2014</v>
      </c>
      <c r="C258" s="10" t="n">
        <f aca="false">IF(D258&gt;0,1,0)</f>
        <v>1</v>
      </c>
      <c r="D258" s="9" t="n">
        <f aca="false">IF(SUMIFS(Sales!$F$3:$F$500,Sales!$C$3:$C$500,$A258,Sales!$B$3:$B$500,"&lt;="&amp;DATE($B258-1,12,31))&gt;0,0,SUMIFS('Asset Value'!$I$4:$I$500,'Asset Value'!$C$4:$C$500,$A258,'Asset Value'!$B$4:$B$500,$B258-1)/1000)</f>
        <v>145942.188393682</v>
      </c>
      <c r="E258" s="9" t="n">
        <f aca="false">IF(SUMIFS(Sales!$F$3:$F$500,Sales!$C$3:$C$500,$A258,Sales!$B$3:$B$500,"&gt;="&amp;DATE($B258,1,1),Sales!$B$3:$B$500,"&lt;="&amp;DATE($B258,12,31))&gt;0,SUMIFS(Sales!$F$3:$F$500,Sales!$C$3:$C$500,$A258,Sales!$B$3:$B$500,"&gt;="&amp;DATE($B258,1,1),Sales!$B$3:$B$500,"&lt;="&amp;DATE($B258,12,31))/1000,SUMIFS('Asset Value'!$I$4:$I$500,'Asset Value'!$C$4:$C$500,$A258,'Asset Value'!$B$4:$B$500,$B258)/1000)</f>
        <v>199955.002646903</v>
      </c>
      <c r="F258" s="9" t="n">
        <f aca="false">SUMIFS(Rent!$G$3:$G$500,Rent!$D$3:$D$500,$A258,Rent!$C$3:$C$500,$B258)/1000</f>
        <v>4014.15875884922</v>
      </c>
      <c r="G258" s="9" t="n">
        <f aca="false">SUMIFS(Costs!$F$3:$F$500,Costs!$C$3:$C$500,$A258,Costs!$B$3:$B$500,"&gt;="&amp;DATE($B258,1,1),Costs!$B$3:$B$500,"&lt;="&amp;DATE($B258,12,31))/1000</f>
        <v>0</v>
      </c>
      <c r="H258" s="9" t="n">
        <f aca="false">SUMIFS('Partial Sales'!$F$3:$F$500,'Partial Sales'!$C$3:$C$500,$A258,'Partial Sales'!$B$3:$B$500,"&gt;="&amp;DATE($B258,1,1),'Partial Sales'!$B$3:$B$500,"&lt;="&amp;DATE($B258,12,31))/1000</f>
        <v>0</v>
      </c>
      <c r="I258" s="9" t="n">
        <f aca="false">SUMIFS('Partial Purchases'!$F$3:$F$500,'Partial Purchases'!$C$3:$C$500,$A258,'Partial Purchases'!$B$3:$B$500,"&gt;="&amp;DATE($B258,1,1),'Partial Purchases'!$B$3:$B$500,"&lt;="&amp;DATE($B258,12,31))/1000</f>
        <v>0</v>
      </c>
      <c r="J258" s="9" t="n">
        <f aca="false">C258*(D258+0.5*(G258-H258+I258-F258))</f>
        <v>143935.109014258</v>
      </c>
      <c r="K258" s="9" t="n">
        <f aca="false">C258*(E258-D258+H258-G258-I258)</f>
        <v>54012.814253221</v>
      </c>
      <c r="L258" s="13" t="n">
        <f aca="false">IF(J258=0,"",C258*F258/J258)</f>
        <v>0.027888670014844</v>
      </c>
      <c r="M258" s="13" t="n">
        <f aca="false">IF(J258=0,"",K258/J258)</f>
        <v>0.375258091115704</v>
      </c>
      <c r="N258" s="13" t="n">
        <f aca="false">IF(J258=0,"",L258+M258)</f>
        <v>0.403146761130548</v>
      </c>
    </row>
    <row r="259" customFormat="false" ht="15" hidden="false" customHeight="false" outlineLevel="0" collapsed="false">
      <c r="A259" s="49" t="s">
        <v>20</v>
      </c>
      <c r="B259" s="50" t="n">
        <v>2015</v>
      </c>
      <c r="C259" s="51" t="n">
        <f aca="false">IF(D259&gt;0,1,0)</f>
        <v>1</v>
      </c>
      <c r="D259" s="52" t="n">
        <f aca="false">IF(SUMIFS(Sales!$F$3:$F$500,Sales!$C$3:$C$500,$A259,Sales!$B$3:$B$500,"&lt;="&amp;DATE($B259-1,12,31))&gt;0,0,SUMIFS('Asset Value'!$I$4:$I$500,'Asset Value'!$C$4:$C$500,$A259,'Asset Value'!$B$4:$B$500,$B259-1)/1000)</f>
        <v>199955.002646903</v>
      </c>
      <c r="E259" s="52" t="n">
        <f aca="false">IF(SUMIFS(Sales!$F$3:$F$500,Sales!$C$3:$C$500,$A259,Sales!$B$3:$B$500,"&gt;="&amp;DATE($B259,1,1),Sales!$B$3:$B$500,"&lt;="&amp;DATE($B259,12,31))&gt;0,SUMIFS(Sales!$F$3:$F$500,Sales!$C$3:$C$500,$A259,Sales!$B$3:$B$500,"&gt;="&amp;DATE($B259,1,1),Sales!$B$3:$B$500,"&lt;="&amp;DATE($B259,12,31))/1000,SUMIFS('Asset Value'!$I$4:$I$500,'Asset Value'!$C$4:$C$500,$A259,'Asset Value'!$B$4:$B$500,$B259)/1000)</f>
        <v>139550.303530383</v>
      </c>
      <c r="F259" s="52" t="n">
        <f aca="false">SUMIFS(Rent!$G$3:$G$500,Rent!$D$3:$D$500,$A259,Rent!$C$3:$C$500,$B259)/1000</f>
        <v>3344.34711336509</v>
      </c>
      <c r="G259" s="52" t="n">
        <f aca="false">SUMIFS(Costs!$F$3:$F$500,Costs!$C$3:$C$500,$A259,Costs!$B$3:$B$500,"&gt;="&amp;DATE($B259,1,1),Costs!$B$3:$B$500,"&lt;="&amp;DATE($B259,12,31))/1000</f>
        <v>0</v>
      </c>
      <c r="H259" s="52" t="n">
        <f aca="false">SUMIFS('Partial Sales'!$F$3:$F$500,'Partial Sales'!$C$3:$C$500,$A259,'Partial Sales'!$B$3:$B$500,"&gt;="&amp;DATE($B259,1,1),'Partial Sales'!$B$3:$B$500,"&lt;="&amp;DATE($B259,12,31))/1000</f>
        <v>0</v>
      </c>
      <c r="I259" s="52" t="n">
        <f aca="false">SUMIFS('Partial Purchases'!$F$3:$F$500,'Partial Purchases'!$C$3:$C$500,$A259,'Partial Purchases'!$B$3:$B$500,"&gt;="&amp;DATE($B259,1,1),'Partial Purchases'!$B$3:$B$500,"&lt;="&amp;DATE($B259,12,31))/1000</f>
        <v>0</v>
      </c>
      <c r="J259" s="52" t="n">
        <f aca="false">C259*(D259+0.5*(G259-H259+I259-F259))</f>
        <v>198282.829090221</v>
      </c>
      <c r="K259" s="52" t="n">
        <f aca="false">C259*(E259-D259+H259-G259-I259)</f>
        <v>-60404.6991165206</v>
      </c>
      <c r="L259" s="46" t="n">
        <f aca="false">IF(J259=0,"",C259*F259/J259)</f>
        <v>0.0168665493059078</v>
      </c>
      <c r="M259" s="46" t="n">
        <f aca="false">IF(J259=0,"",K259/J259)</f>
        <v>-0.304639082434293</v>
      </c>
      <c r="N259" s="46" t="n">
        <f aca="false">IF(J259=0,"",L259+M259)</f>
        <v>-0.287772533128386</v>
      </c>
    </row>
    <row r="260" customFormat="false" ht="15" hidden="false" customHeight="false" outlineLevel="0" collapsed="false">
      <c r="A260" s="8" t="s">
        <v>21</v>
      </c>
      <c r="B260" s="48" t="n">
        <v>2008</v>
      </c>
      <c r="C260" s="10" t="n">
        <f aca="false">IF(D260&gt;0,1,0)</f>
        <v>0</v>
      </c>
      <c r="D260" s="9" t="n">
        <f aca="false">IF(SUMIFS(Sales!$F$3:$F$500,Sales!$C$3:$C$500,$A260,Sales!$B$3:$B$500,"&lt;="&amp;DATE($B260-1,12,31))&gt;0,0,SUMIFS('Asset Value'!$I$4:$I$500,'Asset Value'!$C$4:$C$500,$A260,'Asset Value'!$B$4:$B$500,$B260-1)/1000)</f>
        <v>0</v>
      </c>
      <c r="E260" s="9" t="n">
        <f aca="false">IF(SUMIFS(Sales!$F$3:$F$500,Sales!$C$3:$C$500,$A260,Sales!$B$3:$B$500,"&gt;="&amp;DATE($B260,1,1),Sales!$B$3:$B$500,"&lt;="&amp;DATE($B260,12,31))&gt;0,SUMIFS(Sales!$F$3:$F$500,Sales!$C$3:$C$500,$A260,Sales!$B$3:$B$500,"&gt;="&amp;DATE($B260,1,1),Sales!$B$3:$B$500,"&lt;="&amp;DATE($B260,12,31))/1000,SUMIFS('Asset Value'!$I$4:$I$500,'Asset Value'!$C$4:$C$500,$A260,'Asset Value'!$B$4:$B$500,$B260)/1000)</f>
        <v>63413.1878557875</v>
      </c>
      <c r="F260" s="9" t="n">
        <f aca="false">SUMIFS(Rent!$G$3:$G$500,Rent!$D$3:$D$500,$A260,Rent!$C$3:$C$500,$B260)/1000</f>
        <v>1595.53661929629</v>
      </c>
      <c r="G260" s="9" t="n">
        <f aca="false">SUMIFS(Costs!$F$3:$F$500,Costs!$C$3:$C$500,$A260,Costs!$B$3:$B$500,"&gt;="&amp;DATE($B260,1,1),Costs!$B$3:$B$500,"&lt;="&amp;DATE($B260,12,31))/1000</f>
        <v>0</v>
      </c>
      <c r="H260" s="9" t="n">
        <f aca="false">SUMIFS('Partial Sales'!$F$3:$F$500,'Partial Sales'!$C$3:$C$500,$A260,'Partial Sales'!$B$3:$B$500,"&gt;="&amp;DATE($B260,1,1),'Partial Sales'!$B$3:$B$500,"&lt;="&amp;DATE($B260,12,31))/1000</f>
        <v>0</v>
      </c>
      <c r="I260" s="9" t="n">
        <f aca="false">SUMIFS('Partial Purchases'!$F$3:$F$500,'Partial Purchases'!$C$3:$C$500,$A260,'Partial Purchases'!$B$3:$B$500,"&gt;="&amp;DATE($B260,1,1),'Partial Purchases'!$B$3:$B$500,"&lt;="&amp;DATE($B260,12,31))/1000</f>
        <v>0</v>
      </c>
      <c r="J260" s="9" t="n">
        <f aca="false">C260*(D260+0.5*(G260-H260+I260-F260))</f>
        <v>-0</v>
      </c>
      <c r="K260" s="9" t="n">
        <f aca="false">C260*(E260-D260+H260-G260-I260)</f>
        <v>0</v>
      </c>
      <c r="L260" s="13" t="str">
        <f aca="false">IF(J260=0,"",C260*F260/J260)</f>
        <v/>
      </c>
      <c r="M260" s="13" t="str">
        <f aca="false">IF(J260=0,"",K260/J260)</f>
        <v/>
      </c>
      <c r="N260" s="13" t="str">
        <f aca="false">IF(J260=0,"",L260+M260)</f>
        <v/>
      </c>
    </row>
    <row r="261" customFormat="false" ht="15" hidden="false" customHeight="false" outlineLevel="0" collapsed="false">
      <c r="A261" s="8" t="s">
        <v>21</v>
      </c>
      <c r="B261" s="48" t="n">
        <v>2009</v>
      </c>
      <c r="C261" s="10" t="n">
        <f aca="false">IF(D261&gt;0,1,0)</f>
        <v>1</v>
      </c>
      <c r="D261" s="9" t="n">
        <f aca="false">IF(SUMIFS(Sales!$F$3:$F$500,Sales!$C$3:$C$500,$A261,Sales!$B$3:$B$500,"&lt;="&amp;DATE($B261-1,12,31))&gt;0,0,SUMIFS('Asset Value'!$I$4:$I$500,'Asset Value'!$C$4:$C$500,$A261,'Asset Value'!$B$4:$B$500,$B261-1)/1000)</f>
        <v>63413.1878557875</v>
      </c>
      <c r="E261" s="9" t="n">
        <f aca="false">IF(SUMIFS(Sales!$F$3:$F$500,Sales!$C$3:$C$500,$A261,Sales!$B$3:$B$500,"&gt;="&amp;DATE($B261,1,1),Sales!$B$3:$B$500,"&lt;="&amp;DATE($B261,12,31))&gt;0,SUMIFS(Sales!$F$3:$F$500,Sales!$C$3:$C$500,$A261,Sales!$B$3:$B$500,"&gt;="&amp;DATE($B261,1,1),Sales!$B$3:$B$500,"&lt;="&amp;DATE($B261,12,31))/1000,SUMIFS('Asset Value'!$I$4:$I$500,'Asset Value'!$C$4:$C$500,$A261,'Asset Value'!$B$4:$B$500,$B261)/1000)</f>
        <v>58621.3746523639</v>
      </c>
      <c r="F261" s="9" t="n">
        <f aca="false">SUMIFS(Rent!$G$3:$G$500,Rent!$D$3:$D$500,$A261,Rent!$C$3:$C$500,$B261)/1000</f>
        <v>2012.72402895886</v>
      </c>
      <c r="G261" s="9" t="n">
        <f aca="false">SUMIFS(Costs!$F$3:$F$500,Costs!$C$3:$C$500,$A261,Costs!$B$3:$B$500,"&gt;="&amp;DATE($B261,1,1),Costs!$B$3:$B$500,"&lt;="&amp;DATE($B261,12,31))/1000</f>
        <v>0</v>
      </c>
      <c r="H261" s="9" t="n">
        <f aca="false">SUMIFS('Partial Sales'!$F$3:$F$500,'Partial Sales'!$C$3:$C$500,$A261,'Partial Sales'!$B$3:$B$500,"&gt;="&amp;DATE($B261,1,1),'Partial Sales'!$B$3:$B$500,"&lt;="&amp;DATE($B261,12,31))/1000</f>
        <v>0</v>
      </c>
      <c r="I261" s="9" t="n">
        <f aca="false">SUMIFS('Partial Purchases'!$F$3:$F$500,'Partial Purchases'!$C$3:$C$500,$A261,'Partial Purchases'!$B$3:$B$500,"&gt;="&amp;DATE($B261,1,1),'Partial Purchases'!$B$3:$B$500,"&lt;="&amp;DATE($B261,12,31))/1000</f>
        <v>0</v>
      </c>
      <c r="J261" s="9" t="n">
        <f aca="false">C261*(D261+0.5*(G261-H261+I261-F261))</f>
        <v>62406.8258413081</v>
      </c>
      <c r="K261" s="9" t="n">
        <f aca="false">C261*(E261-D261+H261-G261-I261)</f>
        <v>-4791.81320342355</v>
      </c>
      <c r="L261" s="13" t="n">
        <f aca="false">IF(J261=0,"",C261*F261/J261)</f>
        <v>0.0322516648111048</v>
      </c>
      <c r="M261" s="13" t="n">
        <f aca="false">IF(J261=0,"",K261/J261)</f>
        <v>-0.0767834790317403</v>
      </c>
      <c r="N261" s="13" t="n">
        <f aca="false">IF(J261=0,"",L261+M261)</f>
        <v>-0.0445318142206355</v>
      </c>
    </row>
    <row r="262" customFormat="false" ht="15" hidden="false" customHeight="false" outlineLevel="0" collapsed="false">
      <c r="A262" s="8" t="s">
        <v>21</v>
      </c>
      <c r="B262" s="48" t="n">
        <v>2010</v>
      </c>
      <c r="C262" s="10" t="n">
        <f aca="false">IF(D262&gt;0,1,0)</f>
        <v>1</v>
      </c>
      <c r="D262" s="9" t="n">
        <f aca="false">IF(SUMIFS(Sales!$F$3:$F$500,Sales!$C$3:$C$500,$A262,Sales!$B$3:$B$500,"&lt;="&amp;DATE($B262-1,12,31))&gt;0,0,SUMIFS('Asset Value'!$I$4:$I$500,'Asset Value'!$C$4:$C$500,$A262,'Asset Value'!$B$4:$B$500,$B262-1)/1000)</f>
        <v>58621.3746523639</v>
      </c>
      <c r="E262" s="9" t="n">
        <f aca="false">IF(SUMIFS(Sales!$F$3:$F$500,Sales!$C$3:$C$500,$A262,Sales!$B$3:$B$500,"&gt;="&amp;DATE($B262,1,1),Sales!$B$3:$B$500,"&lt;="&amp;DATE($B262,12,31))&gt;0,SUMIFS(Sales!$F$3:$F$500,Sales!$C$3:$C$500,$A262,Sales!$B$3:$B$500,"&gt;="&amp;DATE($B262,1,1),Sales!$B$3:$B$500,"&lt;="&amp;DATE($B262,12,31))/1000,SUMIFS('Asset Value'!$I$4:$I$500,'Asset Value'!$C$4:$C$500,$A262,'Asset Value'!$B$4:$B$500,$B262)/1000)</f>
        <v>82188.6923343739</v>
      </c>
      <c r="F262" s="9" t="n">
        <f aca="false">SUMIFS(Rent!$G$3:$G$500,Rent!$D$3:$D$500,$A262,Rent!$C$3:$C$500,$B262)/1000</f>
        <v>2346.06151675273</v>
      </c>
      <c r="G262" s="9" t="n">
        <f aca="false">SUMIFS(Costs!$F$3:$F$500,Costs!$C$3:$C$500,$A262,Costs!$B$3:$B$500,"&gt;="&amp;DATE($B262,1,1),Costs!$B$3:$B$500,"&lt;="&amp;DATE($B262,12,31))/1000</f>
        <v>0</v>
      </c>
      <c r="H262" s="9" t="n">
        <f aca="false">SUMIFS('Partial Sales'!$F$3:$F$500,'Partial Sales'!$C$3:$C$500,$A262,'Partial Sales'!$B$3:$B$500,"&gt;="&amp;DATE($B262,1,1),'Partial Sales'!$B$3:$B$500,"&lt;="&amp;DATE($B262,12,31))/1000</f>
        <v>0</v>
      </c>
      <c r="I262" s="9" t="n">
        <f aca="false">SUMIFS('Partial Purchases'!$F$3:$F$500,'Partial Purchases'!$C$3:$C$500,$A262,'Partial Purchases'!$B$3:$B$500,"&gt;="&amp;DATE($B262,1,1),'Partial Purchases'!$B$3:$B$500,"&lt;="&amp;DATE($B262,12,31))/1000</f>
        <v>0</v>
      </c>
      <c r="J262" s="9" t="n">
        <f aca="false">C262*(D262+0.5*(G262-H262+I262-F262))</f>
        <v>57448.3438939876</v>
      </c>
      <c r="K262" s="9" t="n">
        <f aca="false">C262*(E262-D262+H262-G262-I262)</f>
        <v>23567.31768201</v>
      </c>
      <c r="L262" s="13" t="n">
        <f aca="false">IF(J262=0,"",C262*F262/J262)</f>
        <v>0.0408377571524436</v>
      </c>
      <c r="M262" s="13" t="n">
        <f aca="false">IF(J262=0,"",K262/J262)</f>
        <v>0.410234936023569</v>
      </c>
      <c r="N262" s="13" t="n">
        <f aca="false">IF(J262=0,"",L262+M262)</f>
        <v>0.451072693176013</v>
      </c>
    </row>
    <row r="263" customFormat="false" ht="15" hidden="false" customHeight="false" outlineLevel="0" collapsed="false">
      <c r="A263" s="8" t="s">
        <v>21</v>
      </c>
      <c r="B263" s="48" t="n">
        <v>2011</v>
      </c>
      <c r="C263" s="10" t="n">
        <f aca="false">IF(D263&gt;0,1,0)</f>
        <v>1</v>
      </c>
      <c r="D263" s="9" t="n">
        <f aca="false">IF(SUMIFS(Sales!$F$3:$F$500,Sales!$C$3:$C$500,$A263,Sales!$B$3:$B$500,"&lt;="&amp;DATE($B263-1,12,31))&gt;0,0,SUMIFS('Asset Value'!$I$4:$I$500,'Asset Value'!$C$4:$C$500,$A263,'Asset Value'!$B$4:$B$500,$B263-1)/1000)</f>
        <v>82188.6923343739</v>
      </c>
      <c r="E263" s="9" t="n">
        <f aca="false">IF(SUMIFS(Sales!$F$3:$F$500,Sales!$C$3:$C$500,$A263,Sales!$B$3:$B$500,"&gt;="&amp;DATE($B263,1,1),Sales!$B$3:$B$500,"&lt;="&amp;DATE($B263,12,31))&gt;0,SUMIFS(Sales!$F$3:$F$500,Sales!$C$3:$C$500,$A263,Sales!$B$3:$B$500,"&gt;="&amp;DATE($B263,1,1),Sales!$B$3:$B$500,"&lt;="&amp;DATE($B263,12,31))/1000,SUMIFS('Asset Value'!$I$4:$I$500,'Asset Value'!$C$4:$C$500,$A263,'Asset Value'!$B$4:$B$500,$B263)/1000)</f>
        <v>107414.767434639</v>
      </c>
      <c r="F263" s="9" t="n">
        <f aca="false">SUMIFS(Rent!$G$3:$G$500,Rent!$D$3:$D$500,$A263,Rent!$C$3:$C$500,$B263)/1000</f>
        <v>2355.84728281158</v>
      </c>
      <c r="G263" s="9" t="n">
        <f aca="false">SUMIFS(Costs!$F$3:$F$500,Costs!$C$3:$C$500,$A263,Costs!$B$3:$B$500,"&gt;="&amp;DATE($B263,1,1),Costs!$B$3:$B$500,"&lt;="&amp;DATE($B263,12,31))/1000</f>
        <v>0</v>
      </c>
      <c r="H263" s="9" t="n">
        <f aca="false">SUMIFS('Partial Sales'!$F$3:$F$500,'Partial Sales'!$C$3:$C$500,$A263,'Partial Sales'!$B$3:$B$500,"&gt;="&amp;DATE($B263,1,1),'Partial Sales'!$B$3:$B$500,"&lt;="&amp;DATE($B263,12,31))/1000</f>
        <v>0</v>
      </c>
      <c r="I263" s="9" t="n">
        <f aca="false">SUMIFS('Partial Purchases'!$F$3:$F$500,'Partial Purchases'!$C$3:$C$500,$A263,'Partial Purchases'!$B$3:$B$500,"&gt;="&amp;DATE($B263,1,1),'Partial Purchases'!$B$3:$B$500,"&lt;="&amp;DATE($B263,12,31))/1000</f>
        <v>0</v>
      </c>
      <c r="J263" s="9" t="n">
        <f aca="false">C263*(D263+0.5*(G263-H263+I263-F263))</f>
        <v>81010.7686929681</v>
      </c>
      <c r="K263" s="9" t="n">
        <f aca="false">C263*(E263-D263+H263-G263-I263)</f>
        <v>25226.0751002656</v>
      </c>
      <c r="L263" s="13" t="n">
        <f aca="false">IF(J263=0,"",C263*F263/J263)</f>
        <v>0.0290806681731447</v>
      </c>
      <c r="M263" s="13" t="n">
        <f aca="false">IF(J263=0,"",K263/J263)</f>
        <v>0.31139162740046</v>
      </c>
      <c r="N263" s="13" t="n">
        <f aca="false">IF(J263=0,"",L263+M263)</f>
        <v>0.340472295573605</v>
      </c>
    </row>
    <row r="264" customFormat="false" ht="15" hidden="false" customHeight="false" outlineLevel="0" collapsed="false">
      <c r="A264" s="8" t="s">
        <v>21</v>
      </c>
      <c r="B264" s="48" t="n">
        <v>2012</v>
      </c>
      <c r="C264" s="10" t="n">
        <f aca="false">IF(D264&gt;0,1,0)</f>
        <v>1</v>
      </c>
      <c r="D264" s="9" t="n">
        <f aca="false">IF(SUMIFS(Sales!$F$3:$F$500,Sales!$C$3:$C$500,$A264,Sales!$B$3:$B$500,"&lt;="&amp;DATE($B264-1,12,31))&gt;0,0,SUMIFS('Asset Value'!$I$4:$I$500,'Asset Value'!$C$4:$C$500,$A264,'Asset Value'!$B$4:$B$500,$B264-1)/1000)</f>
        <v>107414.767434639</v>
      </c>
      <c r="E264" s="9" t="n">
        <f aca="false">IF(SUMIFS(Sales!$F$3:$F$500,Sales!$C$3:$C$500,$A264,Sales!$B$3:$B$500,"&gt;="&amp;DATE($B264,1,1),Sales!$B$3:$B$500,"&lt;="&amp;DATE($B264,12,31))&gt;0,SUMIFS(Sales!$F$3:$F$500,Sales!$C$3:$C$500,$A264,Sales!$B$3:$B$500,"&gt;="&amp;DATE($B264,1,1),Sales!$B$3:$B$500,"&lt;="&amp;DATE($B264,12,31))/1000,SUMIFS('Asset Value'!$I$4:$I$500,'Asset Value'!$C$4:$C$500,$A264,'Asset Value'!$B$4:$B$500,$B264)/1000)</f>
        <v>97238.034272208</v>
      </c>
      <c r="F264" s="9" t="n">
        <f aca="false">SUMIFS(Rent!$G$3:$G$500,Rent!$D$3:$D$500,$A264,Rent!$C$3:$C$500,$B264)/1000</f>
        <v>4807.38166332175</v>
      </c>
      <c r="G264" s="9" t="n">
        <f aca="false">SUMIFS(Costs!$F$3:$F$500,Costs!$C$3:$C$500,$A264,Costs!$B$3:$B$500,"&gt;="&amp;DATE($B264,1,1),Costs!$B$3:$B$500,"&lt;="&amp;DATE($B264,12,31))/1000</f>
        <v>0</v>
      </c>
      <c r="H264" s="9" t="n">
        <f aca="false">SUMIFS('Partial Sales'!$F$3:$F$500,'Partial Sales'!$C$3:$C$500,$A264,'Partial Sales'!$B$3:$B$500,"&gt;="&amp;DATE($B264,1,1),'Partial Sales'!$B$3:$B$500,"&lt;="&amp;DATE($B264,12,31))/1000</f>
        <v>0</v>
      </c>
      <c r="I264" s="9" t="n">
        <f aca="false">SUMIFS('Partial Purchases'!$F$3:$F$500,'Partial Purchases'!$C$3:$C$500,$A264,'Partial Purchases'!$B$3:$B$500,"&gt;="&amp;DATE($B264,1,1),'Partial Purchases'!$B$3:$B$500,"&lt;="&amp;DATE($B264,12,31))/1000</f>
        <v>0</v>
      </c>
      <c r="J264" s="9" t="n">
        <f aca="false">C264*(D264+0.5*(G264-H264+I264-F264))</f>
        <v>105011.076602979</v>
      </c>
      <c r="K264" s="9" t="n">
        <f aca="false">C264*(E264-D264+H264-G264-I264)</f>
        <v>-10176.7331624315</v>
      </c>
      <c r="L264" s="13" t="n">
        <f aca="false">IF(J264=0,"",C264*F264/J264)</f>
        <v>0.0457797578963721</v>
      </c>
      <c r="M264" s="13" t="n">
        <f aca="false">IF(J264=0,"",K264/J264)</f>
        <v>-0.0969110449263105</v>
      </c>
      <c r="N264" s="13" t="n">
        <f aca="false">IF(J264=0,"",L264+M264)</f>
        <v>-0.0511312870299384</v>
      </c>
    </row>
    <row r="265" customFormat="false" ht="15" hidden="false" customHeight="false" outlineLevel="0" collapsed="false">
      <c r="A265" s="8" t="s">
        <v>21</v>
      </c>
      <c r="B265" s="48" t="n">
        <v>2013</v>
      </c>
      <c r="C265" s="10" t="n">
        <f aca="false">IF(D265&gt;0,1,0)</f>
        <v>1</v>
      </c>
      <c r="D265" s="9" t="n">
        <f aca="false">IF(SUMIFS(Sales!$F$3:$F$500,Sales!$C$3:$C$500,$A265,Sales!$B$3:$B$500,"&lt;="&amp;DATE($B265-1,12,31))&gt;0,0,SUMIFS('Asset Value'!$I$4:$I$500,'Asset Value'!$C$4:$C$500,$A265,'Asset Value'!$B$4:$B$500,$B265-1)/1000)</f>
        <v>97238.034272208</v>
      </c>
      <c r="E265" s="9" t="n">
        <f aca="false">IF(SUMIFS(Sales!$F$3:$F$500,Sales!$C$3:$C$500,$A265,Sales!$B$3:$B$500,"&gt;="&amp;DATE($B265,1,1),Sales!$B$3:$B$500,"&lt;="&amp;DATE($B265,12,31))&gt;0,SUMIFS(Sales!$F$3:$F$500,Sales!$C$3:$C$500,$A265,Sales!$B$3:$B$500,"&gt;="&amp;DATE($B265,1,1),Sales!$B$3:$B$500,"&lt;="&amp;DATE($B265,12,31))/1000,SUMIFS('Asset Value'!$I$4:$I$500,'Asset Value'!$C$4:$C$500,$A265,'Asset Value'!$B$4:$B$500,$B265)/1000)</f>
        <v>96881.9569712702</v>
      </c>
      <c r="F265" s="9" t="n">
        <f aca="false">SUMIFS(Rent!$G$3:$G$500,Rent!$D$3:$D$500,$A265,Rent!$C$3:$C$500,$B265)/1000</f>
        <v>3147.30999146029</v>
      </c>
      <c r="G265" s="9" t="n">
        <f aca="false">SUMIFS(Costs!$F$3:$F$500,Costs!$C$3:$C$500,$A265,Costs!$B$3:$B$500,"&gt;="&amp;DATE($B265,1,1),Costs!$B$3:$B$500,"&lt;="&amp;DATE($B265,12,31))/1000</f>
        <v>0</v>
      </c>
      <c r="H265" s="9" t="n">
        <f aca="false">SUMIFS('Partial Sales'!$F$3:$F$500,'Partial Sales'!$C$3:$C$500,$A265,'Partial Sales'!$B$3:$B$500,"&gt;="&amp;DATE($B265,1,1),'Partial Sales'!$B$3:$B$500,"&lt;="&amp;DATE($B265,12,31))/1000</f>
        <v>0</v>
      </c>
      <c r="I265" s="9" t="n">
        <f aca="false">SUMIFS('Partial Purchases'!$F$3:$F$500,'Partial Purchases'!$C$3:$C$500,$A265,'Partial Purchases'!$B$3:$B$500,"&gt;="&amp;DATE($B265,1,1),'Partial Purchases'!$B$3:$B$500,"&lt;="&amp;DATE($B265,12,31))/1000</f>
        <v>0</v>
      </c>
      <c r="J265" s="9" t="n">
        <f aca="false">C265*(D265+0.5*(G265-H265+I265-F265))</f>
        <v>95664.3792764779</v>
      </c>
      <c r="K265" s="9" t="n">
        <f aca="false">C265*(E265-D265+H265-G265-I265)</f>
        <v>-356.077300937803</v>
      </c>
      <c r="L265" s="13" t="n">
        <f aca="false">IF(J265=0,"",C265*F265/J265)</f>
        <v>0.0328994973391748</v>
      </c>
      <c r="M265" s="13" t="n">
        <f aca="false">IF(J265=0,"",K265/J265)</f>
        <v>-0.00372215137578754</v>
      </c>
      <c r="N265" s="13" t="n">
        <f aca="false">IF(J265=0,"",L265+M265)</f>
        <v>0.0291773459633873</v>
      </c>
    </row>
    <row r="266" customFormat="false" ht="15" hidden="false" customHeight="false" outlineLevel="0" collapsed="false">
      <c r="A266" s="8" t="s">
        <v>21</v>
      </c>
      <c r="B266" s="48" t="n">
        <v>2014</v>
      </c>
      <c r="C266" s="10" t="n">
        <f aca="false">IF(D266&gt;0,1,0)</f>
        <v>1</v>
      </c>
      <c r="D266" s="9" t="n">
        <f aca="false">IF(SUMIFS(Sales!$F$3:$F$500,Sales!$C$3:$C$500,$A266,Sales!$B$3:$B$500,"&lt;="&amp;DATE($B266-1,12,31))&gt;0,0,SUMIFS('Asset Value'!$I$4:$I$500,'Asset Value'!$C$4:$C$500,$A266,'Asset Value'!$B$4:$B$500,$B266-1)/1000)</f>
        <v>96881.9569712702</v>
      </c>
      <c r="E266" s="9" t="n">
        <f aca="false">IF(SUMIFS(Sales!$F$3:$F$500,Sales!$C$3:$C$500,$A266,Sales!$B$3:$B$500,"&gt;="&amp;DATE($B266,1,1),Sales!$B$3:$B$500,"&lt;="&amp;DATE($B266,12,31))&gt;0,SUMIFS(Sales!$F$3:$F$500,Sales!$C$3:$C$500,$A266,Sales!$B$3:$B$500,"&gt;="&amp;DATE($B266,1,1),Sales!$B$3:$B$500,"&lt;="&amp;DATE($B266,12,31))/1000,SUMIFS('Asset Value'!$I$4:$I$500,'Asset Value'!$C$4:$C$500,$A266,'Asset Value'!$B$4:$B$500,$B266)/1000)</f>
        <v>101320.80465855</v>
      </c>
      <c r="F266" s="9" t="n">
        <f aca="false">SUMIFS(Rent!$G$3:$G$500,Rent!$D$3:$D$500,$A266,Rent!$C$3:$C$500,$B266)/1000</f>
        <v>3103.25350203344</v>
      </c>
      <c r="G266" s="9" t="n">
        <f aca="false">SUMIFS(Costs!$F$3:$F$500,Costs!$C$3:$C$500,$A266,Costs!$B$3:$B$500,"&gt;="&amp;DATE($B266,1,1),Costs!$B$3:$B$500,"&lt;="&amp;DATE($B266,12,31))/1000</f>
        <v>0</v>
      </c>
      <c r="H266" s="9" t="n">
        <f aca="false">SUMIFS('Partial Sales'!$F$3:$F$500,'Partial Sales'!$C$3:$C$500,$A266,'Partial Sales'!$B$3:$B$500,"&gt;="&amp;DATE($B266,1,1),'Partial Sales'!$B$3:$B$500,"&lt;="&amp;DATE($B266,12,31))/1000</f>
        <v>0</v>
      </c>
      <c r="I266" s="9" t="n">
        <f aca="false">SUMIFS('Partial Purchases'!$F$3:$F$500,'Partial Purchases'!$C$3:$C$500,$A266,'Partial Purchases'!$B$3:$B$500,"&gt;="&amp;DATE($B266,1,1),'Partial Purchases'!$B$3:$B$500,"&lt;="&amp;DATE($B266,12,31))/1000</f>
        <v>0</v>
      </c>
      <c r="J266" s="9" t="n">
        <f aca="false">C266*(D266+0.5*(G266-H266+I266-F266))</f>
        <v>95330.3302202535</v>
      </c>
      <c r="K266" s="9" t="n">
        <f aca="false">C266*(E266-D266+H266-G266-I266)</f>
        <v>4438.84768727931</v>
      </c>
      <c r="L266" s="13" t="n">
        <f aca="false">IF(J266=0,"",C266*F266/J266)</f>
        <v>0.032552635607824</v>
      </c>
      <c r="M266" s="13" t="n">
        <f aca="false">IF(J266=0,"",K266/J266)</f>
        <v>0.0465628061606804</v>
      </c>
      <c r="N266" s="13" t="n">
        <f aca="false">IF(J266=0,"",L266+M266)</f>
        <v>0.0791154417685043</v>
      </c>
    </row>
    <row r="267" customFormat="false" ht="15" hidden="false" customHeight="false" outlineLevel="0" collapsed="false">
      <c r="A267" s="49" t="s">
        <v>21</v>
      </c>
      <c r="B267" s="50" t="n">
        <v>2015</v>
      </c>
      <c r="C267" s="51" t="n">
        <f aca="false">IF(D267&gt;0,1,0)</f>
        <v>1</v>
      </c>
      <c r="D267" s="52" t="n">
        <f aca="false">IF(SUMIFS(Sales!$F$3:$F$500,Sales!$C$3:$C$500,$A267,Sales!$B$3:$B$500,"&lt;="&amp;DATE($B267-1,12,31))&gt;0,0,SUMIFS('Asset Value'!$I$4:$I$500,'Asset Value'!$C$4:$C$500,$A267,'Asset Value'!$B$4:$B$500,$B267-1)/1000)</f>
        <v>101320.80465855</v>
      </c>
      <c r="E267" s="52" t="n">
        <f aca="false">IF(SUMIFS(Sales!$F$3:$F$500,Sales!$C$3:$C$500,$A267,Sales!$B$3:$B$500,"&gt;="&amp;DATE($B267,1,1),Sales!$B$3:$B$500,"&lt;="&amp;DATE($B267,12,31))&gt;0,SUMIFS(Sales!$F$3:$F$500,Sales!$C$3:$C$500,$A267,Sales!$B$3:$B$500,"&gt;="&amp;DATE($B267,1,1),Sales!$B$3:$B$500,"&lt;="&amp;DATE($B267,12,31))/1000,SUMIFS('Asset Value'!$I$4:$I$500,'Asset Value'!$C$4:$C$500,$A267,'Asset Value'!$B$4:$B$500,$B267)/1000)</f>
        <v>69119.4672010373</v>
      </c>
      <c r="F267" s="52" t="n">
        <f aca="false">SUMIFS(Rent!$G$3:$G$500,Rent!$D$3:$D$500,$A267,Rent!$C$3:$C$500,$B267)/1000</f>
        <v>2151.01685364479</v>
      </c>
      <c r="G267" s="52" t="n">
        <f aca="false">SUMIFS(Costs!$F$3:$F$500,Costs!$C$3:$C$500,$A267,Costs!$B$3:$B$500,"&gt;="&amp;DATE($B267,1,1),Costs!$B$3:$B$500,"&lt;="&amp;DATE($B267,12,31))/1000</f>
        <v>0</v>
      </c>
      <c r="H267" s="52" t="n">
        <f aca="false">SUMIFS('Partial Sales'!$F$3:$F$500,'Partial Sales'!$C$3:$C$500,$A267,'Partial Sales'!$B$3:$B$500,"&gt;="&amp;DATE($B267,1,1),'Partial Sales'!$B$3:$B$500,"&lt;="&amp;DATE($B267,12,31))/1000</f>
        <v>0</v>
      </c>
      <c r="I267" s="52" t="n">
        <f aca="false">SUMIFS('Partial Purchases'!$F$3:$F$500,'Partial Purchases'!$C$3:$C$500,$A267,'Partial Purchases'!$B$3:$B$500,"&gt;="&amp;DATE($B267,1,1),'Partial Purchases'!$B$3:$B$500,"&lt;="&amp;DATE($B267,12,31))/1000</f>
        <v>0</v>
      </c>
      <c r="J267" s="52" t="n">
        <f aca="false">C267*(D267+0.5*(G267-H267+I267-F267))</f>
        <v>100245.296231727</v>
      </c>
      <c r="K267" s="52" t="n">
        <f aca="false">C267*(E267-D267+H267-G267-I267)</f>
        <v>-32201.3374575122</v>
      </c>
      <c r="L267" s="46" t="n">
        <f aca="false">IF(J267=0,"",C267*F267/J267)</f>
        <v>0.0214575340140898</v>
      </c>
      <c r="M267" s="46" t="n">
        <f aca="false">IF(J267=0,"",K267/J267)</f>
        <v>-0.32122542072274</v>
      </c>
      <c r="N267" s="46" t="n">
        <f aca="false">IF(J267=0,"",L267+M267)</f>
        <v>-0.29976788670865</v>
      </c>
    </row>
    <row r="268" customFormat="false" ht="15" hidden="false" customHeight="false" outlineLevel="0" collapsed="false">
      <c r="A268" s="8" t="s">
        <v>22</v>
      </c>
      <c r="B268" s="48" t="n">
        <v>2008</v>
      </c>
      <c r="C268" s="10" t="n">
        <f aca="false">IF(D268&gt;0,1,0)</f>
        <v>0</v>
      </c>
      <c r="D268" s="9" t="n">
        <f aca="false">IF(SUMIFS(Sales!$F$3:$F$500,Sales!$C$3:$C$500,$A268,Sales!$B$3:$B$500,"&lt;="&amp;DATE($B268-1,12,31))&gt;0,0,SUMIFS('Asset Value'!$I$4:$I$500,'Asset Value'!$C$4:$C$500,$A268,'Asset Value'!$B$4:$B$500,$B268-1)/1000)</f>
        <v>0</v>
      </c>
      <c r="E268" s="9" t="n">
        <f aca="false">IF(SUMIFS(Sales!$F$3:$F$500,Sales!$C$3:$C$500,$A268,Sales!$B$3:$B$500,"&gt;="&amp;DATE($B268,1,1),Sales!$B$3:$B$500,"&lt;="&amp;DATE($B268,12,31))&gt;0,SUMIFS(Sales!$F$3:$F$500,Sales!$C$3:$C$500,$A268,Sales!$B$3:$B$500,"&gt;="&amp;DATE($B268,1,1),Sales!$B$3:$B$500,"&lt;="&amp;DATE($B268,12,31))/1000,SUMIFS('Asset Value'!$I$4:$I$500,'Asset Value'!$C$4:$C$500,$A268,'Asset Value'!$B$4:$B$500,$B268)/1000)</f>
        <v>44526.8026565465</v>
      </c>
      <c r="F268" s="9" t="n">
        <f aca="false">SUMIFS(Rent!$G$3:$G$500,Rent!$D$3:$D$500,$A268,Rent!$C$3:$C$500,$B268)/1000</f>
        <v>933.67006249465</v>
      </c>
      <c r="G268" s="9" t="n">
        <f aca="false">SUMIFS(Costs!$F$3:$F$500,Costs!$C$3:$C$500,$A268,Costs!$B$3:$B$500,"&gt;="&amp;DATE($B268,1,1),Costs!$B$3:$B$500,"&lt;="&amp;DATE($B268,12,31))/1000</f>
        <v>0</v>
      </c>
      <c r="H268" s="9" t="n">
        <f aca="false">SUMIFS('Partial Sales'!$F$3:$F$500,'Partial Sales'!$C$3:$C$500,$A268,'Partial Sales'!$B$3:$B$500,"&gt;="&amp;DATE($B268,1,1),'Partial Sales'!$B$3:$B$500,"&lt;="&amp;DATE($B268,12,31))/1000</f>
        <v>0</v>
      </c>
      <c r="I268" s="9" t="n">
        <f aca="false">SUMIFS('Partial Purchases'!$F$3:$F$500,'Partial Purchases'!$C$3:$C$500,$A268,'Partial Purchases'!$B$3:$B$500,"&gt;="&amp;DATE($B268,1,1),'Partial Purchases'!$B$3:$B$500,"&lt;="&amp;DATE($B268,12,31))/1000</f>
        <v>0</v>
      </c>
      <c r="J268" s="9" t="n">
        <f aca="false">C268*(D268+0.5*(G268-H268+I268-F268))</f>
        <v>-0</v>
      </c>
      <c r="K268" s="9" t="n">
        <f aca="false">C268*(E268-D268+H268-G268-I268)</f>
        <v>0</v>
      </c>
      <c r="L268" s="13" t="str">
        <f aca="false">IF(J268=0,"",C268*F268/J268)</f>
        <v/>
      </c>
      <c r="M268" s="13" t="str">
        <f aca="false">IF(J268=0,"",K268/J268)</f>
        <v/>
      </c>
      <c r="N268" s="13" t="str">
        <f aca="false">IF(J268=0,"",L268+M268)</f>
        <v/>
      </c>
    </row>
    <row r="269" customFormat="false" ht="15" hidden="false" customHeight="false" outlineLevel="0" collapsed="false">
      <c r="A269" s="8" t="s">
        <v>22</v>
      </c>
      <c r="B269" s="48" t="n">
        <v>2009</v>
      </c>
      <c r="C269" s="10" t="n">
        <f aca="false">IF(D269&gt;0,1,0)</f>
        <v>1</v>
      </c>
      <c r="D269" s="9" t="n">
        <f aca="false">IF(SUMIFS(Sales!$F$3:$F$500,Sales!$C$3:$C$500,$A269,Sales!$B$3:$B$500,"&lt;="&amp;DATE($B269-1,12,31))&gt;0,0,SUMIFS('Asset Value'!$I$4:$I$500,'Asset Value'!$C$4:$C$500,$A269,'Asset Value'!$B$4:$B$500,$B269-1)/1000)</f>
        <v>44526.8026565465</v>
      </c>
      <c r="E269" s="9" t="n">
        <f aca="false">IF(SUMIFS(Sales!$F$3:$F$500,Sales!$C$3:$C$500,$A269,Sales!$B$3:$B$500,"&gt;="&amp;DATE($B269,1,1),Sales!$B$3:$B$500,"&lt;="&amp;DATE($B269,12,31))&gt;0,SUMIFS(Sales!$F$3:$F$500,Sales!$C$3:$C$500,$A269,Sales!$B$3:$B$500,"&gt;="&amp;DATE($B269,1,1),Sales!$B$3:$B$500,"&lt;="&amp;DATE($B269,12,31))/1000,SUMIFS('Asset Value'!$I$4:$I$500,'Asset Value'!$C$4:$C$500,$A269,'Asset Value'!$B$4:$B$500,$B269)/1000)</f>
        <v>42888.3591577275</v>
      </c>
      <c r="F269" s="9" t="n">
        <f aca="false">SUMIFS(Rent!$G$3:$G$500,Rent!$D$3:$D$500,$A269,Rent!$C$3:$C$500,$B269)/1000</f>
        <v>1177.79820730866</v>
      </c>
      <c r="G269" s="9" t="n">
        <f aca="false">SUMIFS(Costs!$F$3:$F$500,Costs!$C$3:$C$500,$A269,Costs!$B$3:$B$500,"&gt;="&amp;DATE($B269,1,1),Costs!$B$3:$B$500,"&lt;="&amp;DATE($B269,12,31))/1000</f>
        <v>0</v>
      </c>
      <c r="H269" s="9" t="n">
        <f aca="false">SUMIFS('Partial Sales'!$F$3:$F$500,'Partial Sales'!$C$3:$C$500,$A269,'Partial Sales'!$B$3:$B$500,"&gt;="&amp;DATE($B269,1,1),'Partial Sales'!$B$3:$B$500,"&lt;="&amp;DATE($B269,12,31))/1000</f>
        <v>0</v>
      </c>
      <c r="I269" s="9" t="n">
        <f aca="false">SUMIFS('Partial Purchases'!$F$3:$F$500,'Partial Purchases'!$C$3:$C$500,$A269,'Partial Purchases'!$B$3:$B$500,"&gt;="&amp;DATE($B269,1,1),'Partial Purchases'!$B$3:$B$500,"&lt;="&amp;DATE($B269,12,31))/1000</f>
        <v>0</v>
      </c>
      <c r="J269" s="9" t="n">
        <f aca="false">C269*(D269+0.5*(G269-H269+I269-F269))</f>
        <v>43937.9035528922</v>
      </c>
      <c r="K269" s="9" t="n">
        <f aca="false">C269*(E269-D269+H269-G269-I269)</f>
        <v>-1638.44349881904</v>
      </c>
      <c r="L269" s="13" t="n">
        <f aca="false">IF(J269=0,"",C269*F269/J269)</f>
        <v>0.0268059718846357</v>
      </c>
      <c r="M269" s="13" t="n">
        <f aca="false">IF(J269=0,"",K269/J269)</f>
        <v>-0.0372899789551109</v>
      </c>
      <c r="N269" s="13" t="n">
        <f aca="false">IF(J269=0,"",L269+M269)</f>
        <v>-0.0104840070704751</v>
      </c>
    </row>
    <row r="270" customFormat="false" ht="15" hidden="false" customHeight="false" outlineLevel="0" collapsed="false">
      <c r="A270" s="8" t="s">
        <v>22</v>
      </c>
      <c r="B270" s="48" t="n">
        <v>2010</v>
      </c>
      <c r="C270" s="10" t="n">
        <f aca="false">IF(D270&gt;0,1,0)</f>
        <v>1</v>
      </c>
      <c r="D270" s="9" t="n">
        <f aca="false">IF(SUMIFS(Sales!$F$3:$F$500,Sales!$C$3:$C$500,$A270,Sales!$B$3:$B$500,"&lt;="&amp;DATE($B270-1,12,31))&gt;0,0,SUMIFS('Asset Value'!$I$4:$I$500,'Asset Value'!$C$4:$C$500,$A270,'Asset Value'!$B$4:$B$500,$B270-1)/1000)</f>
        <v>42888.3591577275</v>
      </c>
      <c r="E270" s="9" t="n">
        <f aca="false">IF(SUMIFS(Sales!$F$3:$F$500,Sales!$C$3:$C$500,$A270,Sales!$B$3:$B$500,"&gt;="&amp;DATE($B270,1,1),Sales!$B$3:$B$500,"&lt;="&amp;DATE($B270,12,31))&gt;0,SUMIFS(Sales!$F$3:$F$500,Sales!$C$3:$C$500,$A270,Sales!$B$3:$B$500,"&gt;="&amp;DATE($B270,1,1),Sales!$B$3:$B$500,"&lt;="&amp;DATE($B270,12,31))/1000,SUMIFS('Asset Value'!$I$4:$I$500,'Asset Value'!$C$4:$C$500,$A270,'Asset Value'!$B$4:$B$500,$B270)/1000)</f>
        <v>59434.6167186958</v>
      </c>
      <c r="F270" s="9" t="n">
        <f aca="false">SUMIFS(Rent!$G$3:$G$500,Rent!$D$3:$D$500,$A270,Rent!$C$3:$C$500,$B270)/1000</f>
        <v>1739.69016452504</v>
      </c>
      <c r="G270" s="9" t="n">
        <f aca="false">SUMIFS(Costs!$F$3:$F$500,Costs!$C$3:$C$500,$A270,Costs!$B$3:$B$500,"&gt;="&amp;DATE($B270,1,1),Costs!$B$3:$B$500,"&lt;="&amp;DATE($B270,12,31))/1000</f>
        <v>0</v>
      </c>
      <c r="H270" s="9" t="n">
        <f aca="false">SUMIFS('Partial Sales'!$F$3:$F$500,'Partial Sales'!$C$3:$C$500,$A270,'Partial Sales'!$B$3:$B$500,"&gt;="&amp;DATE($B270,1,1),'Partial Sales'!$B$3:$B$500,"&lt;="&amp;DATE($B270,12,31))/1000</f>
        <v>0</v>
      </c>
      <c r="I270" s="9" t="n">
        <f aca="false">SUMIFS('Partial Purchases'!$F$3:$F$500,'Partial Purchases'!$C$3:$C$500,$A270,'Partial Purchases'!$B$3:$B$500,"&gt;="&amp;DATE($B270,1,1),'Partial Purchases'!$B$3:$B$500,"&lt;="&amp;DATE($B270,12,31))/1000</f>
        <v>0</v>
      </c>
      <c r="J270" s="9" t="n">
        <f aca="false">C270*(D270+0.5*(G270-H270+I270-F270))</f>
        <v>42018.5140754649</v>
      </c>
      <c r="K270" s="9" t="n">
        <f aca="false">C270*(E270-D270+H270-G270-I270)</f>
        <v>16546.2575609683</v>
      </c>
      <c r="L270" s="13" t="n">
        <f aca="false">IF(J270=0,"",C270*F270/J270)</f>
        <v>0.0414029435072494</v>
      </c>
      <c r="M270" s="13" t="n">
        <f aca="false">IF(J270=0,"",K270/J270)</f>
        <v>0.393784928502026</v>
      </c>
      <c r="N270" s="13" t="n">
        <f aca="false">IF(J270=0,"",L270+M270)</f>
        <v>0.435187872009276</v>
      </c>
    </row>
    <row r="271" customFormat="false" ht="15" hidden="false" customHeight="false" outlineLevel="0" collapsed="false">
      <c r="A271" s="8" t="s">
        <v>22</v>
      </c>
      <c r="B271" s="48" t="n">
        <v>2011</v>
      </c>
      <c r="C271" s="10" t="n">
        <f aca="false">IF(D271&gt;0,1,0)</f>
        <v>1</v>
      </c>
      <c r="D271" s="9" t="n">
        <f aca="false">IF(SUMIFS(Sales!$F$3:$F$500,Sales!$C$3:$C$500,$A271,Sales!$B$3:$B$500,"&lt;="&amp;DATE($B271-1,12,31))&gt;0,0,SUMIFS('Asset Value'!$I$4:$I$500,'Asset Value'!$C$4:$C$500,$A271,'Asset Value'!$B$4:$B$500,$B271-1)/1000)</f>
        <v>59434.6167186958</v>
      </c>
      <c r="E271" s="9" t="n">
        <f aca="false">IF(SUMIFS(Sales!$F$3:$F$500,Sales!$C$3:$C$500,$A271,Sales!$B$3:$B$500,"&gt;="&amp;DATE($B271,1,1),Sales!$B$3:$B$500,"&lt;="&amp;DATE($B271,12,31))&gt;0,SUMIFS(Sales!$F$3:$F$500,Sales!$C$3:$C$500,$A271,Sales!$B$3:$B$500,"&gt;="&amp;DATE($B271,1,1),Sales!$B$3:$B$500,"&lt;="&amp;DATE($B271,12,31))/1000,SUMIFS('Asset Value'!$I$4:$I$500,'Asset Value'!$C$4:$C$500,$A271,'Asset Value'!$B$4:$B$500,$B271)/1000)</f>
        <v>91107.2470968143</v>
      </c>
      <c r="F271" s="9" t="n">
        <f aca="false">SUMIFS(Rent!$G$3:$G$500,Rent!$D$3:$D$500,$A271,Rent!$C$3:$C$500,$B271)/1000</f>
        <v>2093.16135539438</v>
      </c>
      <c r="G271" s="9" t="n">
        <f aca="false">SUMIFS(Costs!$F$3:$F$500,Costs!$C$3:$C$500,$A271,Costs!$B$3:$B$500,"&gt;="&amp;DATE($B271,1,1),Costs!$B$3:$B$500,"&lt;="&amp;DATE($B271,12,31))/1000</f>
        <v>0</v>
      </c>
      <c r="H271" s="9" t="n">
        <f aca="false">SUMIFS('Partial Sales'!$F$3:$F$500,'Partial Sales'!$C$3:$C$500,$A271,'Partial Sales'!$B$3:$B$500,"&gt;="&amp;DATE($B271,1,1),'Partial Sales'!$B$3:$B$500,"&lt;="&amp;DATE($B271,12,31))/1000</f>
        <v>0</v>
      </c>
      <c r="I271" s="9" t="n">
        <f aca="false">SUMIFS('Partial Purchases'!$F$3:$F$500,'Partial Purchases'!$C$3:$C$500,$A271,'Partial Purchases'!$B$3:$B$500,"&gt;="&amp;DATE($B271,1,1),'Partial Purchases'!$B$3:$B$500,"&lt;="&amp;DATE($B271,12,31))/1000</f>
        <v>0</v>
      </c>
      <c r="J271" s="9" t="n">
        <f aca="false">C271*(D271+0.5*(G271-H271+I271-F271))</f>
        <v>58388.0360409986</v>
      </c>
      <c r="K271" s="9" t="n">
        <f aca="false">C271*(E271-D271+H271-G271-I271)</f>
        <v>31672.6303781185</v>
      </c>
      <c r="L271" s="13" t="n">
        <f aca="false">IF(J271=0,"",C271*F271/J271)</f>
        <v>0.0358491481700911</v>
      </c>
      <c r="M271" s="13" t="n">
        <f aca="false">IF(J271=0,"",K271/J271)</f>
        <v>0.54245068897126</v>
      </c>
      <c r="N271" s="13" t="n">
        <f aca="false">IF(J271=0,"",L271+M271)</f>
        <v>0.578299837141351</v>
      </c>
    </row>
    <row r="272" customFormat="false" ht="15" hidden="false" customHeight="false" outlineLevel="0" collapsed="false">
      <c r="A272" s="8" t="s">
        <v>22</v>
      </c>
      <c r="B272" s="48" t="n">
        <v>2012</v>
      </c>
      <c r="C272" s="10" t="n">
        <f aca="false">IF(D272&gt;0,1,0)</f>
        <v>1</v>
      </c>
      <c r="D272" s="9" t="n">
        <f aca="false">IF(SUMIFS(Sales!$F$3:$F$500,Sales!$C$3:$C$500,$A272,Sales!$B$3:$B$500,"&lt;="&amp;DATE($B272-1,12,31))&gt;0,0,SUMIFS('Asset Value'!$I$4:$I$500,'Asset Value'!$C$4:$C$500,$A272,'Asset Value'!$B$4:$B$500,$B272-1)/1000)</f>
        <v>91107.2470968143</v>
      </c>
      <c r="E272" s="9" t="n">
        <f aca="false">IF(SUMIFS(Sales!$F$3:$F$500,Sales!$C$3:$C$500,$A272,Sales!$B$3:$B$500,"&gt;="&amp;DATE($B272,1,1),Sales!$B$3:$B$500,"&lt;="&amp;DATE($B272,12,31))&gt;0,SUMIFS(Sales!$F$3:$F$500,Sales!$C$3:$C$500,$A272,Sales!$B$3:$B$500,"&gt;="&amp;DATE($B272,1,1),Sales!$B$3:$B$500,"&lt;="&amp;DATE($B272,12,31))/1000,SUMIFS('Asset Value'!$I$4:$I$500,'Asset Value'!$C$4:$C$500,$A272,'Asset Value'!$B$4:$B$500,$B272)/1000)</f>
        <v>82465.038408509</v>
      </c>
      <c r="F272" s="9" t="n">
        <f aca="false">SUMIFS(Rent!$G$3:$G$500,Rent!$D$3:$D$500,$A272,Rent!$C$3:$C$500,$B272)/1000</f>
        <v>3910.61725977777</v>
      </c>
      <c r="G272" s="9" t="n">
        <f aca="false">SUMIFS(Costs!$F$3:$F$500,Costs!$C$3:$C$500,$A272,Costs!$B$3:$B$500,"&gt;="&amp;DATE($B272,1,1),Costs!$B$3:$B$500,"&lt;="&amp;DATE($B272,12,31))/1000</f>
        <v>0</v>
      </c>
      <c r="H272" s="9" t="n">
        <f aca="false">SUMIFS('Partial Sales'!$F$3:$F$500,'Partial Sales'!$C$3:$C$500,$A272,'Partial Sales'!$B$3:$B$500,"&gt;="&amp;DATE($B272,1,1),'Partial Sales'!$B$3:$B$500,"&lt;="&amp;DATE($B272,12,31))/1000</f>
        <v>0</v>
      </c>
      <c r="I272" s="9" t="n">
        <f aca="false">SUMIFS('Partial Purchases'!$F$3:$F$500,'Partial Purchases'!$C$3:$C$500,$A272,'Partial Purchases'!$B$3:$B$500,"&gt;="&amp;DATE($B272,1,1),'Partial Purchases'!$B$3:$B$500,"&lt;="&amp;DATE($B272,12,31))/1000</f>
        <v>0</v>
      </c>
      <c r="J272" s="9" t="n">
        <f aca="false">C272*(D272+0.5*(G272-H272+I272-F272))</f>
        <v>89151.9384669254</v>
      </c>
      <c r="K272" s="9" t="n">
        <f aca="false">C272*(E272-D272+H272-G272-I272)</f>
        <v>-8642.2086883053</v>
      </c>
      <c r="L272" s="13" t="n">
        <f aca="false">IF(J272=0,"",C272*F272/J272)</f>
        <v>0.0438646352174224</v>
      </c>
      <c r="M272" s="13" t="n">
        <f aca="false">IF(J272=0,"",K272/J272)</f>
        <v>-0.0969379784323084</v>
      </c>
      <c r="N272" s="13" t="n">
        <f aca="false">IF(J272=0,"",L272+M272)</f>
        <v>-0.053073343214886</v>
      </c>
    </row>
    <row r="273" customFormat="false" ht="15" hidden="false" customHeight="false" outlineLevel="0" collapsed="false">
      <c r="A273" s="8" t="s">
        <v>22</v>
      </c>
      <c r="B273" s="48" t="n">
        <v>2013</v>
      </c>
      <c r="C273" s="10" t="n">
        <f aca="false">IF(D273&gt;0,1,0)</f>
        <v>1</v>
      </c>
      <c r="D273" s="9" t="n">
        <f aca="false">IF(SUMIFS(Sales!$F$3:$F$500,Sales!$C$3:$C$500,$A273,Sales!$B$3:$B$500,"&lt;="&amp;DATE($B273-1,12,31))&gt;0,0,SUMIFS('Asset Value'!$I$4:$I$500,'Asset Value'!$C$4:$C$500,$A273,'Asset Value'!$B$4:$B$500,$B273-1)/1000)</f>
        <v>82465.038408509</v>
      </c>
      <c r="E273" s="9" t="n">
        <f aca="false">IF(SUMIFS(Sales!$F$3:$F$500,Sales!$C$3:$C$500,$A273,Sales!$B$3:$B$500,"&gt;="&amp;DATE($B273,1,1),Sales!$B$3:$B$500,"&lt;="&amp;DATE($B273,12,31))&gt;0,SUMIFS(Sales!$F$3:$F$500,Sales!$C$3:$C$500,$A273,Sales!$B$3:$B$500,"&gt;="&amp;DATE($B273,1,1),Sales!$B$3:$B$500,"&lt;="&amp;DATE($B273,12,31))/1000,SUMIFS('Asset Value'!$I$4:$I$500,'Asset Value'!$C$4:$C$500,$A273,'Asset Value'!$B$4:$B$500,$B273)/1000)</f>
        <v>63995.7763209996</v>
      </c>
      <c r="F273" s="9" t="n">
        <f aca="false">SUMIFS(Rent!$G$3:$G$500,Rent!$D$3:$D$500,$A273,Rent!$C$3:$C$500,$B273)/1000</f>
        <v>2293.76601195559</v>
      </c>
      <c r="G273" s="9" t="n">
        <f aca="false">SUMIFS(Costs!$F$3:$F$500,Costs!$C$3:$C$500,$A273,Costs!$B$3:$B$500,"&gt;="&amp;DATE($B273,1,1),Costs!$B$3:$B$500,"&lt;="&amp;DATE($B273,12,31))/1000</f>
        <v>0</v>
      </c>
      <c r="H273" s="9" t="n">
        <f aca="false">SUMIFS('Partial Sales'!$F$3:$F$500,'Partial Sales'!$C$3:$C$500,$A273,'Partial Sales'!$B$3:$B$500,"&gt;="&amp;DATE($B273,1,1),'Partial Sales'!$B$3:$B$500,"&lt;="&amp;DATE($B273,12,31))/1000</f>
        <v>0</v>
      </c>
      <c r="I273" s="9" t="n">
        <f aca="false">SUMIFS('Partial Purchases'!$F$3:$F$500,'Partial Purchases'!$C$3:$C$500,$A273,'Partial Purchases'!$B$3:$B$500,"&gt;="&amp;DATE($B273,1,1),'Partial Purchases'!$B$3:$B$500,"&lt;="&amp;DATE($B273,12,31))/1000</f>
        <v>0</v>
      </c>
      <c r="J273" s="9" t="n">
        <f aca="false">C273*(D273+0.5*(G273-H273+I273-F273))</f>
        <v>81318.1554025312</v>
      </c>
      <c r="K273" s="9" t="n">
        <f aca="false">C273*(E273-D273+H273-G273-I273)</f>
        <v>-18469.2620875094</v>
      </c>
      <c r="L273" s="13" t="n">
        <f aca="false">IF(J273=0,"",C273*F273/J273)</f>
        <v>0.0282073050058904</v>
      </c>
      <c r="M273" s="13" t="n">
        <f aca="false">IF(J273=0,"",K273/J273)</f>
        <v>-0.22712347563819</v>
      </c>
      <c r="N273" s="13" t="n">
        <f aca="false">IF(J273=0,"",L273+M273)</f>
        <v>-0.1989161706323</v>
      </c>
    </row>
    <row r="274" customFormat="false" ht="15" hidden="false" customHeight="false" outlineLevel="0" collapsed="false">
      <c r="A274" s="8" t="s">
        <v>22</v>
      </c>
      <c r="B274" s="48" t="n">
        <v>2014</v>
      </c>
      <c r="C274" s="10" t="n">
        <f aca="false">IF(D274&gt;0,1,0)</f>
        <v>1</v>
      </c>
      <c r="D274" s="9" t="n">
        <f aca="false">IF(SUMIFS(Sales!$F$3:$F$500,Sales!$C$3:$C$500,$A274,Sales!$B$3:$B$500,"&lt;="&amp;DATE($B274-1,12,31))&gt;0,0,SUMIFS('Asset Value'!$I$4:$I$500,'Asset Value'!$C$4:$C$500,$A274,'Asset Value'!$B$4:$B$500,$B274-1)/1000)</f>
        <v>63995.7763209996</v>
      </c>
      <c r="E274" s="9" t="n">
        <f aca="false">IF(SUMIFS(Sales!$F$3:$F$500,Sales!$C$3:$C$500,$A274,Sales!$B$3:$B$500,"&gt;="&amp;DATE($B274,1,1),Sales!$B$3:$B$500,"&lt;="&amp;DATE($B274,12,31))&gt;0,SUMIFS(Sales!$F$3:$F$500,Sales!$C$3:$C$500,$A274,Sales!$B$3:$B$500,"&gt;="&amp;DATE($B274,1,1),Sales!$B$3:$B$500,"&lt;="&amp;DATE($B274,12,31))/1000,SUMIFS('Asset Value'!$I$4:$I$500,'Asset Value'!$C$4:$C$500,$A274,'Asset Value'!$B$4:$B$500,$B274)/1000)</f>
        <v>68973.883889183</v>
      </c>
      <c r="F274" s="9" t="n">
        <f aca="false">SUMIFS(Rent!$G$3:$G$500,Rent!$D$3:$D$500,$A274,Rent!$C$3:$C$500,$B274)/1000</f>
        <v>2181.0513631571</v>
      </c>
      <c r="G274" s="9" t="n">
        <f aca="false">SUMIFS(Costs!$F$3:$F$500,Costs!$C$3:$C$500,$A274,Costs!$B$3:$B$500,"&gt;="&amp;DATE($B274,1,1),Costs!$B$3:$B$500,"&lt;="&amp;DATE($B274,12,31))/1000</f>
        <v>0</v>
      </c>
      <c r="H274" s="9" t="n">
        <f aca="false">SUMIFS('Partial Sales'!$F$3:$F$500,'Partial Sales'!$C$3:$C$500,$A274,'Partial Sales'!$B$3:$B$500,"&gt;="&amp;DATE($B274,1,1),'Partial Sales'!$B$3:$B$500,"&lt;="&amp;DATE($B274,12,31))/1000</f>
        <v>0</v>
      </c>
      <c r="I274" s="9" t="n">
        <f aca="false">SUMIFS('Partial Purchases'!$F$3:$F$500,'Partial Purchases'!$C$3:$C$500,$A274,'Partial Purchases'!$B$3:$B$500,"&gt;="&amp;DATE($B274,1,1),'Partial Purchases'!$B$3:$B$500,"&lt;="&amp;DATE($B274,12,31))/1000</f>
        <v>0</v>
      </c>
      <c r="J274" s="9" t="n">
        <f aca="false">C274*(D274+0.5*(G274-H274+I274-F274))</f>
        <v>62905.2506394211</v>
      </c>
      <c r="K274" s="9" t="n">
        <f aca="false">C274*(E274-D274+H274-G274-I274)</f>
        <v>4978.10756818338</v>
      </c>
      <c r="L274" s="13" t="n">
        <f aca="false">IF(J274=0,"",C274*F274/J274)</f>
        <v>0.034672008154917</v>
      </c>
      <c r="M274" s="13" t="n">
        <f aca="false">IF(J274=0,"",K274/J274)</f>
        <v>0.0791365985761406</v>
      </c>
      <c r="N274" s="13" t="n">
        <f aca="false">IF(J274=0,"",L274+M274)</f>
        <v>0.113808606731058</v>
      </c>
    </row>
    <row r="275" customFormat="false" ht="15" hidden="false" customHeight="false" outlineLevel="0" collapsed="false">
      <c r="A275" s="49" t="s">
        <v>22</v>
      </c>
      <c r="B275" s="50" t="n">
        <v>2015</v>
      </c>
      <c r="C275" s="51" t="n">
        <f aca="false">IF(D275&gt;0,1,0)</f>
        <v>1</v>
      </c>
      <c r="D275" s="52" t="n">
        <f aca="false">IF(SUMIFS(Sales!$F$3:$F$500,Sales!$C$3:$C$500,$A275,Sales!$B$3:$B$500,"&lt;="&amp;DATE($B275-1,12,31))&gt;0,0,SUMIFS('Asset Value'!$I$4:$I$500,'Asset Value'!$C$4:$C$500,$A275,'Asset Value'!$B$4:$B$500,$B275-1)/1000)</f>
        <v>68973.883889183</v>
      </c>
      <c r="E275" s="52" t="n">
        <f aca="false">IF(SUMIFS(Sales!$F$3:$F$500,Sales!$C$3:$C$500,$A275,Sales!$B$3:$B$500,"&gt;="&amp;DATE($B275,1,1),Sales!$B$3:$B$500,"&lt;="&amp;DATE($B275,12,31))&gt;0,SUMIFS(Sales!$F$3:$F$500,Sales!$C$3:$C$500,$A275,Sales!$B$3:$B$500,"&gt;="&amp;DATE($B275,1,1),Sales!$B$3:$B$500,"&lt;="&amp;DATE($B275,12,31))/1000,SUMIFS('Asset Value'!$I$4:$I$500,'Asset Value'!$C$4:$C$500,$A275,'Asset Value'!$B$4:$B$500,$B275)/1000)</f>
        <v>49045.2053987152</v>
      </c>
      <c r="F275" s="52" t="n">
        <f aca="false">SUMIFS(Rent!$G$3:$G$500,Rent!$D$3:$D$500,$A275,Rent!$C$3:$C$500,$B275)/1000</f>
        <v>1567.28651196148</v>
      </c>
      <c r="G275" s="52" t="n">
        <f aca="false">SUMIFS(Costs!$F$3:$F$500,Costs!$C$3:$C$500,$A275,Costs!$B$3:$B$500,"&gt;="&amp;DATE($B275,1,1),Costs!$B$3:$B$500,"&lt;="&amp;DATE($B275,12,31))/1000</f>
        <v>0</v>
      </c>
      <c r="H275" s="52" t="n">
        <f aca="false">SUMIFS('Partial Sales'!$F$3:$F$500,'Partial Sales'!$C$3:$C$500,$A275,'Partial Sales'!$B$3:$B$500,"&gt;="&amp;DATE($B275,1,1),'Partial Sales'!$B$3:$B$500,"&lt;="&amp;DATE($B275,12,31))/1000</f>
        <v>0</v>
      </c>
      <c r="I275" s="52" t="n">
        <f aca="false">SUMIFS('Partial Purchases'!$F$3:$F$500,'Partial Purchases'!$C$3:$C$500,$A275,'Partial Purchases'!$B$3:$B$500,"&gt;="&amp;DATE($B275,1,1),'Partial Purchases'!$B$3:$B$500,"&lt;="&amp;DATE($B275,12,31))/1000</f>
        <v>0</v>
      </c>
      <c r="J275" s="52" t="n">
        <f aca="false">C275*(D275+0.5*(G275-H275+I275-F275))</f>
        <v>68190.2406332022</v>
      </c>
      <c r="K275" s="52" t="n">
        <f aca="false">C275*(E275-D275+H275-G275-I275)</f>
        <v>-19928.6784904678</v>
      </c>
      <c r="L275" s="46" t="n">
        <f aca="false">IF(J275=0,"",C275*F275/J275)</f>
        <v>0.0229840296413085</v>
      </c>
      <c r="M275" s="46" t="n">
        <f aca="false">IF(J275=0,"",K275/J275)</f>
        <v>-0.292251182946617</v>
      </c>
      <c r="N275" s="46" t="n">
        <f aca="false">IF(J275=0,"",L275+M275)</f>
        <v>-0.269267153305309</v>
      </c>
    </row>
    <row r="276" customFormat="false" ht="15" hidden="false" customHeight="false" outlineLevel="0" collapsed="false">
      <c r="A276" s="8" t="s">
        <v>23</v>
      </c>
      <c r="B276" s="48" t="n">
        <v>2008</v>
      </c>
      <c r="C276" s="10" t="n">
        <f aca="false">IF(D276&gt;0,1,0)</f>
        <v>0</v>
      </c>
      <c r="D276" s="9" t="n">
        <f aca="false">IF(SUMIFS(Sales!$F$3:$F$500,Sales!$C$3:$C$500,$A276,Sales!$B$3:$B$500,"&lt;="&amp;DATE($B276-1,12,31))&gt;0,0,SUMIFS('Asset Value'!$I$4:$I$500,'Asset Value'!$C$4:$C$500,$A276,'Asset Value'!$B$4:$B$500,$B276-1)/1000)</f>
        <v>0</v>
      </c>
      <c r="E276" s="9" t="n">
        <f aca="false">IF(SUMIFS(Sales!$F$3:$F$500,Sales!$C$3:$C$500,$A276,Sales!$B$3:$B$500,"&gt;="&amp;DATE($B276,1,1),Sales!$B$3:$B$500,"&lt;="&amp;DATE($B276,12,31))&gt;0,SUMIFS(Sales!$F$3:$F$500,Sales!$C$3:$C$500,$A276,Sales!$B$3:$B$500,"&gt;="&amp;DATE($B276,1,1),Sales!$B$3:$B$500,"&lt;="&amp;DATE($B276,12,31))/1000,SUMIFS('Asset Value'!$I$4:$I$500,'Asset Value'!$C$4:$C$500,$A276,'Asset Value'!$B$4:$B$500,$B276)/1000)</f>
        <v>34938.330170778</v>
      </c>
      <c r="F276" s="9" t="n">
        <f aca="false">SUMIFS(Rent!$G$3:$G$500,Rent!$D$3:$D$500,$A276,Rent!$C$3:$C$500,$B276)/1000</f>
        <v>0</v>
      </c>
      <c r="G276" s="9" t="n">
        <f aca="false">SUMIFS(Costs!$F$3:$F$500,Costs!$C$3:$C$500,$A276,Costs!$B$3:$B$500,"&gt;="&amp;DATE($B276,1,1),Costs!$B$3:$B$500,"&lt;="&amp;DATE($B276,12,31))/1000</f>
        <v>0</v>
      </c>
      <c r="H276" s="9" t="n">
        <f aca="false">SUMIFS('Partial Sales'!$F$3:$F$500,'Partial Sales'!$C$3:$C$500,$A276,'Partial Sales'!$B$3:$B$500,"&gt;="&amp;DATE($B276,1,1),'Partial Sales'!$B$3:$B$500,"&lt;="&amp;DATE($B276,12,31))/1000</f>
        <v>0</v>
      </c>
      <c r="I276" s="9" t="n">
        <f aca="false">SUMIFS('Partial Purchases'!$F$3:$F$500,'Partial Purchases'!$C$3:$C$500,$A276,'Partial Purchases'!$B$3:$B$500,"&gt;="&amp;DATE($B276,1,1),'Partial Purchases'!$B$3:$B$500,"&lt;="&amp;DATE($B276,12,31))/1000</f>
        <v>0</v>
      </c>
      <c r="J276" s="9" t="n">
        <f aca="false">C276*(D276+0.5*(G276-H276+I276-F276))</f>
        <v>0</v>
      </c>
      <c r="K276" s="9" t="n">
        <f aca="false">C276*(E276-D276+H276-G276-I276)</f>
        <v>0</v>
      </c>
      <c r="L276" s="13" t="str">
        <f aca="false">IF(J276=0,"",C276*F276/J276)</f>
        <v/>
      </c>
      <c r="M276" s="13" t="str">
        <f aca="false">IF(J276=0,"",K276/J276)</f>
        <v/>
      </c>
      <c r="N276" s="13" t="str">
        <f aca="false">IF(J276=0,"",L276+M276)</f>
        <v/>
      </c>
    </row>
    <row r="277" customFormat="false" ht="15" hidden="false" customHeight="false" outlineLevel="0" collapsed="false">
      <c r="A277" s="8" t="s">
        <v>23</v>
      </c>
      <c r="B277" s="48" t="n">
        <v>2009</v>
      </c>
      <c r="C277" s="10" t="n">
        <f aca="false">IF(D277&gt;0,1,0)</f>
        <v>1</v>
      </c>
      <c r="D277" s="9" t="n">
        <f aca="false">IF(SUMIFS(Sales!$F$3:$F$500,Sales!$C$3:$C$500,$A277,Sales!$B$3:$B$500,"&lt;="&amp;DATE($B277-1,12,31))&gt;0,0,SUMIFS('Asset Value'!$I$4:$I$500,'Asset Value'!$C$4:$C$500,$A277,'Asset Value'!$B$4:$B$500,$B277-1)/1000)</f>
        <v>34938.330170778</v>
      </c>
      <c r="E277" s="9" t="n">
        <f aca="false">IF(SUMIFS(Sales!$F$3:$F$500,Sales!$C$3:$C$500,$A277,Sales!$B$3:$B$500,"&gt;="&amp;DATE($B277,1,1),Sales!$B$3:$B$500,"&lt;="&amp;DATE($B277,12,31))&gt;0,SUMIFS(Sales!$F$3:$F$500,Sales!$C$3:$C$500,$A277,Sales!$B$3:$B$500,"&gt;="&amp;DATE($B277,1,1),Sales!$B$3:$B$500,"&lt;="&amp;DATE($B277,12,31))/1000,SUMIFS('Asset Value'!$I$4:$I$500,'Asset Value'!$C$4:$C$500,$A277,'Asset Value'!$B$4:$B$500,$B277)/1000)</f>
        <v>47099.7218911403</v>
      </c>
      <c r="F277" s="9" t="n">
        <f aca="false">SUMIFS(Rent!$G$3:$G$500,Rent!$D$3:$D$500,$A277,Rent!$C$3:$C$500,$B277)/1000</f>
        <v>0</v>
      </c>
      <c r="G277" s="9" t="n">
        <f aca="false">SUMIFS(Costs!$F$3:$F$500,Costs!$C$3:$C$500,$A277,Costs!$B$3:$B$500,"&gt;="&amp;DATE($B277,1,1),Costs!$B$3:$B$500,"&lt;="&amp;DATE($B277,12,31))/1000</f>
        <v>0</v>
      </c>
      <c r="H277" s="9" t="n">
        <f aca="false">SUMIFS('Partial Sales'!$F$3:$F$500,'Partial Sales'!$C$3:$C$500,$A277,'Partial Sales'!$B$3:$B$500,"&gt;="&amp;DATE($B277,1,1),'Partial Sales'!$B$3:$B$500,"&lt;="&amp;DATE($B277,12,31))/1000</f>
        <v>0</v>
      </c>
      <c r="I277" s="9" t="n">
        <f aca="false">SUMIFS('Partial Purchases'!$F$3:$F$500,'Partial Purchases'!$C$3:$C$500,$A277,'Partial Purchases'!$B$3:$B$500,"&gt;="&amp;DATE($B277,1,1),'Partial Purchases'!$B$3:$B$500,"&lt;="&amp;DATE($B277,12,31))/1000</f>
        <v>0</v>
      </c>
      <c r="J277" s="9" t="n">
        <f aca="false">C277*(D277+0.5*(G277-H277+I277-F277))</f>
        <v>34938.330170778</v>
      </c>
      <c r="K277" s="9" t="n">
        <f aca="false">C277*(E277-D277+H277-G277-I277)</f>
        <v>12161.3917203623</v>
      </c>
      <c r="L277" s="13" t="n">
        <f aca="false">IF(J277=0,"",C277*F277/J277)</f>
        <v>0</v>
      </c>
      <c r="M277" s="13" t="n">
        <f aca="false">IF(J277=0,"",K277/J277)</f>
        <v>0.348081653041733</v>
      </c>
      <c r="N277" s="13" t="n">
        <f aca="false">IF(J277=0,"",L277+M277)</f>
        <v>0.348081653041733</v>
      </c>
    </row>
    <row r="278" customFormat="false" ht="15" hidden="false" customHeight="false" outlineLevel="0" collapsed="false">
      <c r="A278" s="8" t="s">
        <v>23</v>
      </c>
      <c r="B278" s="48" t="n">
        <v>2010</v>
      </c>
      <c r="C278" s="10" t="n">
        <f aca="false">IF(D278&gt;0,1,0)</f>
        <v>1</v>
      </c>
      <c r="D278" s="9" t="n">
        <f aca="false">IF(SUMIFS(Sales!$F$3:$F$500,Sales!$C$3:$C$500,$A278,Sales!$B$3:$B$500,"&lt;="&amp;DATE($B278-1,12,31))&gt;0,0,SUMIFS('Asset Value'!$I$4:$I$500,'Asset Value'!$C$4:$C$500,$A278,'Asset Value'!$B$4:$B$500,$B278-1)/1000)</f>
        <v>47099.7218911403</v>
      </c>
      <c r="E278" s="9" t="n">
        <f aca="false">IF(SUMIFS(Sales!$F$3:$F$500,Sales!$C$3:$C$500,$A278,Sales!$B$3:$B$500,"&gt;="&amp;DATE($B278,1,1),Sales!$B$3:$B$500,"&lt;="&amp;DATE($B278,12,31))&gt;0,SUMIFS(Sales!$F$3:$F$500,Sales!$C$3:$C$500,$A278,Sales!$B$3:$B$500,"&gt;="&amp;DATE($B278,1,1),Sales!$B$3:$B$500,"&lt;="&amp;DATE($B278,12,31))/1000,SUMIFS('Asset Value'!$I$4:$I$500,'Asset Value'!$C$4:$C$500,$A278,'Asset Value'!$B$4:$B$500,$B278)/1000)</f>
        <v>47294.4849115505</v>
      </c>
      <c r="F278" s="9" t="n">
        <f aca="false">SUMIFS(Rent!$G$3:$G$500,Rent!$D$3:$D$500,$A278,Rent!$C$3:$C$500,$B278)/1000</f>
        <v>273.207637804732</v>
      </c>
      <c r="G278" s="9" t="n">
        <f aca="false">SUMIFS(Costs!$F$3:$F$500,Costs!$C$3:$C$500,$A278,Costs!$B$3:$B$500,"&gt;="&amp;DATE($B278,1,1),Costs!$B$3:$B$500,"&lt;="&amp;DATE($B278,12,31))/1000</f>
        <v>0</v>
      </c>
      <c r="H278" s="9" t="n">
        <f aca="false">SUMIFS('Partial Sales'!$F$3:$F$500,'Partial Sales'!$C$3:$C$500,$A278,'Partial Sales'!$B$3:$B$500,"&gt;="&amp;DATE($B278,1,1),'Partial Sales'!$B$3:$B$500,"&lt;="&amp;DATE($B278,12,31))/1000</f>
        <v>0</v>
      </c>
      <c r="I278" s="9" t="n">
        <f aca="false">SUMIFS('Partial Purchases'!$F$3:$F$500,'Partial Purchases'!$C$3:$C$500,$A278,'Partial Purchases'!$B$3:$B$500,"&gt;="&amp;DATE($B278,1,1),'Partial Purchases'!$B$3:$B$500,"&lt;="&amp;DATE($B278,12,31))/1000</f>
        <v>0</v>
      </c>
      <c r="J278" s="9" t="n">
        <f aca="false">C278*(D278+0.5*(G278-H278+I278-F278))</f>
        <v>46963.1180722379</v>
      </c>
      <c r="K278" s="9" t="n">
        <f aca="false">C278*(E278-D278+H278-G278-I278)</f>
        <v>194.763020410217</v>
      </c>
      <c r="L278" s="13" t="n">
        <f aca="false">IF(J278=0,"",C278*F278/J278)</f>
        <v>0.00581749357835415</v>
      </c>
      <c r="M278" s="13" t="n">
        <f aca="false">IF(J278=0,"",K278/J278)</f>
        <v>0.00414714840932486</v>
      </c>
      <c r="N278" s="13" t="n">
        <f aca="false">IF(J278=0,"",L278+M278)</f>
        <v>0.00996464198767901</v>
      </c>
    </row>
    <row r="279" customFormat="false" ht="15" hidden="false" customHeight="false" outlineLevel="0" collapsed="false">
      <c r="A279" s="8" t="s">
        <v>23</v>
      </c>
      <c r="B279" s="48" t="n">
        <v>2011</v>
      </c>
      <c r="C279" s="10" t="n">
        <f aca="false">IF(D279&gt;0,1,0)</f>
        <v>1</v>
      </c>
      <c r="D279" s="9" t="n">
        <f aca="false">IF(SUMIFS(Sales!$F$3:$F$500,Sales!$C$3:$C$500,$A279,Sales!$B$3:$B$500,"&lt;="&amp;DATE($B279-1,12,31))&gt;0,0,SUMIFS('Asset Value'!$I$4:$I$500,'Asset Value'!$C$4:$C$500,$A279,'Asset Value'!$B$4:$B$500,$B279-1)/1000)</f>
        <v>47294.4849115505</v>
      </c>
      <c r="E279" s="9" t="n">
        <f aca="false">IF(SUMIFS(Sales!$F$3:$F$500,Sales!$C$3:$C$500,$A279,Sales!$B$3:$B$500,"&gt;="&amp;DATE($B279,1,1),Sales!$B$3:$B$500,"&lt;="&amp;DATE($B279,12,31))&gt;0,SUMIFS(Sales!$F$3:$F$500,Sales!$C$3:$C$500,$A279,Sales!$B$3:$B$500,"&gt;="&amp;DATE($B279,1,1),Sales!$B$3:$B$500,"&lt;="&amp;DATE($B279,12,31))/1000,SUMIFS('Asset Value'!$I$4:$I$500,'Asset Value'!$C$4:$C$500,$A279,'Asset Value'!$B$4:$B$500,$B279)/1000)</f>
        <v>72669.6888778489</v>
      </c>
      <c r="F279" s="9" t="n">
        <f aca="false">SUMIFS(Rent!$G$3:$G$500,Rent!$D$3:$D$500,$A279,Rent!$C$3:$C$500,$B279)/1000</f>
        <v>1169.76186870034</v>
      </c>
      <c r="G279" s="9" t="n">
        <f aca="false">SUMIFS(Costs!$F$3:$F$500,Costs!$C$3:$C$500,$A279,Costs!$B$3:$B$500,"&gt;="&amp;DATE($B279,1,1),Costs!$B$3:$B$500,"&lt;="&amp;DATE($B279,12,31))/1000</f>
        <v>0</v>
      </c>
      <c r="H279" s="9" t="n">
        <f aca="false">SUMIFS('Partial Sales'!$F$3:$F$500,'Partial Sales'!$C$3:$C$500,$A279,'Partial Sales'!$B$3:$B$500,"&gt;="&amp;DATE($B279,1,1),'Partial Sales'!$B$3:$B$500,"&lt;="&amp;DATE($B279,12,31))/1000</f>
        <v>0</v>
      </c>
      <c r="I279" s="9" t="n">
        <f aca="false">SUMIFS('Partial Purchases'!$F$3:$F$500,'Partial Purchases'!$C$3:$C$500,$A279,'Partial Purchases'!$B$3:$B$500,"&gt;="&amp;DATE($B279,1,1),'Partial Purchases'!$B$3:$B$500,"&lt;="&amp;DATE($B279,12,31))/1000</f>
        <v>0</v>
      </c>
      <c r="J279" s="9" t="n">
        <f aca="false">C279*(D279+0.5*(G279-H279+I279-F279))</f>
        <v>46709.6039772003</v>
      </c>
      <c r="K279" s="9" t="n">
        <f aca="false">C279*(E279-D279+H279-G279-I279)</f>
        <v>25375.2039662984</v>
      </c>
      <c r="L279" s="13" t="n">
        <f aca="false">IF(J279=0,"",C279*F279/J279)</f>
        <v>0.0250432838024342</v>
      </c>
      <c r="M279" s="13" t="n">
        <f aca="false">IF(J279=0,"",K279/J279)</f>
        <v>0.543254530239315</v>
      </c>
      <c r="N279" s="13" t="n">
        <f aca="false">IF(J279=0,"",L279+M279)</f>
        <v>0.568297814041749</v>
      </c>
    </row>
    <row r="280" customFormat="false" ht="15" hidden="false" customHeight="false" outlineLevel="0" collapsed="false">
      <c r="A280" s="8" t="s">
        <v>23</v>
      </c>
      <c r="B280" s="48" t="n">
        <v>2012</v>
      </c>
      <c r="C280" s="10" t="n">
        <f aca="false">IF(D280&gt;0,1,0)</f>
        <v>1</v>
      </c>
      <c r="D280" s="9" t="n">
        <f aca="false">IF(SUMIFS(Sales!$F$3:$F$500,Sales!$C$3:$C$500,$A280,Sales!$B$3:$B$500,"&lt;="&amp;DATE($B280-1,12,31))&gt;0,0,SUMIFS('Asset Value'!$I$4:$I$500,'Asset Value'!$C$4:$C$500,$A280,'Asset Value'!$B$4:$B$500,$B280-1)/1000)</f>
        <v>72669.6888778489</v>
      </c>
      <c r="E280" s="9" t="n">
        <f aca="false">IF(SUMIFS(Sales!$F$3:$F$500,Sales!$C$3:$C$500,$A280,Sales!$B$3:$B$500,"&gt;="&amp;DATE($B280,1,1),Sales!$B$3:$B$500,"&lt;="&amp;DATE($B280,12,31))&gt;0,SUMIFS(Sales!$F$3:$F$500,Sales!$C$3:$C$500,$A280,Sales!$B$3:$B$500,"&gt;="&amp;DATE($B280,1,1),Sales!$B$3:$B$500,"&lt;="&amp;DATE($B280,12,31))/1000,SUMIFS('Asset Value'!$I$4:$I$500,'Asset Value'!$C$4:$C$500,$A280,'Asset Value'!$B$4:$B$500,$B280)/1000)</f>
        <v>65778.5109316526</v>
      </c>
      <c r="F280" s="9" t="n">
        <f aca="false">SUMIFS(Rent!$G$3:$G$500,Rent!$D$3:$D$500,$A280,Rent!$C$3:$C$500,$B280)/1000</f>
        <v>1696.60776347349</v>
      </c>
      <c r="G280" s="9" t="n">
        <f aca="false">SUMIFS(Costs!$F$3:$F$500,Costs!$C$3:$C$500,$A280,Costs!$B$3:$B$500,"&gt;="&amp;DATE($B280,1,1),Costs!$B$3:$B$500,"&lt;="&amp;DATE($B280,12,31))/1000</f>
        <v>0</v>
      </c>
      <c r="H280" s="9" t="n">
        <f aca="false">SUMIFS('Partial Sales'!$F$3:$F$500,'Partial Sales'!$C$3:$C$500,$A280,'Partial Sales'!$B$3:$B$500,"&gt;="&amp;DATE($B280,1,1),'Partial Sales'!$B$3:$B$500,"&lt;="&amp;DATE($B280,12,31))/1000</f>
        <v>0</v>
      </c>
      <c r="I280" s="9" t="n">
        <f aca="false">SUMIFS('Partial Purchases'!$F$3:$F$500,'Partial Purchases'!$C$3:$C$500,$A280,'Partial Purchases'!$B$3:$B$500,"&gt;="&amp;DATE($B280,1,1),'Partial Purchases'!$B$3:$B$500,"&lt;="&amp;DATE($B280,12,31))/1000</f>
        <v>0</v>
      </c>
      <c r="J280" s="9" t="n">
        <f aca="false">C280*(D280+0.5*(G280-H280+I280-F280))</f>
        <v>71821.3849961121</v>
      </c>
      <c r="K280" s="9" t="n">
        <f aca="false">C280*(E280-D280+H280-G280-I280)</f>
        <v>-6891.1779461963</v>
      </c>
      <c r="L280" s="13" t="n">
        <f aca="false">IF(J280=0,"",C280*F280/J280)</f>
        <v>0.0236225988062655</v>
      </c>
      <c r="M280" s="13" t="n">
        <f aca="false">IF(J280=0,"",K280/J280)</f>
        <v>-0.0959488312091077</v>
      </c>
      <c r="N280" s="13" t="n">
        <f aca="false">IF(J280=0,"",L280+M280)</f>
        <v>-0.0723262324028422</v>
      </c>
    </row>
    <row r="281" customFormat="false" ht="15" hidden="false" customHeight="false" outlineLevel="0" collapsed="false">
      <c r="A281" s="8" t="s">
        <v>23</v>
      </c>
      <c r="B281" s="48" t="n">
        <v>2013</v>
      </c>
      <c r="C281" s="10" t="n">
        <f aca="false">IF(D281&gt;0,1,0)</f>
        <v>1</v>
      </c>
      <c r="D281" s="9" t="n">
        <f aca="false">IF(SUMIFS(Sales!$F$3:$F$500,Sales!$C$3:$C$500,$A281,Sales!$B$3:$B$500,"&lt;="&amp;DATE($B281-1,12,31))&gt;0,0,SUMIFS('Asset Value'!$I$4:$I$500,'Asset Value'!$C$4:$C$500,$A281,'Asset Value'!$B$4:$B$500,$B281-1)/1000)</f>
        <v>65778.5109316526</v>
      </c>
      <c r="E281" s="9" t="n">
        <f aca="false">IF(SUMIFS(Sales!$F$3:$F$500,Sales!$C$3:$C$500,$A281,Sales!$B$3:$B$500,"&gt;="&amp;DATE($B281,1,1),Sales!$B$3:$B$500,"&lt;="&amp;DATE($B281,12,31))&gt;0,SUMIFS(Sales!$F$3:$F$500,Sales!$C$3:$C$500,$A281,Sales!$B$3:$B$500,"&gt;="&amp;DATE($B281,1,1),Sales!$B$3:$B$500,"&lt;="&amp;DATE($B281,12,31))/1000,SUMIFS('Asset Value'!$I$4:$I$500,'Asset Value'!$C$4:$C$500,$A281,'Asset Value'!$B$4:$B$500,$B281)/1000)</f>
        <v>77611.8614985261</v>
      </c>
      <c r="F281" s="9" t="n">
        <f aca="false">SUMIFS(Rent!$G$3:$G$500,Rent!$D$3:$D$500,$A281,Rent!$C$3:$C$500,$B281)/1000</f>
        <v>1203.24508966695</v>
      </c>
      <c r="G281" s="9" t="n">
        <f aca="false">SUMIFS(Costs!$F$3:$F$500,Costs!$C$3:$C$500,$A281,Costs!$B$3:$B$500,"&gt;="&amp;DATE($B281,1,1),Costs!$B$3:$B$500,"&lt;="&amp;DATE($B281,12,31))/1000</f>
        <v>0</v>
      </c>
      <c r="H281" s="9" t="n">
        <f aca="false">SUMIFS('Partial Sales'!$F$3:$F$500,'Partial Sales'!$C$3:$C$500,$A281,'Partial Sales'!$B$3:$B$500,"&gt;="&amp;DATE($B281,1,1),'Partial Sales'!$B$3:$B$500,"&lt;="&amp;DATE($B281,12,31))/1000</f>
        <v>0</v>
      </c>
      <c r="I281" s="9" t="n">
        <f aca="false">SUMIFS('Partial Purchases'!$F$3:$F$500,'Partial Purchases'!$C$3:$C$500,$A281,'Partial Purchases'!$B$3:$B$500,"&gt;="&amp;DATE($B281,1,1),'Partial Purchases'!$B$3:$B$500,"&lt;="&amp;DATE($B281,12,31))/1000</f>
        <v>0</v>
      </c>
      <c r="J281" s="9" t="n">
        <f aca="false">C281*(D281+0.5*(G281-H281+I281-F281))</f>
        <v>65176.8883868191</v>
      </c>
      <c r="K281" s="9" t="n">
        <f aca="false">C281*(E281-D281+H281-G281-I281)</f>
        <v>11833.3505668736</v>
      </c>
      <c r="L281" s="13" t="n">
        <f aca="false">IF(J281=0,"",C281*F281/J281)</f>
        <v>0.0184612232870922</v>
      </c>
      <c r="M281" s="13" t="n">
        <f aca="false">IF(J281=0,"",K281/J281)</f>
        <v>0.181557463999258</v>
      </c>
      <c r="N281" s="13" t="n">
        <f aca="false">IF(J281=0,"",L281+M281)</f>
        <v>0.20001868728635</v>
      </c>
    </row>
    <row r="282" customFormat="false" ht="15" hidden="false" customHeight="false" outlineLevel="0" collapsed="false">
      <c r="A282" s="8" t="s">
        <v>23</v>
      </c>
      <c r="B282" s="48" t="n">
        <v>2014</v>
      </c>
      <c r="C282" s="10" t="n">
        <f aca="false">IF(D282&gt;0,1,0)</f>
        <v>1</v>
      </c>
      <c r="D282" s="9" t="n">
        <f aca="false">IF(SUMIFS(Sales!$F$3:$F$500,Sales!$C$3:$C$500,$A282,Sales!$B$3:$B$500,"&lt;="&amp;DATE($B282-1,12,31))&gt;0,0,SUMIFS('Asset Value'!$I$4:$I$500,'Asset Value'!$C$4:$C$500,$A282,'Asset Value'!$B$4:$B$500,$B282-1)/1000)</f>
        <v>77611.8614985261</v>
      </c>
      <c r="E282" s="9" t="n">
        <f aca="false">IF(SUMIFS(Sales!$F$3:$F$500,Sales!$C$3:$C$500,$A282,Sales!$B$3:$B$500,"&gt;="&amp;DATE($B282,1,1),Sales!$B$3:$B$500,"&lt;="&amp;DATE($B282,12,31))&gt;0,SUMIFS(Sales!$F$3:$F$500,Sales!$C$3:$C$500,$A282,Sales!$B$3:$B$500,"&gt;="&amp;DATE($B282,1,1),Sales!$B$3:$B$500,"&lt;="&amp;DATE($B282,12,31))/1000,SUMIFS('Asset Value'!$I$4:$I$500,'Asset Value'!$C$4:$C$500,$A282,'Asset Value'!$B$4:$B$500,$B282)/1000)</f>
        <v>87440.4446797247</v>
      </c>
      <c r="F282" s="9" t="n">
        <f aca="false">SUMIFS(Rent!$G$3:$G$500,Rent!$D$3:$D$500,$A282,Rent!$C$3:$C$500,$B282)/1000</f>
        <v>1218.18044886278</v>
      </c>
      <c r="G282" s="9" t="n">
        <f aca="false">SUMIFS(Costs!$F$3:$F$500,Costs!$C$3:$C$500,$A282,Costs!$B$3:$B$500,"&gt;="&amp;DATE($B282,1,1),Costs!$B$3:$B$500,"&lt;="&amp;DATE($B282,12,31))/1000</f>
        <v>0</v>
      </c>
      <c r="H282" s="9" t="n">
        <f aca="false">SUMIFS('Partial Sales'!$F$3:$F$500,'Partial Sales'!$C$3:$C$500,$A282,'Partial Sales'!$B$3:$B$500,"&gt;="&amp;DATE($B282,1,1),'Partial Sales'!$B$3:$B$500,"&lt;="&amp;DATE($B282,12,31))/1000</f>
        <v>0</v>
      </c>
      <c r="I282" s="9" t="n">
        <f aca="false">SUMIFS('Partial Purchases'!$F$3:$F$500,'Partial Purchases'!$C$3:$C$500,$A282,'Partial Purchases'!$B$3:$B$500,"&gt;="&amp;DATE($B282,1,1),'Partial Purchases'!$B$3:$B$500,"&lt;="&amp;DATE($B282,12,31))/1000</f>
        <v>0</v>
      </c>
      <c r="J282" s="9" t="n">
        <f aca="false">C282*(D282+0.5*(G282-H282+I282-F282))</f>
        <v>77002.7712740947</v>
      </c>
      <c r="K282" s="9" t="n">
        <f aca="false">C282*(E282-D282+H282-G282-I282)</f>
        <v>9828.58318119861</v>
      </c>
      <c r="L282" s="13" t="n">
        <f aca="false">IF(J282=0,"",C282*F282/J282)</f>
        <v>0.0158199559406325</v>
      </c>
      <c r="M282" s="13" t="n">
        <f aca="false">IF(J282=0,"",K282/J282)</f>
        <v>0.127639343605094</v>
      </c>
      <c r="N282" s="13" t="n">
        <f aca="false">IF(J282=0,"",L282+M282)</f>
        <v>0.143459299545726</v>
      </c>
    </row>
    <row r="283" customFormat="false" ht="15" hidden="false" customHeight="false" outlineLevel="0" collapsed="false">
      <c r="A283" s="49" t="s">
        <v>23</v>
      </c>
      <c r="B283" s="50" t="n">
        <v>2015</v>
      </c>
      <c r="C283" s="51" t="n">
        <f aca="false">IF(D283&gt;0,1,0)</f>
        <v>1</v>
      </c>
      <c r="D283" s="52" t="n">
        <f aca="false">IF(SUMIFS(Sales!$F$3:$F$500,Sales!$C$3:$C$500,$A283,Sales!$B$3:$B$500,"&lt;="&amp;DATE($B283-1,12,31))&gt;0,0,SUMIFS('Asset Value'!$I$4:$I$500,'Asset Value'!$C$4:$C$500,$A283,'Asset Value'!$B$4:$B$500,$B283-1)/1000)</f>
        <v>87440.4446797247</v>
      </c>
      <c r="E283" s="52" t="n">
        <f aca="false">IF(SUMIFS(Sales!$F$3:$F$500,Sales!$C$3:$C$500,$A283,Sales!$B$3:$B$500,"&gt;="&amp;DATE($B283,1,1),Sales!$B$3:$B$500,"&lt;="&amp;DATE($B283,12,31))&gt;0,SUMIFS(Sales!$F$3:$F$500,Sales!$C$3:$C$500,$A283,Sales!$B$3:$B$500,"&gt;="&amp;DATE($B283,1,1),Sales!$B$3:$B$500,"&lt;="&amp;DATE($B283,12,31))/1000,SUMIFS('Asset Value'!$I$4:$I$500,'Asset Value'!$C$4:$C$500,$A283,'Asset Value'!$B$4:$B$500,$B283)/1000)</f>
        <v>65674.5447044262</v>
      </c>
      <c r="F283" s="52" t="n">
        <f aca="false">SUMIFS(Rent!$G$3:$G$500,Rent!$D$3:$D$500,$A283,Rent!$C$3:$C$500,$B283)/1000</f>
        <v>922.596178474463</v>
      </c>
      <c r="G283" s="52" t="n">
        <f aca="false">SUMIFS(Costs!$F$3:$F$500,Costs!$C$3:$C$500,$A283,Costs!$B$3:$B$500,"&gt;="&amp;DATE($B283,1,1),Costs!$B$3:$B$500,"&lt;="&amp;DATE($B283,12,31))/1000</f>
        <v>0</v>
      </c>
      <c r="H283" s="52" t="n">
        <f aca="false">SUMIFS('Partial Sales'!$F$3:$F$500,'Partial Sales'!$C$3:$C$500,$A283,'Partial Sales'!$B$3:$B$500,"&gt;="&amp;DATE($B283,1,1),'Partial Sales'!$B$3:$B$500,"&lt;="&amp;DATE($B283,12,31))/1000</f>
        <v>0</v>
      </c>
      <c r="I283" s="52" t="n">
        <f aca="false">SUMIFS('Partial Purchases'!$F$3:$F$500,'Partial Purchases'!$C$3:$C$500,$A283,'Partial Purchases'!$B$3:$B$500,"&gt;="&amp;DATE($B283,1,1),'Partial Purchases'!$B$3:$B$500,"&lt;="&amp;DATE($B283,12,31))/1000</f>
        <v>0</v>
      </c>
      <c r="J283" s="52" t="n">
        <f aca="false">C283*(D283+0.5*(G283-H283+I283-F283))</f>
        <v>86979.1465904875</v>
      </c>
      <c r="K283" s="52" t="n">
        <f aca="false">C283*(E283-D283+H283-G283-I283)</f>
        <v>-21765.8999752985</v>
      </c>
      <c r="L283" s="46" t="n">
        <f aca="false">IF(J283=0,"",C283*F283/J283)</f>
        <v>0.0106070962367359</v>
      </c>
      <c r="M283" s="46" t="n">
        <f aca="false">IF(J283=0,"",K283/J283)</f>
        <v>-0.250242740110753</v>
      </c>
      <c r="N283" s="46" t="n">
        <f aca="false">IF(J283=0,"",L283+M283)</f>
        <v>-0.239635643874017</v>
      </c>
    </row>
    <row r="284" customFormat="false" ht="15" hidden="false" customHeight="false" outlineLevel="0" collapsed="false">
      <c r="A284" s="8" t="s">
        <v>24</v>
      </c>
      <c r="B284" s="48" t="n">
        <v>2008</v>
      </c>
      <c r="C284" s="10" t="n">
        <f aca="false">IF(D284&gt;0,1,0)</f>
        <v>0</v>
      </c>
      <c r="D284" s="9" t="n">
        <f aca="false">IF(SUMIFS(Sales!$F$3:$F$500,Sales!$C$3:$C$500,$A284,Sales!$B$3:$B$500,"&lt;="&amp;DATE($B284-1,12,31))&gt;0,0,SUMIFS('Asset Value'!$I$4:$I$500,'Asset Value'!$C$4:$C$500,$A284,'Asset Value'!$B$4:$B$500,$B284-1)/1000)</f>
        <v>0</v>
      </c>
      <c r="E284" s="9" t="n">
        <f aca="false">IF(SUMIFS(Sales!$F$3:$F$500,Sales!$C$3:$C$500,$A284,Sales!$B$3:$B$500,"&gt;="&amp;DATE($B284,1,1),Sales!$B$3:$B$500,"&lt;="&amp;DATE($B284,12,31))&gt;0,SUMIFS(Sales!$F$3:$F$500,Sales!$C$3:$C$500,$A284,Sales!$B$3:$B$500,"&gt;="&amp;DATE($B284,1,1),Sales!$B$3:$B$500,"&lt;="&amp;DATE($B284,12,31))/1000,SUMIFS('Asset Value'!$I$4:$I$500,'Asset Value'!$C$4:$C$500,$A284,'Asset Value'!$B$4:$B$500,$B284)/1000)</f>
        <v>0</v>
      </c>
      <c r="F284" s="9" t="n">
        <f aca="false">SUMIFS(Rent!$G$3:$G$500,Rent!$D$3:$D$500,$A284,Rent!$C$3:$C$500,$B284)/1000</f>
        <v>242.135519219245</v>
      </c>
      <c r="G284" s="9" t="n">
        <f aca="false">SUMIFS(Costs!$F$3:$F$500,Costs!$C$3:$C$500,$A284,Costs!$B$3:$B$500,"&gt;="&amp;DATE($B284,1,1),Costs!$B$3:$B$500,"&lt;="&amp;DATE($B284,12,31))/1000</f>
        <v>0</v>
      </c>
      <c r="H284" s="9" t="n">
        <f aca="false">SUMIFS('Partial Sales'!$F$3:$F$500,'Partial Sales'!$C$3:$C$500,$A284,'Partial Sales'!$B$3:$B$500,"&gt;="&amp;DATE($B284,1,1),'Partial Sales'!$B$3:$B$500,"&lt;="&amp;DATE($B284,12,31))/1000</f>
        <v>0</v>
      </c>
      <c r="I284" s="9" t="n">
        <f aca="false">SUMIFS('Partial Purchases'!$F$3:$F$500,'Partial Purchases'!$C$3:$C$500,$A284,'Partial Purchases'!$B$3:$B$500,"&gt;="&amp;DATE($B284,1,1),'Partial Purchases'!$B$3:$B$500,"&lt;="&amp;DATE($B284,12,31))/1000</f>
        <v>0</v>
      </c>
      <c r="J284" s="9" t="n">
        <f aca="false">C284*(D284+0.5*(G284-H284+I284-F284))</f>
        <v>-0</v>
      </c>
      <c r="K284" s="9" t="n">
        <f aca="false">C284*(E284-D284+H284-G284-I284)</f>
        <v>0</v>
      </c>
      <c r="L284" s="13" t="str">
        <f aca="false">IF(J284=0,"",C284*F284/J284)</f>
        <v/>
      </c>
      <c r="M284" s="13" t="str">
        <f aca="false">IF(J284=0,"",K284/J284)</f>
        <v/>
      </c>
      <c r="N284" s="13" t="str">
        <f aca="false">IF(J284=0,"",L284+M284)</f>
        <v/>
      </c>
    </row>
    <row r="285" customFormat="false" ht="15" hidden="false" customHeight="false" outlineLevel="0" collapsed="false">
      <c r="A285" s="8" t="s">
        <v>24</v>
      </c>
      <c r="B285" s="48" t="n">
        <v>2009</v>
      </c>
      <c r="C285" s="10" t="n">
        <f aca="false">IF(D285&gt;0,1,0)</f>
        <v>0</v>
      </c>
      <c r="D285" s="9" t="n">
        <f aca="false">IF(SUMIFS(Sales!$F$3:$F$500,Sales!$C$3:$C$500,$A285,Sales!$B$3:$B$500,"&lt;="&amp;DATE($B285-1,12,31))&gt;0,0,SUMIFS('Asset Value'!$I$4:$I$500,'Asset Value'!$C$4:$C$500,$A285,'Asset Value'!$B$4:$B$500,$B285-1)/1000)</f>
        <v>0</v>
      </c>
      <c r="E285" s="9" t="n">
        <f aca="false">IF(SUMIFS(Sales!$F$3:$F$500,Sales!$C$3:$C$500,$A285,Sales!$B$3:$B$500,"&gt;="&amp;DATE($B285,1,1),Sales!$B$3:$B$500,"&lt;="&amp;DATE($B285,12,31))&gt;0,SUMIFS(Sales!$F$3:$F$500,Sales!$C$3:$C$500,$A285,Sales!$B$3:$B$500,"&gt;="&amp;DATE($B285,1,1),Sales!$B$3:$B$500,"&lt;="&amp;DATE($B285,12,31))/1000,SUMIFS('Asset Value'!$I$4:$I$500,'Asset Value'!$C$4:$C$500,$A285,'Asset Value'!$B$4:$B$500,$B285)/1000)</f>
        <v>11313.0711164084</v>
      </c>
      <c r="F285" s="9" t="n">
        <f aca="false">SUMIFS(Rent!$G$3:$G$500,Rent!$D$3:$D$500,$A285,Rent!$C$3:$C$500,$B285)/1000</f>
        <v>663.665088485406</v>
      </c>
      <c r="G285" s="9" t="n">
        <f aca="false">SUMIFS(Costs!$F$3:$F$500,Costs!$C$3:$C$500,$A285,Costs!$B$3:$B$500,"&gt;="&amp;DATE($B285,1,1),Costs!$B$3:$B$500,"&lt;="&amp;DATE($B285,12,31))/1000</f>
        <v>0</v>
      </c>
      <c r="H285" s="9" t="n">
        <f aca="false">SUMIFS('Partial Sales'!$F$3:$F$500,'Partial Sales'!$C$3:$C$500,$A285,'Partial Sales'!$B$3:$B$500,"&gt;="&amp;DATE($B285,1,1),'Partial Sales'!$B$3:$B$500,"&lt;="&amp;DATE($B285,12,31))/1000</f>
        <v>0</v>
      </c>
      <c r="I285" s="9" t="n">
        <f aca="false">SUMIFS('Partial Purchases'!$F$3:$F$500,'Partial Purchases'!$C$3:$C$500,$A285,'Partial Purchases'!$B$3:$B$500,"&gt;="&amp;DATE($B285,1,1),'Partial Purchases'!$B$3:$B$500,"&lt;="&amp;DATE($B285,12,31))/1000</f>
        <v>0</v>
      </c>
      <c r="J285" s="9" t="n">
        <f aca="false">C285*(D285+0.5*(G285-H285+I285-F285))</f>
        <v>-0</v>
      </c>
      <c r="K285" s="9" t="n">
        <f aca="false">C285*(E285-D285+H285-G285-I285)</f>
        <v>0</v>
      </c>
      <c r="L285" s="13" t="str">
        <f aca="false">IF(J285=0,"",C285*F285/J285)</f>
        <v/>
      </c>
      <c r="M285" s="13" t="str">
        <f aca="false">IF(J285=0,"",K285/J285)</f>
        <v/>
      </c>
      <c r="N285" s="13" t="str">
        <f aca="false">IF(J285=0,"",L285+M285)</f>
        <v/>
      </c>
    </row>
    <row r="286" customFormat="false" ht="15" hidden="false" customHeight="false" outlineLevel="0" collapsed="false">
      <c r="A286" s="8" t="s">
        <v>24</v>
      </c>
      <c r="B286" s="48" t="n">
        <v>2010</v>
      </c>
      <c r="C286" s="10" t="n">
        <f aca="false">IF(D286&gt;0,1,0)</f>
        <v>1</v>
      </c>
      <c r="D286" s="9" t="n">
        <f aca="false">IF(SUMIFS(Sales!$F$3:$F$500,Sales!$C$3:$C$500,$A286,Sales!$B$3:$B$500,"&lt;="&amp;DATE($B286-1,12,31))&gt;0,0,SUMIFS('Asset Value'!$I$4:$I$500,'Asset Value'!$C$4:$C$500,$A286,'Asset Value'!$B$4:$B$500,$B286-1)/1000)</f>
        <v>11313.0711164084</v>
      </c>
      <c r="E286" s="9" t="n">
        <f aca="false">IF(SUMIFS(Sales!$F$3:$F$500,Sales!$C$3:$C$500,$A286,Sales!$B$3:$B$500,"&gt;="&amp;DATE($B286,1,1),Sales!$B$3:$B$500,"&lt;="&amp;DATE($B286,12,31))&gt;0,SUMIFS(Sales!$F$3:$F$500,Sales!$C$3:$C$500,$A286,Sales!$B$3:$B$500,"&gt;="&amp;DATE($B286,1,1),Sales!$B$3:$B$500,"&lt;="&amp;DATE($B286,12,31))/1000,SUMIFS('Asset Value'!$I$4:$I$500,'Asset Value'!$C$4:$C$500,$A286,'Asset Value'!$B$4:$B$500,$B286)/1000)</f>
        <v>26777.6621574749</v>
      </c>
      <c r="F286" s="9" t="n">
        <f aca="false">SUMIFS(Rent!$G$3:$G$500,Rent!$D$3:$D$500,$A286,Rent!$C$3:$C$500,$B286)/1000</f>
        <v>1542.49429566471</v>
      </c>
      <c r="G286" s="9" t="n">
        <f aca="false">SUMIFS(Costs!$F$3:$F$500,Costs!$C$3:$C$500,$A286,Costs!$B$3:$B$500,"&gt;="&amp;DATE($B286,1,1),Costs!$B$3:$B$500,"&lt;="&amp;DATE($B286,12,31))/1000</f>
        <v>0</v>
      </c>
      <c r="H286" s="9" t="n">
        <f aca="false">SUMIFS('Partial Sales'!$F$3:$F$500,'Partial Sales'!$C$3:$C$500,$A286,'Partial Sales'!$B$3:$B$500,"&gt;="&amp;DATE($B286,1,1),'Partial Sales'!$B$3:$B$500,"&lt;="&amp;DATE($B286,12,31))/1000</f>
        <v>0</v>
      </c>
      <c r="I286" s="9" t="n">
        <f aca="false">SUMIFS('Partial Purchases'!$F$3:$F$500,'Partial Purchases'!$C$3:$C$500,$A286,'Partial Purchases'!$B$3:$B$500,"&gt;="&amp;DATE($B286,1,1),'Partial Purchases'!$B$3:$B$500,"&lt;="&amp;DATE($B286,12,31))/1000</f>
        <v>0</v>
      </c>
      <c r="J286" s="9" t="n">
        <f aca="false">C286*(D286+0.5*(G286-H286+I286-F286))</f>
        <v>10541.8239685761</v>
      </c>
      <c r="K286" s="9" t="n">
        <f aca="false">C286*(E286-D286+H286-G286-I286)</f>
        <v>15464.5910410664</v>
      </c>
      <c r="L286" s="13" t="n">
        <f aca="false">IF(J286=0,"",C286*F286/J286)</f>
        <v>0.146321386153165</v>
      </c>
      <c r="M286" s="13" t="n">
        <f aca="false">IF(J286=0,"",K286/J286)</f>
        <v>1.46697488851688</v>
      </c>
      <c r="N286" s="13" t="n">
        <f aca="false">IF(J286=0,"",L286+M286)</f>
        <v>1.61329627467004</v>
      </c>
    </row>
    <row r="287" customFormat="false" ht="15" hidden="false" customHeight="false" outlineLevel="0" collapsed="false">
      <c r="A287" s="8" t="s">
        <v>24</v>
      </c>
      <c r="B287" s="48" t="n">
        <v>2011</v>
      </c>
      <c r="C287" s="10" t="n">
        <f aca="false">IF(D287&gt;0,1,0)</f>
        <v>1</v>
      </c>
      <c r="D287" s="9" t="n">
        <f aca="false">IF(SUMIFS(Sales!$F$3:$F$500,Sales!$C$3:$C$500,$A287,Sales!$B$3:$B$500,"&lt;="&amp;DATE($B287-1,12,31))&gt;0,0,SUMIFS('Asset Value'!$I$4:$I$500,'Asset Value'!$C$4:$C$500,$A287,'Asset Value'!$B$4:$B$500,$B287-1)/1000)</f>
        <v>26777.6621574749</v>
      </c>
      <c r="E287" s="9" t="n">
        <f aca="false">IF(SUMIFS(Sales!$F$3:$F$500,Sales!$C$3:$C$500,$A287,Sales!$B$3:$B$500,"&gt;="&amp;DATE($B287,1,1),Sales!$B$3:$B$500,"&lt;="&amp;DATE($B287,12,31))&gt;0,SUMIFS(Sales!$F$3:$F$500,Sales!$C$3:$C$500,$A287,Sales!$B$3:$B$500,"&gt;="&amp;DATE($B287,1,1),Sales!$B$3:$B$500,"&lt;="&amp;DATE($B287,12,31))/1000,SUMIFS('Asset Value'!$I$4:$I$500,'Asset Value'!$C$4:$C$500,$A287,'Asset Value'!$B$4:$B$500,$B287)/1000)</f>
        <v>52157.982984537</v>
      </c>
      <c r="F287" s="9" t="n">
        <f aca="false">SUMIFS(Rent!$G$3:$G$500,Rent!$D$3:$D$500,$A287,Rent!$C$3:$C$500,$B287)/1000</f>
        <v>2504.02244146979</v>
      </c>
      <c r="G287" s="9" t="n">
        <f aca="false">SUMIFS(Costs!$F$3:$F$500,Costs!$C$3:$C$500,$A287,Costs!$B$3:$B$500,"&gt;="&amp;DATE($B287,1,1),Costs!$B$3:$B$500,"&lt;="&amp;DATE($B287,12,31))/1000</f>
        <v>0</v>
      </c>
      <c r="H287" s="9" t="n">
        <f aca="false">SUMIFS('Partial Sales'!$F$3:$F$500,'Partial Sales'!$C$3:$C$500,$A287,'Partial Sales'!$B$3:$B$500,"&gt;="&amp;DATE($B287,1,1),'Partial Sales'!$B$3:$B$500,"&lt;="&amp;DATE($B287,12,31))/1000</f>
        <v>0</v>
      </c>
      <c r="I287" s="9" t="n">
        <f aca="false">SUMIFS('Partial Purchases'!$F$3:$F$500,'Partial Purchases'!$C$3:$C$500,$A287,'Partial Purchases'!$B$3:$B$500,"&gt;="&amp;DATE($B287,1,1),'Partial Purchases'!$B$3:$B$500,"&lt;="&amp;DATE($B287,12,31))/1000</f>
        <v>0</v>
      </c>
      <c r="J287" s="9" t="n">
        <f aca="false">C287*(D287+0.5*(G287-H287+I287-F287))</f>
        <v>25525.65093674</v>
      </c>
      <c r="K287" s="9" t="n">
        <f aca="false">C287*(E287-D287+H287-G287-I287)</f>
        <v>25380.3208270622</v>
      </c>
      <c r="L287" s="13" t="n">
        <f aca="false">IF(J287=0,"",C287*F287/J287)</f>
        <v>0.0980982795571204</v>
      </c>
      <c r="M287" s="13" t="n">
        <f aca="false">IF(J287=0,"",K287/J287)</f>
        <v>0.994306507205715</v>
      </c>
      <c r="N287" s="13" t="n">
        <f aca="false">IF(J287=0,"",L287+M287)</f>
        <v>1.09240478676284</v>
      </c>
    </row>
    <row r="288" customFormat="false" ht="15" hidden="false" customHeight="false" outlineLevel="0" collapsed="false">
      <c r="A288" s="8" t="s">
        <v>24</v>
      </c>
      <c r="B288" s="48" t="n">
        <v>2012</v>
      </c>
      <c r="C288" s="10" t="n">
        <f aca="false">IF(D288&gt;0,1,0)</f>
        <v>1</v>
      </c>
      <c r="D288" s="9" t="n">
        <f aca="false">IF(SUMIFS(Sales!$F$3:$F$500,Sales!$C$3:$C$500,$A288,Sales!$B$3:$B$500,"&lt;="&amp;DATE($B288-1,12,31))&gt;0,0,SUMIFS('Asset Value'!$I$4:$I$500,'Asset Value'!$C$4:$C$500,$A288,'Asset Value'!$B$4:$B$500,$B288-1)/1000)</f>
        <v>52157.982984537</v>
      </c>
      <c r="E288" s="9" t="n">
        <f aca="false">IF(SUMIFS(Sales!$F$3:$F$500,Sales!$C$3:$C$500,$A288,Sales!$B$3:$B$500,"&gt;="&amp;DATE($B288,1,1),Sales!$B$3:$B$500,"&lt;="&amp;DATE($B288,12,31))&gt;0,SUMIFS(Sales!$F$3:$F$500,Sales!$C$3:$C$500,$A288,Sales!$B$3:$B$500,"&gt;="&amp;DATE($B288,1,1),Sales!$B$3:$B$500,"&lt;="&amp;DATE($B288,12,31))/1000,SUMIFS('Asset Value'!$I$4:$I$500,'Asset Value'!$C$4:$C$500,$A288,'Asset Value'!$B$4:$B$500,$B288)/1000)</f>
        <v>50354.540082726</v>
      </c>
      <c r="F288" s="9" t="n">
        <f aca="false">SUMIFS(Rent!$G$3:$G$500,Rent!$D$3:$D$500,$A288,Rent!$C$3:$C$500,$B288)/1000</f>
        <v>3868.03074061383</v>
      </c>
      <c r="G288" s="9" t="n">
        <f aca="false">SUMIFS(Costs!$F$3:$F$500,Costs!$C$3:$C$500,$A288,Costs!$B$3:$B$500,"&gt;="&amp;DATE($B288,1,1),Costs!$B$3:$B$500,"&lt;="&amp;DATE($B288,12,31))/1000</f>
        <v>0</v>
      </c>
      <c r="H288" s="9" t="n">
        <f aca="false">SUMIFS('Partial Sales'!$F$3:$F$500,'Partial Sales'!$C$3:$C$500,$A288,'Partial Sales'!$B$3:$B$500,"&gt;="&amp;DATE($B288,1,1),'Partial Sales'!$B$3:$B$500,"&lt;="&amp;DATE($B288,12,31))/1000</f>
        <v>0</v>
      </c>
      <c r="I288" s="9" t="n">
        <f aca="false">SUMIFS('Partial Purchases'!$F$3:$F$500,'Partial Purchases'!$C$3:$C$500,$A288,'Partial Purchases'!$B$3:$B$500,"&gt;="&amp;DATE($B288,1,1),'Partial Purchases'!$B$3:$B$500,"&lt;="&amp;DATE($B288,12,31))/1000</f>
        <v>0</v>
      </c>
      <c r="J288" s="9" t="n">
        <f aca="false">C288*(D288+0.5*(G288-H288+I288-F288))</f>
        <v>50223.9676142301</v>
      </c>
      <c r="K288" s="9" t="n">
        <f aca="false">C288*(E288-D288+H288-G288-I288)</f>
        <v>-1803.44290181102</v>
      </c>
      <c r="L288" s="13" t="n">
        <f aca="false">IF(J288=0,"",C288*F288/J288)</f>
        <v>0.0770156346532426</v>
      </c>
      <c r="M288" s="13" t="n">
        <f aca="false">IF(J288=0,"",K288/J288)</f>
        <v>-0.0359080133943868</v>
      </c>
      <c r="N288" s="13" t="n">
        <f aca="false">IF(J288=0,"",L288+M288)</f>
        <v>0.0411076212588558</v>
      </c>
    </row>
    <row r="289" customFormat="false" ht="15" hidden="false" customHeight="false" outlineLevel="0" collapsed="false">
      <c r="A289" s="8" t="s">
        <v>24</v>
      </c>
      <c r="B289" s="48" t="n">
        <v>2013</v>
      </c>
      <c r="C289" s="10" t="n">
        <f aca="false">IF(D289&gt;0,1,0)</f>
        <v>1</v>
      </c>
      <c r="D289" s="9" t="n">
        <f aca="false">IF(SUMIFS(Sales!$F$3:$F$500,Sales!$C$3:$C$500,$A289,Sales!$B$3:$B$500,"&lt;="&amp;DATE($B289-1,12,31))&gt;0,0,SUMIFS('Asset Value'!$I$4:$I$500,'Asset Value'!$C$4:$C$500,$A289,'Asset Value'!$B$4:$B$500,$B289-1)/1000)</f>
        <v>50354.540082726</v>
      </c>
      <c r="E289" s="9" t="n">
        <f aca="false">IF(SUMIFS(Sales!$F$3:$F$500,Sales!$C$3:$C$500,$A289,Sales!$B$3:$B$500,"&gt;="&amp;DATE($B289,1,1),Sales!$B$3:$B$500,"&lt;="&amp;DATE($B289,12,31))&gt;0,SUMIFS(Sales!$F$3:$F$500,Sales!$C$3:$C$500,$A289,Sales!$B$3:$B$500,"&gt;="&amp;DATE($B289,1,1),Sales!$B$3:$B$500,"&lt;="&amp;DATE($B289,12,31))/1000,SUMIFS('Asset Value'!$I$4:$I$500,'Asset Value'!$C$4:$C$500,$A289,'Asset Value'!$B$4:$B$500,$B289)/1000)</f>
        <v>76195.6091337059</v>
      </c>
      <c r="F289" s="9" t="n">
        <f aca="false">SUMIFS(Rent!$G$3:$G$500,Rent!$D$3:$D$500,$A289,Rent!$C$3:$C$500,$B289)/1000</f>
        <v>3123.39880444065</v>
      </c>
      <c r="G289" s="9" t="n">
        <f aca="false">SUMIFS(Costs!$F$3:$F$500,Costs!$C$3:$C$500,$A289,Costs!$B$3:$B$500,"&gt;="&amp;DATE($B289,1,1),Costs!$B$3:$B$500,"&lt;="&amp;DATE($B289,12,31))/1000</f>
        <v>0</v>
      </c>
      <c r="H289" s="9" t="n">
        <f aca="false">SUMIFS('Partial Sales'!$F$3:$F$500,'Partial Sales'!$C$3:$C$500,$A289,'Partial Sales'!$B$3:$B$500,"&gt;="&amp;DATE($B289,1,1),'Partial Sales'!$B$3:$B$500,"&lt;="&amp;DATE($B289,12,31))/1000</f>
        <v>0</v>
      </c>
      <c r="I289" s="9" t="n">
        <f aca="false">SUMIFS('Partial Purchases'!$F$3:$F$500,'Partial Purchases'!$C$3:$C$500,$A289,'Partial Purchases'!$B$3:$B$500,"&gt;="&amp;DATE($B289,1,1),'Partial Purchases'!$B$3:$B$500,"&lt;="&amp;DATE($B289,12,31))/1000</f>
        <v>0</v>
      </c>
      <c r="J289" s="9" t="n">
        <f aca="false">C289*(D289+0.5*(G289-H289+I289-F289))</f>
        <v>48792.8406805057</v>
      </c>
      <c r="K289" s="9" t="n">
        <f aca="false">C289*(E289-D289+H289-G289-I289)</f>
        <v>25841.0690509798</v>
      </c>
      <c r="L289" s="13" t="n">
        <f aca="false">IF(J289=0,"",C289*F289/J289)</f>
        <v>0.0640134651083872</v>
      </c>
      <c r="M289" s="13" t="n">
        <f aca="false">IF(J289=0,"",K289/J289)</f>
        <v>0.529607800869527</v>
      </c>
      <c r="N289" s="13" t="n">
        <f aca="false">IF(J289=0,"",L289+M289)</f>
        <v>0.593621265977915</v>
      </c>
    </row>
    <row r="290" customFormat="false" ht="15" hidden="false" customHeight="false" outlineLevel="0" collapsed="false">
      <c r="A290" s="8" t="s">
        <v>24</v>
      </c>
      <c r="B290" s="48" t="n">
        <v>2014</v>
      </c>
      <c r="C290" s="10" t="n">
        <f aca="false">IF(D290&gt;0,1,0)</f>
        <v>1</v>
      </c>
      <c r="D290" s="9" t="n">
        <f aca="false">IF(SUMIFS(Sales!$F$3:$F$500,Sales!$C$3:$C$500,$A290,Sales!$B$3:$B$500,"&lt;="&amp;DATE($B290-1,12,31))&gt;0,0,SUMIFS('Asset Value'!$I$4:$I$500,'Asset Value'!$C$4:$C$500,$A290,'Asset Value'!$B$4:$B$500,$B290-1)/1000)</f>
        <v>76195.6091337059</v>
      </c>
      <c r="E290" s="9" t="n">
        <f aca="false">IF(SUMIFS(Sales!$F$3:$F$500,Sales!$C$3:$C$500,$A290,Sales!$B$3:$B$500,"&gt;="&amp;DATE($B290,1,1),Sales!$B$3:$B$500,"&lt;="&amp;DATE($B290,12,31))&gt;0,SUMIFS(Sales!$F$3:$F$500,Sales!$C$3:$C$500,$A290,Sales!$B$3:$B$500,"&gt;="&amp;DATE($B290,1,1),Sales!$B$3:$B$500,"&lt;="&amp;DATE($B290,12,31))/1000,SUMIFS('Asset Value'!$I$4:$I$500,'Asset Value'!$C$4:$C$500,$A290,'Asset Value'!$B$4:$B$500,$B290)/1000)</f>
        <v>80772.8957120169</v>
      </c>
      <c r="F290" s="9" t="n">
        <f aca="false">SUMIFS(Rent!$G$3:$G$500,Rent!$D$3:$D$500,$A290,Rent!$C$3:$C$500,$B290)/1000</f>
        <v>2864.88929055581</v>
      </c>
      <c r="G290" s="9" t="n">
        <f aca="false">SUMIFS(Costs!$F$3:$F$500,Costs!$C$3:$C$500,$A290,Costs!$B$3:$B$500,"&gt;="&amp;DATE($B290,1,1),Costs!$B$3:$B$500,"&lt;="&amp;DATE($B290,12,31))/1000</f>
        <v>0</v>
      </c>
      <c r="H290" s="9" t="n">
        <f aca="false">SUMIFS('Partial Sales'!$F$3:$F$500,'Partial Sales'!$C$3:$C$500,$A290,'Partial Sales'!$B$3:$B$500,"&gt;="&amp;DATE($B290,1,1),'Partial Sales'!$B$3:$B$500,"&lt;="&amp;DATE($B290,12,31))/1000</f>
        <v>0</v>
      </c>
      <c r="I290" s="9" t="n">
        <f aca="false">SUMIFS('Partial Purchases'!$F$3:$F$500,'Partial Purchases'!$C$3:$C$500,$A290,'Partial Purchases'!$B$3:$B$500,"&gt;="&amp;DATE($B290,1,1),'Partial Purchases'!$B$3:$B$500,"&lt;="&amp;DATE($B290,12,31))/1000</f>
        <v>0</v>
      </c>
      <c r="J290" s="9" t="n">
        <f aca="false">C290*(D290+0.5*(G290-H290+I290-F290))</f>
        <v>74763.1644884279</v>
      </c>
      <c r="K290" s="9" t="n">
        <f aca="false">C290*(E290-D290+H290-G290-I290)</f>
        <v>4577.28657831109</v>
      </c>
      <c r="L290" s="13" t="n">
        <f aca="false">IF(J290=0,"",C290*F290/J290)</f>
        <v>0.0383195295458533</v>
      </c>
      <c r="M290" s="13" t="n">
        <f aca="false">IF(J290=0,"",K290/J290)</f>
        <v>0.0612238207094561</v>
      </c>
      <c r="N290" s="13" t="n">
        <f aca="false">IF(J290=0,"",L290+M290)</f>
        <v>0.0995433502553095</v>
      </c>
    </row>
    <row r="291" customFormat="false" ht="15" hidden="false" customHeight="false" outlineLevel="0" collapsed="false">
      <c r="A291" s="49" t="s">
        <v>24</v>
      </c>
      <c r="B291" s="50" t="n">
        <v>2015</v>
      </c>
      <c r="C291" s="51" t="n">
        <f aca="false">IF(D291&gt;0,1,0)</f>
        <v>1</v>
      </c>
      <c r="D291" s="52" t="n">
        <f aca="false">IF(SUMIFS(Sales!$F$3:$F$500,Sales!$C$3:$C$500,$A291,Sales!$B$3:$B$500,"&lt;="&amp;DATE($B291-1,12,31))&gt;0,0,SUMIFS('Asset Value'!$I$4:$I$500,'Asset Value'!$C$4:$C$500,$A291,'Asset Value'!$B$4:$B$500,$B291-1)/1000)</f>
        <v>80772.8957120169</v>
      </c>
      <c r="E291" s="52" t="n">
        <f aca="false">IF(SUMIFS(Sales!$F$3:$F$500,Sales!$C$3:$C$500,$A291,Sales!$B$3:$B$500,"&gt;="&amp;DATE($B291,1,1),Sales!$B$3:$B$500,"&lt;="&amp;DATE($B291,12,31))&gt;0,SUMIFS(Sales!$F$3:$F$500,Sales!$C$3:$C$500,$A291,Sales!$B$3:$B$500,"&gt;="&amp;DATE($B291,1,1),Sales!$B$3:$B$500,"&lt;="&amp;DATE($B291,12,31))/1000,SUMIFS('Asset Value'!$I$4:$I$500,'Asset Value'!$C$4:$C$500,$A291,'Asset Value'!$B$4:$B$500,$B291)/1000)</f>
        <v>55283.7861731597</v>
      </c>
      <c r="F291" s="52" t="n">
        <f aca="false">SUMIFS(Rent!$G$3:$G$500,Rent!$D$3:$D$500,$A291,Rent!$C$3:$C$500,$B291)/1000</f>
        <v>2594.64166794734</v>
      </c>
      <c r="G291" s="52" t="n">
        <f aca="false">SUMIFS(Costs!$F$3:$F$500,Costs!$C$3:$C$500,$A291,Costs!$B$3:$B$500,"&gt;="&amp;DATE($B291,1,1),Costs!$B$3:$B$500,"&lt;="&amp;DATE($B291,12,31))/1000</f>
        <v>0</v>
      </c>
      <c r="H291" s="52" t="n">
        <f aca="false">SUMIFS('Partial Sales'!$F$3:$F$500,'Partial Sales'!$C$3:$C$500,$A291,'Partial Sales'!$B$3:$B$500,"&gt;="&amp;DATE($B291,1,1),'Partial Sales'!$B$3:$B$500,"&lt;="&amp;DATE($B291,12,31))/1000</f>
        <v>0</v>
      </c>
      <c r="I291" s="52" t="n">
        <f aca="false">SUMIFS('Partial Purchases'!$F$3:$F$500,'Partial Purchases'!$C$3:$C$500,$A291,'Partial Purchases'!$B$3:$B$500,"&gt;="&amp;DATE($B291,1,1),'Partial Purchases'!$B$3:$B$500,"&lt;="&amp;DATE($B291,12,31))/1000</f>
        <v>0</v>
      </c>
      <c r="J291" s="52" t="n">
        <f aca="false">C291*(D291+0.5*(G291-H291+I291-F291))</f>
        <v>79475.5748780433</v>
      </c>
      <c r="K291" s="52" t="n">
        <f aca="false">C291*(E291-D291+H291-G291-I291)</f>
        <v>-25489.1095388573</v>
      </c>
      <c r="L291" s="46" t="n">
        <f aca="false">IF(J291=0,"",C291*F291/J291)</f>
        <v>0.0326470323986818</v>
      </c>
      <c r="M291" s="46" t="n">
        <f aca="false">IF(J291=0,"",K291/J291)</f>
        <v>-0.320716265065975</v>
      </c>
      <c r="N291" s="46" t="n">
        <f aca="false">IF(J291=0,"",L291+M291)</f>
        <v>-0.288069232667293</v>
      </c>
    </row>
    <row r="292" customFormat="false" ht="15" hidden="false" customHeight="false" outlineLevel="0" collapsed="false">
      <c r="A292" s="8" t="s">
        <v>25</v>
      </c>
      <c r="B292" s="48" t="n">
        <v>2008</v>
      </c>
      <c r="C292" s="10" t="n">
        <f aca="false">IF(D292&gt;0,1,0)</f>
        <v>0</v>
      </c>
      <c r="D292" s="9" t="n">
        <f aca="false">IF(SUMIFS(Sales!$F$3:$F$500,Sales!$C$3:$C$500,$A292,Sales!$B$3:$B$500,"&lt;="&amp;DATE($B292-1,12,31))&gt;0,0,SUMIFS('Asset Value'!$I$4:$I$500,'Asset Value'!$C$4:$C$500,$A292,'Asset Value'!$B$4:$B$500,$B292-1)/1000)</f>
        <v>0</v>
      </c>
      <c r="E292" s="9" t="n">
        <f aca="false">IF(SUMIFS(Sales!$F$3:$F$500,Sales!$C$3:$C$500,$A292,Sales!$B$3:$B$500,"&gt;="&amp;DATE($B292,1,1),Sales!$B$3:$B$500,"&lt;="&amp;DATE($B292,12,31))&gt;0,SUMIFS(Sales!$F$3:$F$500,Sales!$C$3:$C$500,$A292,Sales!$B$3:$B$500,"&gt;="&amp;DATE($B292,1,1),Sales!$B$3:$B$500,"&lt;="&amp;DATE($B292,12,31))/1000,SUMIFS('Asset Value'!$I$4:$I$500,'Asset Value'!$C$4:$C$500,$A292,'Asset Value'!$B$4:$B$500,$B292)/1000)</f>
        <v>92896.110056926</v>
      </c>
      <c r="F292" s="9" t="n">
        <f aca="false">SUMIFS(Rent!$G$3:$G$500,Rent!$D$3:$D$500,$A292,Rent!$C$3:$C$500,$B292)/1000</f>
        <v>0</v>
      </c>
      <c r="G292" s="9" t="n">
        <f aca="false">SUMIFS(Costs!$F$3:$F$500,Costs!$C$3:$C$500,$A292,Costs!$B$3:$B$500,"&gt;="&amp;DATE($B292,1,1),Costs!$B$3:$B$500,"&lt;="&amp;DATE($B292,12,31))/1000</f>
        <v>0</v>
      </c>
      <c r="H292" s="9" t="n">
        <f aca="false">SUMIFS('Partial Sales'!$F$3:$F$500,'Partial Sales'!$C$3:$C$500,$A292,'Partial Sales'!$B$3:$B$500,"&gt;="&amp;DATE($B292,1,1),'Partial Sales'!$B$3:$B$500,"&lt;="&amp;DATE($B292,12,31))/1000</f>
        <v>0</v>
      </c>
      <c r="I292" s="9" t="n">
        <f aca="false">SUMIFS('Partial Purchases'!$F$3:$F$500,'Partial Purchases'!$C$3:$C$500,$A292,'Partial Purchases'!$B$3:$B$500,"&gt;="&amp;DATE($B292,1,1),'Partial Purchases'!$B$3:$B$500,"&lt;="&amp;DATE($B292,12,31))/1000</f>
        <v>0</v>
      </c>
      <c r="J292" s="9" t="n">
        <f aca="false">C292*(D292+0.5*(G292-H292+I292-F292))</f>
        <v>0</v>
      </c>
      <c r="K292" s="9" t="n">
        <f aca="false">C292*(E292-D292+H292-G292-I292)</f>
        <v>0</v>
      </c>
      <c r="L292" s="13" t="str">
        <f aca="false">IF(J292=0,"",C292*F292/J292)</f>
        <v/>
      </c>
      <c r="M292" s="13" t="str">
        <f aca="false">IF(J292=0,"",K292/J292)</f>
        <v/>
      </c>
      <c r="N292" s="13" t="str">
        <f aca="false">IF(J292=0,"",L292+M292)</f>
        <v/>
      </c>
    </row>
    <row r="293" customFormat="false" ht="15" hidden="false" customHeight="false" outlineLevel="0" collapsed="false">
      <c r="A293" s="8" t="s">
        <v>25</v>
      </c>
      <c r="B293" s="48" t="n">
        <v>2009</v>
      </c>
      <c r="C293" s="10" t="n">
        <f aca="false">IF(D293&gt;0,1,0)</f>
        <v>1</v>
      </c>
      <c r="D293" s="9" t="n">
        <f aca="false">IF(SUMIFS(Sales!$F$3:$F$500,Sales!$C$3:$C$500,$A293,Sales!$B$3:$B$500,"&lt;="&amp;DATE($B293-1,12,31))&gt;0,0,SUMIFS('Asset Value'!$I$4:$I$500,'Asset Value'!$C$4:$C$500,$A293,'Asset Value'!$B$4:$B$500,$B293-1)/1000)</f>
        <v>92896.110056926</v>
      </c>
      <c r="E293" s="9" t="n">
        <f aca="false">IF(SUMIFS(Sales!$F$3:$F$500,Sales!$C$3:$C$500,$A293,Sales!$B$3:$B$500,"&gt;="&amp;DATE($B293,1,1),Sales!$B$3:$B$500,"&lt;="&amp;DATE($B293,12,31))&gt;0,SUMIFS(Sales!$F$3:$F$500,Sales!$C$3:$C$500,$A293,Sales!$B$3:$B$500,"&gt;="&amp;DATE($B293,1,1),Sales!$B$3:$B$500,"&lt;="&amp;DATE($B293,12,31))/1000,SUMIFS('Asset Value'!$I$4:$I$500,'Asset Value'!$C$4:$C$500,$A293,'Asset Value'!$B$4:$B$500,$B293)/1000)</f>
        <v>102974.771553437</v>
      </c>
      <c r="F293" s="9" t="n">
        <f aca="false">SUMIFS(Rent!$G$3:$G$500,Rent!$D$3:$D$500,$A293,Rent!$C$3:$C$500,$B293)/1000</f>
        <v>0</v>
      </c>
      <c r="G293" s="9" t="n">
        <f aca="false">SUMIFS(Costs!$F$3:$F$500,Costs!$C$3:$C$500,$A293,Costs!$B$3:$B$500,"&gt;="&amp;DATE($B293,1,1),Costs!$B$3:$B$500,"&lt;="&amp;DATE($B293,12,31))/1000</f>
        <v>0</v>
      </c>
      <c r="H293" s="9" t="n">
        <f aca="false">SUMIFS('Partial Sales'!$F$3:$F$500,'Partial Sales'!$C$3:$C$500,$A293,'Partial Sales'!$B$3:$B$500,"&gt;="&amp;DATE($B293,1,1),'Partial Sales'!$B$3:$B$500,"&lt;="&amp;DATE($B293,12,31))/1000</f>
        <v>0</v>
      </c>
      <c r="I293" s="9" t="n">
        <f aca="false">SUMIFS('Partial Purchases'!$F$3:$F$500,'Partial Purchases'!$C$3:$C$500,$A293,'Partial Purchases'!$B$3:$B$500,"&gt;="&amp;DATE($B293,1,1),'Partial Purchases'!$B$3:$B$500,"&lt;="&amp;DATE($B293,12,31))/1000</f>
        <v>0</v>
      </c>
      <c r="J293" s="9" t="n">
        <f aca="false">C293*(D293+0.5*(G293-H293+I293-F293))</f>
        <v>92896.110056926</v>
      </c>
      <c r="K293" s="9" t="n">
        <f aca="false">C293*(E293-D293+H293-G293-I293)</f>
        <v>10078.6614965106</v>
      </c>
      <c r="L293" s="13" t="n">
        <f aca="false">IF(J293=0,"",C293*F293/J293)</f>
        <v>0</v>
      </c>
      <c r="M293" s="13" t="n">
        <f aca="false">IF(J293=0,"",K293/J293)</f>
        <v>0.10849390238552</v>
      </c>
      <c r="N293" s="13" t="n">
        <f aca="false">IF(J293=0,"",L293+M293)</f>
        <v>0.10849390238552</v>
      </c>
    </row>
    <row r="294" customFormat="false" ht="15" hidden="false" customHeight="false" outlineLevel="0" collapsed="false">
      <c r="A294" s="8" t="s">
        <v>25</v>
      </c>
      <c r="B294" s="48" t="n">
        <v>2010</v>
      </c>
      <c r="C294" s="10" t="n">
        <f aca="false">IF(D294&gt;0,1,0)</f>
        <v>1</v>
      </c>
      <c r="D294" s="9" t="n">
        <f aca="false">IF(SUMIFS(Sales!$F$3:$F$500,Sales!$C$3:$C$500,$A294,Sales!$B$3:$B$500,"&lt;="&amp;DATE($B294-1,12,31))&gt;0,0,SUMIFS('Asset Value'!$I$4:$I$500,'Asset Value'!$C$4:$C$500,$A294,'Asset Value'!$B$4:$B$500,$B294-1)/1000)</f>
        <v>102974.771553437</v>
      </c>
      <c r="E294" s="9" t="n">
        <f aca="false">IF(SUMIFS(Sales!$F$3:$F$500,Sales!$C$3:$C$500,$A294,Sales!$B$3:$B$500,"&gt;="&amp;DATE($B294,1,1),Sales!$B$3:$B$500,"&lt;="&amp;DATE($B294,12,31))&gt;0,SUMIFS(Sales!$F$3:$F$500,Sales!$C$3:$C$500,$A294,Sales!$B$3:$B$500,"&gt;="&amp;DATE($B294,1,1),Sales!$B$3:$B$500,"&lt;="&amp;DATE($B294,12,31))/1000,SUMIFS('Asset Value'!$I$4:$I$500,'Asset Value'!$C$4:$C$500,$A294,'Asset Value'!$B$4:$B$500,$B294)/1000)</f>
        <v>115533.587698</v>
      </c>
      <c r="F294" s="9" t="n">
        <f aca="false">SUMIFS(Rent!$G$3:$G$500,Rent!$D$3:$D$500,$A294,Rent!$C$3:$C$500,$B294)/1000</f>
        <v>0</v>
      </c>
      <c r="G294" s="9" t="n">
        <f aca="false">SUMIFS(Costs!$F$3:$F$500,Costs!$C$3:$C$500,$A294,Costs!$B$3:$B$500,"&gt;="&amp;DATE($B294,1,1),Costs!$B$3:$B$500,"&lt;="&amp;DATE($B294,12,31))/1000</f>
        <v>0</v>
      </c>
      <c r="H294" s="9" t="n">
        <f aca="false">SUMIFS('Partial Sales'!$F$3:$F$500,'Partial Sales'!$C$3:$C$500,$A294,'Partial Sales'!$B$3:$B$500,"&gt;="&amp;DATE($B294,1,1),'Partial Sales'!$B$3:$B$500,"&lt;="&amp;DATE($B294,12,31))/1000</f>
        <v>0</v>
      </c>
      <c r="I294" s="9" t="n">
        <f aca="false">SUMIFS('Partial Purchases'!$F$3:$F$500,'Partial Purchases'!$C$3:$C$500,$A294,'Partial Purchases'!$B$3:$B$500,"&gt;="&amp;DATE($B294,1,1),'Partial Purchases'!$B$3:$B$500,"&lt;="&amp;DATE($B294,12,31))/1000</f>
        <v>0</v>
      </c>
      <c r="J294" s="9" t="n">
        <f aca="false">C294*(D294+0.5*(G294-H294+I294-F294))</f>
        <v>102974.771553437</v>
      </c>
      <c r="K294" s="9" t="n">
        <f aca="false">C294*(E294-D294+H294-G294-I294)</f>
        <v>12558.8161445631</v>
      </c>
      <c r="L294" s="13" t="n">
        <f aca="false">IF(J294=0,"",C294*F294/J294)</f>
        <v>0</v>
      </c>
      <c r="M294" s="13" t="n">
        <f aca="false">IF(J294=0,"",K294/J294)</f>
        <v>0.121960126301868</v>
      </c>
      <c r="N294" s="13" t="n">
        <f aca="false">IF(J294=0,"",L294+M294)</f>
        <v>0.121960126301868</v>
      </c>
    </row>
    <row r="295" customFormat="false" ht="15" hidden="false" customHeight="false" outlineLevel="0" collapsed="false">
      <c r="A295" s="8" t="s">
        <v>25</v>
      </c>
      <c r="B295" s="48" t="n">
        <v>2011</v>
      </c>
      <c r="C295" s="10" t="n">
        <f aca="false">IF(D295&gt;0,1,0)</f>
        <v>1</v>
      </c>
      <c r="D295" s="9" t="n">
        <f aca="false">IF(SUMIFS(Sales!$F$3:$F$500,Sales!$C$3:$C$500,$A295,Sales!$B$3:$B$500,"&lt;="&amp;DATE($B295-1,12,31))&gt;0,0,SUMIFS('Asset Value'!$I$4:$I$500,'Asset Value'!$C$4:$C$500,$A295,'Asset Value'!$B$4:$B$500,$B295-1)/1000)</f>
        <v>115533.587698</v>
      </c>
      <c r="E295" s="9" t="n">
        <f aca="false">IF(SUMIFS(Sales!$F$3:$F$500,Sales!$C$3:$C$500,$A295,Sales!$B$3:$B$500,"&gt;="&amp;DATE($B295,1,1),Sales!$B$3:$B$500,"&lt;="&amp;DATE($B295,12,31))&gt;0,SUMIFS(Sales!$F$3:$F$500,Sales!$C$3:$C$500,$A295,Sales!$B$3:$B$500,"&gt;="&amp;DATE($B295,1,1),Sales!$B$3:$B$500,"&lt;="&amp;DATE($B295,12,31))/1000,SUMIFS('Asset Value'!$I$4:$I$500,'Asset Value'!$C$4:$C$500,$A295,'Asset Value'!$B$4:$B$500,$B295)/1000)</f>
        <v>138216.481400981</v>
      </c>
      <c r="F295" s="9" t="n">
        <f aca="false">SUMIFS(Rent!$G$3:$G$500,Rent!$D$3:$D$500,$A295,Rent!$C$3:$C$500,$B295)/1000</f>
        <v>0</v>
      </c>
      <c r="G295" s="9" t="n">
        <f aca="false">SUMIFS(Costs!$F$3:$F$500,Costs!$C$3:$C$500,$A295,Costs!$B$3:$B$500,"&gt;="&amp;DATE($B295,1,1),Costs!$B$3:$B$500,"&lt;="&amp;DATE($B295,12,31))/1000</f>
        <v>0</v>
      </c>
      <c r="H295" s="9" t="n">
        <f aca="false">SUMIFS('Partial Sales'!$F$3:$F$500,'Partial Sales'!$C$3:$C$500,$A295,'Partial Sales'!$B$3:$B$500,"&gt;="&amp;DATE($B295,1,1),'Partial Sales'!$B$3:$B$500,"&lt;="&amp;DATE($B295,12,31))/1000</f>
        <v>0</v>
      </c>
      <c r="I295" s="9" t="n">
        <f aca="false">SUMIFS('Partial Purchases'!$F$3:$F$500,'Partial Purchases'!$C$3:$C$500,$A295,'Partial Purchases'!$B$3:$B$500,"&gt;="&amp;DATE($B295,1,1),'Partial Purchases'!$B$3:$B$500,"&lt;="&amp;DATE($B295,12,31))/1000</f>
        <v>0</v>
      </c>
      <c r="J295" s="9" t="n">
        <f aca="false">C295*(D295+0.5*(G295-H295+I295-F295))</f>
        <v>115533.587698</v>
      </c>
      <c r="K295" s="9" t="n">
        <f aca="false">C295*(E295-D295+H295-G295-I295)</f>
        <v>22682.8937029814</v>
      </c>
      <c r="L295" s="13" t="n">
        <f aca="false">IF(J295=0,"",C295*F295/J295)</f>
        <v>0</v>
      </c>
      <c r="M295" s="13" t="n">
        <f aca="false">IF(J295=0,"",K295/J295)</f>
        <v>0.196331596334337</v>
      </c>
      <c r="N295" s="13" t="n">
        <f aca="false">IF(J295=0,"",L295+M295)</f>
        <v>0.196331596334337</v>
      </c>
    </row>
    <row r="296" customFormat="false" ht="15" hidden="false" customHeight="false" outlineLevel="0" collapsed="false">
      <c r="A296" s="8" t="s">
        <v>25</v>
      </c>
      <c r="B296" s="48" t="n">
        <v>2012</v>
      </c>
      <c r="C296" s="10" t="n">
        <f aca="false">IF(D296&gt;0,1,0)</f>
        <v>1</v>
      </c>
      <c r="D296" s="9" t="n">
        <f aca="false">IF(SUMIFS(Sales!$F$3:$F$500,Sales!$C$3:$C$500,$A296,Sales!$B$3:$B$500,"&lt;="&amp;DATE($B296-1,12,31))&gt;0,0,SUMIFS('Asset Value'!$I$4:$I$500,'Asset Value'!$C$4:$C$500,$A296,'Asset Value'!$B$4:$B$500,$B296-1)/1000)</f>
        <v>138216.481400981</v>
      </c>
      <c r="E296" s="9" t="n">
        <f aca="false">IF(SUMIFS(Sales!$F$3:$F$500,Sales!$C$3:$C$500,$A296,Sales!$B$3:$B$500,"&gt;="&amp;DATE($B296,1,1),Sales!$B$3:$B$500,"&lt;="&amp;DATE($B296,12,31))&gt;0,SUMIFS(Sales!$F$3:$F$500,Sales!$C$3:$C$500,$A296,Sales!$B$3:$B$500,"&gt;="&amp;DATE($B296,1,1),Sales!$B$3:$B$500,"&lt;="&amp;DATE($B296,12,31))/1000,SUMIFS('Asset Value'!$I$4:$I$500,'Asset Value'!$C$4:$C$500,$A296,'Asset Value'!$B$4:$B$500,$B296)/1000)</f>
        <v>129082.135119165</v>
      </c>
      <c r="F296" s="9" t="n">
        <f aca="false">SUMIFS(Rent!$G$3:$G$500,Rent!$D$3:$D$500,$A296,Rent!$C$3:$C$500,$B296)/1000</f>
        <v>0</v>
      </c>
      <c r="G296" s="9" t="n">
        <f aca="false">SUMIFS(Costs!$F$3:$F$500,Costs!$C$3:$C$500,$A296,Costs!$B$3:$B$500,"&gt;="&amp;DATE($B296,1,1),Costs!$B$3:$B$500,"&lt;="&amp;DATE($B296,12,31))/1000</f>
        <v>0</v>
      </c>
      <c r="H296" s="9" t="n">
        <f aca="false">SUMIFS('Partial Sales'!$F$3:$F$500,'Partial Sales'!$C$3:$C$500,$A296,'Partial Sales'!$B$3:$B$500,"&gt;="&amp;DATE($B296,1,1),'Partial Sales'!$B$3:$B$500,"&lt;="&amp;DATE($B296,12,31))/1000</f>
        <v>0</v>
      </c>
      <c r="I296" s="9" t="n">
        <f aca="false">SUMIFS('Partial Purchases'!$F$3:$F$500,'Partial Purchases'!$C$3:$C$500,$A296,'Partial Purchases'!$B$3:$B$500,"&gt;="&amp;DATE($B296,1,1),'Partial Purchases'!$B$3:$B$500,"&lt;="&amp;DATE($B296,12,31))/1000</f>
        <v>0</v>
      </c>
      <c r="J296" s="9" t="n">
        <f aca="false">C296*(D296+0.5*(G296-H296+I296-F296))</f>
        <v>138216.481400981</v>
      </c>
      <c r="K296" s="9" t="n">
        <f aca="false">C296*(E296-D296+H296-G296-I296)</f>
        <v>-9134.34628181634</v>
      </c>
      <c r="L296" s="13" t="n">
        <f aca="false">IF(J296=0,"",C296*F296/J296)</f>
        <v>0</v>
      </c>
      <c r="M296" s="13" t="n">
        <f aca="false">IF(J296=0,"",K296/J296)</f>
        <v>-0.0660872436429386</v>
      </c>
      <c r="N296" s="13" t="n">
        <f aca="false">IF(J296=0,"",L296+M296)</f>
        <v>-0.0660872436429386</v>
      </c>
    </row>
    <row r="297" customFormat="false" ht="15" hidden="false" customHeight="false" outlineLevel="0" collapsed="false">
      <c r="A297" s="8" t="s">
        <v>25</v>
      </c>
      <c r="B297" s="48" t="n">
        <v>2013</v>
      </c>
      <c r="C297" s="10" t="n">
        <f aca="false">IF(D297&gt;0,1,0)</f>
        <v>1</v>
      </c>
      <c r="D297" s="9" t="n">
        <f aca="false">IF(SUMIFS(Sales!$F$3:$F$500,Sales!$C$3:$C$500,$A297,Sales!$B$3:$B$500,"&lt;="&amp;DATE($B297-1,12,31))&gt;0,0,SUMIFS('Asset Value'!$I$4:$I$500,'Asset Value'!$C$4:$C$500,$A297,'Asset Value'!$B$4:$B$500,$B297-1)/1000)</f>
        <v>129082.135119165</v>
      </c>
      <c r="E297" s="9" t="n">
        <f aca="false">IF(SUMIFS(Sales!$F$3:$F$500,Sales!$C$3:$C$500,$A297,Sales!$B$3:$B$500,"&gt;="&amp;DATE($B297,1,1),Sales!$B$3:$B$500,"&lt;="&amp;DATE($B297,12,31))&gt;0,SUMIFS(Sales!$F$3:$F$500,Sales!$C$3:$C$500,$A297,Sales!$B$3:$B$500,"&gt;="&amp;DATE($B297,1,1),Sales!$B$3:$B$500,"&lt;="&amp;DATE($B297,12,31))/1000,SUMIFS('Asset Value'!$I$4:$I$500,'Asset Value'!$C$4:$C$500,$A297,'Asset Value'!$B$4:$B$500,$B297)/1000)</f>
        <v>134349.949403845</v>
      </c>
      <c r="F297" s="9" t="n">
        <f aca="false">SUMIFS(Rent!$G$3:$G$500,Rent!$D$3:$D$500,$A297,Rent!$C$3:$C$500,$B297)/1000</f>
        <v>0</v>
      </c>
      <c r="G297" s="9" t="n">
        <f aca="false">SUMIFS(Costs!$F$3:$F$500,Costs!$C$3:$C$500,$A297,Costs!$B$3:$B$500,"&gt;="&amp;DATE($B297,1,1),Costs!$B$3:$B$500,"&lt;="&amp;DATE($B297,12,31))/1000</f>
        <v>0</v>
      </c>
      <c r="H297" s="9" t="n">
        <f aca="false">SUMIFS('Partial Sales'!$F$3:$F$500,'Partial Sales'!$C$3:$C$500,$A297,'Partial Sales'!$B$3:$B$500,"&gt;="&amp;DATE($B297,1,1),'Partial Sales'!$B$3:$B$500,"&lt;="&amp;DATE($B297,12,31))/1000</f>
        <v>0</v>
      </c>
      <c r="I297" s="9" t="n">
        <f aca="false">SUMIFS('Partial Purchases'!$F$3:$F$500,'Partial Purchases'!$C$3:$C$500,$A297,'Partial Purchases'!$B$3:$B$500,"&gt;="&amp;DATE($B297,1,1),'Partial Purchases'!$B$3:$B$500,"&lt;="&amp;DATE($B297,12,31))/1000</f>
        <v>0</v>
      </c>
      <c r="J297" s="9" t="n">
        <f aca="false">C297*(D297+0.5*(G297-H297+I297-F297))</f>
        <v>129082.135119165</v>
      </c>
      <c r="K297" s="9" t="n">
        <f aca="false">C297*(E297-D297+H297-G297-I297)</f>
        <v>5267.81428468044</v>
      </c>
      <c r="L297" s="13" t="n">
        <f aca="false">IF(J297=0,"",C297*F297/J297)</f>
        <v>0</v>
      </c>
      <c r="M297" s="13" t="n">
        <f aca="false">IF(J297=0,"",K297/J297)</f>
        <v>0.0408097857989206</v>
      </c>
      <c r="N297" s="13" t="n">
        <f aca="false">IF(J297=0,"",L297+M297)</f>
        <v>0.0408097857989206</v>
      </c>
    </row>
    <row r="298" customFormat="false" ht="15" hidden="false" customHeight="false" outlineLevel="0" collapsed="false">
      <c r="A298" s="8" t="s">
        <v>25</v>
      </c>
      <c r="B298" s="48" t="n">
        <v>2014</v>
      </c>
      <c r="C298" s="10" t="n">
        <f aca="false">IF(D298&gt;0,1,0)</f>
        <v>1</v>
      </c>
      <c r="D298" s="9" t="n">
        <f aca="false">IF(SUMIFS(Sales!$F$3:$F$500,Sales!$C$3:$C$500,$A298,Sales!$B$3:$B$500,"&lt;="&amp;DATE($B298-1,12,31))&gt;0,0,SUMIFS('Asset Value'!$I$4:$I$500,'Asset Value'!$C$4:$C$500,$A298,'Asset Value'!$B$4:$B$500,$B298-1)/1000)</f>
        <v>134349.949403845</v>
      </c>
      <c r="E298" s="9" t="n">
        <f aca="false">IF(SUMIFS(Sales!$F$3:$F$500,Sales!$C$3:$C$500,$A298,Sales!$B$3:$B$500,"&gt;="&amp;DATE($B298,1,1),Sales!$B$3:$B$500,"&lt;="&amp;DATE($B298,12,31))&gt;0,SUMIFS(Sales!$F$3:$F$500,Sales!$C$3:$C$500,$A298,Sales!$B$3:$B$500,"&gt;="&amp;DATE($B298,1,1),Sales!$B$3:$B$500,"&lt;="&amp;DATE($B298,12,31))/1000,SUMIFS('Asset Value'!$I$4:$I$500,'Asset Value'!$C$4:$C$500,$A298,'Asset Value'!$B$4:$B$500,$B298)/1000)</f>
        <v>153074.819128287</v>
      </c>
      <c r="F298" s="9" t="n">
        <f aca="false">SUMIFS(Rent!$G$3:$G$500,Rent!$D$3:$D$500,$A298,Rent!$C$3:$C$500,$B298)/1000</f>
        <v>56.8609730381082</v>
      </c>
      <c r="G298" s="9" t="n">
        <f aca="false">SUMIFS(Costs!$F$3:$F$500,Costs!$C$3:$C$500,$A298,Costs!$B$3:$B$500,"&gt;="&amp;DATE($B298,1,1),Costs!$B$3:$B$500,"&lt;="&amp;DATE($B298,12,31))/1000</f>
        <v>0</v>
      </c>
      <c r="H298" s="9" t="n">
        <f aca="false">SUMIFS('Partial Sales'!$F$3:$F$500,'Partial Sales'!$C$3:$C$500,$A298,'Partial Sales'!$B$3:$B$500,"&gt;="&amp;DATE($B298,1,1),'Partial Sales'!$B$3:$B$500,"&lt;="&amp;DATE($B298,12,31))/1000</f>
        <v>0</v>
      </c>
      <c r="I298" s="9" t="n">
        <f aca="false">SUMIFS('Partial Purchases'!$F$3:$F$500,'Partial Purchases'!$C$3:$C$500,$A298,'Partial Purchases'!$B$3:$B$500,"&gt;="&amp;DATE($B298,1,1),'Partial Purchases'!$B$3:$B$500,"&lt;="&amp;DATE($B298,12,31))/1000</f>
        <v>0</v>
      </c>
      <c r="J298" s="9" t="n">
        <f aca="false">C298*(D298+0.5*(G298-H298+I298-F298))</f>
        <v>134321.518917326</v>
      </c>
      <c r="K298" s="9" t="n">
        <f aca="false">C298*(E298-D298+H298-G298-I298)</f>
        <v>18724.8697244413</v>
      </c>
      <c r="L298" s="13" t="n">
        <f aca="false">IF(J298=0,"",C298*F298/J298)</f>
        <v>0.000423319908056621</v>
      </c>
      <c r="M298" s="13" t="n">
        <f aca="false">IF(J298=0,"",K298/J298)</f>
        <v>0.139403350076515</v>
      </c>
      <c r="N298" s="13" t="n">
        <f aca="false">IF(J298=0,"",L298+M298)</f>
        <v>0.139826669984572</v>
      </c>
    </row>
    <row r="299" customFormat="false" ht="15" hidden="false" customHeight="false" outlineLevel="0" collapsed="false">
      <c r="A299" s="49" t="s">
        <v>25</v>
      </c>
      <c r="B299" s="50" t="n">
        <v>2015</v>
      </c>
      <c r="C299" s="51" t="n">
        <f aca="false">IF(D299&gt;0,1,0)</f>
        <v>1</v>
      </c>
      <c r="D299" s="52" t="n">
        <f aca="false">IF(SUMIFS(Sales!$F$3:$F$500,Sales!$C$3:$C$500,$A299,Sales!$B$3:$B$500,"&lt;="&amp;DATE($B299-1,12,31))&gt;0,0,SUMIFS('Asset Value'!$I$4:$I$500,'Asset Value'!$C$4:$C$500,$A299,'Asset Value'!$B$4:$B$500,$B299-1)/1000)</f>
        <v>153074.819128287</v>
      </c>
      <c r="E299" s="52" t="n">
        <f aca="false">IF(SUMIFS(Sales!$F$3:$F$500,Sales!$C$3:$C$500,$A299,Sales!$B$3:$B$500,"&gt;="&amp;DATE($B299,1,1),Sales!$B$3:$B$500,"&lt;="&amp;DATE($B299,12,31))&gt;0,SUMIFS(Sales!$F$3:$F$500,Sales!$C$3:$C$500,$A299,Sales!$B$3:$B$500,"&gt;="&amp;DATE($B299,1,1),Sales!$B$3:$B$500,"&lt;="&amp;DATE($B299,12,31))/1000,SUMIFS('Asset Value'!$I$4:$I$500,'Asset Value'!$C$4:$C$500,$A299,'Asset Value'!$B$4:$B$500,$B299)/1000)</f>
        <v>121438.675075146</v>
      </c>
      <c r="F299" s="52" t="n">
        <f aca="false">SUMIFS(Rent!$G$3:$G$500,Rent!$D$3:$D$500,$A299,Rent!$C$3:$C$500,$B299)/1000</f>
        <v>40.7253726755802</v>
      </c>
      <c r="G299" s="52" t="n">
        <f aca="false">SUMIFS(Costs!$F$3:$F$500,Costs!$C$3:$C$500,$A299,Costs!$B$3:$B$500,"&gt;="&amp;DATE($B299,1,1),Costs!$B$3:$B$500,"&lt;="&amp;DATE($B299,12,31))/1000</f>
        <v>0</v>
      </c>
      <c r="H299" s="52" t="n">
        <f aca="false">SUMIFS('Partial Sales'!$F$3:$F$500,'Partial Sales'!$C$3:$C$500,$A299,'Partial Sales'!$B$3:$B$500,"&gt;="&amp;DATE($B299,1,1),'Partial Sales'!$B$3:$B$500,"&lt;="&amp;DATE($B299,12,31))/1000</f>
        <v>0</v>
      </c>
      <c r="I299" s="52" t="n">
        <f aca="false">SUMIFS('Partial Purchases'!$F$3:$F$500,'Partial Purchases'!$C$3:$C$500,$A299,'Partial Purchases'!$B$3:$B$500,"&gt;="&amp;DATE($B299,1,1),'Partial Purchases'!$B$3:$B$500,"&lt;="&amp;DATE($B299,12,31))/1000</f>
        <v>0</v>
      </c>
      <c r="J299" s="52" t="n">
        <f aca="false">C299*(D299+0.5*(G299-H299+I299-F299))</f>
        <v>153054.456441949</v>
      </c>
      <c r="K299" s="52" t="n">
        <f aca="false">C299*(E299-D299+H299-G299-I299)</f>
        <v>-31636.1440531407</v>
      </c>
      <c r="L299" s="46" t="n">
        <f aca="false">IF(J299=0,"",C299*F299/J299)</f>
        <v>0.000266084200501713</v>
      </c>
      <c r="M299" s="46" t="n">
        <f aca="false">IF(J299=0,"",K299/J299)</f>
        <v>-0.206698614261779</v>
      </c>
      <c r="N299" s="46" t="n">
        <f aca="false">IF(J299=0,"",L299+M299)</f>
        <v>-0.206432530061278</v>
      </c>
    </row>
    <row r="300" customFormat="false" ht="15" hidden="false" customHeight="false" outlineLevel="0" collapsed="false">
      <c r="A300" s="8" t="s">
        <v>26</v>
      </c>
      <c r="B300" s="48" t="n">
        <v>2008</v>
      </c>
      <c r="C300" s="10" t="n">
        <f aca="false">IF(D300&gt;0,1,0)</f>
        <v>0</v>
      </c>
      <c r="D300" s="9" t="n">
        <f aca="false">IF(SUMIFS(Sales!$F$3:$F$500,Sales!$C$3:$C$500,$A300,Sales!$B$3:$B$500,"&lt;="&amp;DATE($B300-1,12,31))&gt;0,0,SUMIFS('Asset Value'!$I$4:$I$500,'Asset Value'!$C$4:$C$500,$A300,'Asset Value'!$B$4:$B$500,$B300-1)/1000)</f>
        <v>0</v>
      </c>
      <c r="E300" s="9" t="n">
        <f aca="false">IF(SUMIFS(Sales!$F$3:$F$500,Sales!$C$3:$C$500,$A300,Sales!$B$3:$B$500,"&gt;="&amp;DATE($B300,1,1),Sales!$B$3:$B$500,"&lt;="&amp;DATE($B300,12,31))&gt;0,SUMIFS(Sales!$F$3:$F$500,Sales!$C$3:$C$500,$A300,Sales!$B$3:$B$500,"&gt;="&amp;DATE($B300,1,1),Sales!$B$3:$B$500,"&lt;="&amp;DATE($B300,12,31))/1000,SUMIFS('Asset Value'!$I$4:$I$500,'Asset Value'!$C$4:$C$500,$A300,'Asset Value'!$B$4:$B$500,$B300)/1000)</f>
        <v>129767.552182163</v>
      </c>
      <c r="F300" s="9" t="n">
        <f aca="false">SUMIFS(Rent!$G$3:$G$500,Rent!$D$3:$D$500,$A300,Rent!$C$3:$C$500,$B300)/1000</f>
        <v>3213.44472005821</v>
      </c>
      <c r="G300" s="9" t="n">
        <f aca="false">SUMIFS(Costs!$F$3:$F$500,Costs!$C$3:$C$500,$A300,Costs!$B$3:$B$500,"&gt;="&amp;DATE($B300,1,1),Costs!$B$3:$B$500,"&lt;="&amp;DATE($B300,12,31))/1000</f>
        <v>0</v>
      </c>
      <c r="H300" s="9" t="n">
        <f aca="false">SUMIFS('Partial Sales'!$F$3:$F$500,'Partial Sales'!$C$3:$C$500,$A300,'Partial Sales'!$B$3:$B$500,"&gt;="&amp;DATE($B300,1,1),'Partial Sales'!$B$3:$B$500,"&lt;="&amp;DATE($B300,12,31))/1000</f>
        <v>0</v>
      </c>
      <c r="I300" s="9" t="n">
        <f aca="false">SUMIFS('Partial Purchases'!$F$3:$F$500,'Partial Purchases'!$C$3:$C$500,$A300,'Partial Purchases'!$B$3:$B$500,"&gt;="&amp;DATE($B300,1,1),'Partial Purchases'!$B$3:$B$500,"&lt;="&amp;DATE($B300,12,31))/1000</f>
        <v>0</v>
      </c>
      <c r="J300" s="9" t="n">
        <f aca="false">C300*(D300+0.5*(G300-H300+I300-F300))</f>
        <v>-0</v>
      </c>
      <c r="K300" s="9" t="n">
        <f aca="false">C300*(E300-D300+H300-G300-I300)</f>
        <v>0</v>
      </c>
      <c r="L300" s="13" t="str">
        <f aca="false">IF(J300=0,"",C300*F300/J300)</f>
        <v/>
      </c>
      <c r="M300" s="13" t="str">
        <f aca="false">IF(J300=0,"",K300/J300)</f>
        <v/>
      </c>
      <c r="N300" s="13" t="str">
        <f aca="false">IF(J300=0,"",L300+M300)</f>
        <v/>
      </c>
    </row>
    <row r="301" customFormat="false" ht="15" hidden="false" customHeight="false" outlineLevel="0" collapsed="false">
      <c r="A301" s="8" t="s">
        <v>26</v>
      </c>
      <c r="B301" s="48" t="n">
        <v>2009</v>
      </c>
      <c r="C301" s="10" t="n">
        <f aca="false">IF(D301&gt;0,1,0)</f>
        <v>1</v>
      </c>
      <c r="D301" s="9" t="n">
        <f aca="false">IF(SUMIFS(Sales!$F$3:$F$500,Sales!$C$3:$C$500,$A301,Sales!$B$3:$B$500,"&lt;="&amp;DATE($B301-1,12,31))&gt;0,0,SUMIFS('Asset Value'!$I$4:$I$500,'Asset Value'!$C$4:$C$500,$A301,'Asset Value'!$B$4:$B$500,$B301-1)/1000)</f>
        <v>129767.552182163</v>
      </c>
      <c r="E301" s="9" t="n">
        <f aca="false">IF(SUMIFS(Sales!$F$3:$F$500,Sales!$C$3:$C$500,$A301,Sales!$B$3:$B$500,"&gt;="&amp;DATE($B301,1,1),Sales!$B$3:$B$500,"&lt;="&amp;DATE($B301,12,31))&gt;0,SUMIFS(Sales!$F$3:$F$500,Sales!$C$3:$C$500,$A301,Sales!$B$3:$B$500,"&gt;="&amp;DATE($B301,1,1),Sales!$B$3:$B$500,"&lt;="&amp;DATE($B301,12,31))/1000,SUMIFS('Asset Value'!$I$4:$I$500,'Asset Value'!$C$4:$C$500,$A301,'Asset Value'!$B$4:$B$500,$B301)/1000)</f>
        <v>131629.916567342</v>
      </c>
      <c r="F301" s="9" t="n">
        <f aca="false">SUMIFS(Rent!$G$3:$G$500,Rent!$D$3:$D$500,$A301,Rent!$C$3:$C$500,$B301)/1000</f>
        <v>4026.43720409101</v>
      </c>
      <c r="G301" s="9" t="n">
        <f aca="false">SUMIFS(Costs!$F$3:$F$500,Costs!$C$3:$C$500,$A301,Costs!$B$3:$B$500,"&gt;="&amp;DATE($B301,1,1),Costs!$B$3:$B$500,"&lt;="&amp;DATE($B301,12,31))/1000</f>
        <v>0</v>
      </c>
      <c r="H301" s="9" t="n">
        <f aca="false">SUMIFS('Partial Sales'!$F$3:$F$500,'Partial Sales'!$C$3:$C$500,$A301,'Partial Sales'!$B$3:$B$500,"&gt;="&amp;DATE($B301,1,1),'Partial Sales'!$B$3:$B$500,"&lt;="&amp;DATE($B301,12,31))/1000</f>
        <v>0</v>
      </c>
      <c r="I301" s="9" t="n">
        <f aca="false">SUMIFS('Partial Purchases'!$F$3:$F$500,'Partial Purchases'!$C$3:$C$500,$A301,'Partial Purchases'!$B$3:$B$500,"&gt;="&amp;DATE($B301,1,1),'Partial Purchases'!$B$3:$B$500,"&lt;="&amp;DATE($B301,12,31))/1000</f>
        <v>0</v>
      </c>
      <c r="J301" s="9" t="n">
        <f aca="false">C301*(D301+0.5*(G301-H301+I301-F301))</f>
        <v>127754.333580118</v>
      </c>
      <c r="K301" s="9" t="n">
        <f aca="false">C301*(E301-D301+H301-G301-I301)</f>
        <v>1862.36438517889</v>
      </c>
      <c r="L301" s="13" t="n">
        <f aca="false">IF(J301=0,"",C301*F301/J301)</f>
        <v>0.0315170303132296</v>
      </c>
      <c r="M301" s="13" t="n">
        <f aca="false">IF(J301=0,"",K301/J301)</f>
        <v>0.0145777002860804</v>
      </c>
      <c r="N301" s="13" t="n">
        <f aca="false">IF(J301=0,"",L301+M301)</f>
        <v>0.04609473059931</v>
      </c>
    </row>
    <row r="302" customFormat="false" ht="15" hidden="false" customHeight="false" outlineLevel="0" collapsed="false">
      <c r="A302" s="8" t="s">
        <v>26</v>
      </c>
      <c r="B302" s="48" t="n">
        <v>2010</v>
      </c>
      <c r="C302" s="10" t="n">
        <f aca="false">IF(D302&gt;0,1,0)</f>
        <v>1</v>
      </c>
      <c r="D302" s="9" t="n">
        <f aca="false">IF(SUMIFS(Sales!$F$3:$F$500,Sales!$C$3:$C$500,$A302,Sales!$B$3:$B$500,"&lt;="&amp;DATE($B302-1,12,31))&gt;0,0,SUMIFS('Asset Value'!$I$4:$I$500,'Asset Value'!$C$4:$C$500,$A302,'Asset Value'!$B$4:$B$500,$B302-1)/1000)</f>
        <v>131629.916567342</v>
      </c>
      <c r="E302" s="9" t="n">
        <f aca="false">IF(SUMIFS(Sales!$F$3:$F$500,Sales!$C$3:$C$500,$A302,Sales!$B$3:$B$500,"&gt;="&amp;DATE($B302,1,1),Sales!$B$3:$B$500,"&lt;="&amp;DATE($B302,12,31))&gt;0,SUMIFS(Sales!$F$3:$F$500,Sales!$C$3:$C$500,$A302,Sales!$B$3:$B$500,"&gt;="&amp;DATE($B302,1,1),Sales!$B$3:$B$500,"&lt;="&amp;DATE($B302,12,31))/1000,SUMIFS('Asset Value'!$I$4:$I$500,'Asset Value'!$C$4:$C$500,$A302,'Asset Value'!$B$4:$B$500,$B302)/1000)</f>
        <v>141027.864493005</v>
      </c>
      <c r="F302" s="9" t="n">
        <f aca="false">SUMIFS(Rent!$G$3:$G$500,Rent!$D$3:$D$500,$A302,Rent!$C$3:$C$500,$B302)/1000</f>
        <v>5309.20897291942</v>
      </c>
      <c r="G302" s="9" t="n">
        <f aca="false">SUMIFS(Costs!$F$3:$F$500,Costs!$C$3:$C$500,$A302,Costs!$B$3:$B$500,"&gt;="&amp;DATE($B302,1,1),Costs!$B$3:$B$500,"&lt;="&amp;DATE($B302,12,31))/1000</f>
        <v>0</v>
      </c>
      <c r="H302" s="9" t="n">
        <f aca="false">SUMIFS('Partial Sales'!$F$3:$F$500,'Partial Sales'!$C$3:$C$500,$A302,'Partial Sales'!$B$3:$B$500,"&gt;="&amp;DATE($B302,1,1),'Partial Sales'!$B$3:$B$500,"&lt;="&amp;DATE($B302,12,31))/1000</f>
        <v>0</v>
      </c>
      <c r="I302" s="9" t="n">
        <f aca="false">SUMIFS('Partial Purchases'!$F$3:$F$500,'Partial Purchases'!$C$3:$C$500,$A302,'Partial Purchases'!$B$3:$B$500,"&gt;="&amp;DATE($B302,1,1),'Partial Purchases'!$B$3:$B$500,"&lt;="&amp;DATE($B302,12,31))/1000</f>
        <v>0</v>
      </c>
      <c r="J302" s="9" t="n">
        <f aca="false">C302*(D302+0.5*(G302-H302+I302-F302))</f>
        <v>128975.312080882</v>
      </c>
      <c r="K302" s="9" t="n">
        <f aca="false">C302*(E302-D302+H302-G302-I302)</f>
        <v>9397.94792566288</v>
      </c>
      <c r="L302" s="13" t="n">
        <f aca="false">IF(J302=0,"",C302*F302/J302)</f>
        <v>0.0411645367416513</v>
      </c>
      <c r="M302" s="13" t="n">
        <f aca="false">IF(J302=0,"",K302/J302)</f>
        <v>0.0728662545880818</v>
      </c>
      <c r="N302" s="13" t="n">
        <f aca="false">IF(J302=0,"",L302+M302)</f>
        <v>0.114030791329733</v>
      </c>
    </row>
    <row r="303" customFormat="false" ht="15" hidden="false" customHeight="false" outlineLevel="0" collapsed="false">
      <c r="A303" s="8" t="s">
        <v>26</v>
      </c>
      <c r="B303" s="48" t="n">
        <v>2011</v>
      </c>
      <c r="C303" s="10" t="n">
        <f aca="false">IF(D303&gt;0,1,0)</f>
        <v>1</v>
      </c>
      <c r="D303" s="9" t="n">
        <f aca="false">IF(SUMIFS(Sales!$F$3:$F$500,Sales!$C$3:$C$500,$A303,Sales!$B$3:$B$500,"&lt;="&amp;DATE($B303-1,12,31))&gt;0,0,SUMIFS('Asset Value'!$I$4:$I$500,'Asset Value'!$C$4:$C$500,$A303,'Asset Value'!$B$4:$B$500,$B303-1)/1000)</f>
        <v>141027.864493005</v>
      </c>
      <c r="E303" s="9" t="n">
        <f aca="false">IF(SUMIFS(Sales!$F$3:$F$500,Sales!$C$3:$C$500,$A303,Sales!$B$3:$B$500,"&gt;="&amp;DATE($B303,1,1),Sales!$B$3:$B$500,"&lt;="&amp;DATE($B303,12,31))&gt;0,SUMIFS(Sales!$F$3:$F$500,Sales!$C$3:$C$500,$A303,Sales!$B$3:$B$500,"&gt;="&amp;DATE($B303,1,1),Sales!$B$3:$B$500,"&lt;="&amp;DATE($B303,12,31))/1000,SUMIFS('Asset Value'!$I$4:$I$500,'Asset Value'!$C$4:$C$500,$A303,'Asset Value'!$B$4:$B$500,$B303)/1000)</f>
        <v>173613.612370366</v>
      </c>
      <c r="F303" s="9" t="n">
        <f aca="false">SUMIFS(Rent!$G$3:$G$500,Rent!$D$3:$D$500,$A303,Rent!$C$3:$C$500,$B303)/1000</f>
        <v>2654.06740973815</v>
      </c>
      <c r="G303" s="9" t="n">
        <f aca="false">SUMIFS(Costs!$F$3:$F$500,Costs!$C$3:$C$500,$A303,Costs!$B$3:$B$500,"&gt;="&amp;DATE($B303,1,1),Costs!$B$3:$B$500,"&lt;="&amp;DATE($B303,12,31))/1000</f>
        <v>0</v>
      </c>
      <c r="H303" s="9" t="n">
        <f aca="false">SUMIFS('Partial Sales'!$F$3:$F$500,'Partial Sales'!$C$3:$C$500,$A303,'Partial Sales'!$B$3:$B$500,"&gt;="&amp;DATE($B303,1,1),'Partial Sales'!$B$3:$B$500,"&lt;="&amp;DATE($B303,12,31))/1000</f>
        <v>0</v>
      </c>
      <c r="I303" s="9" t="n">
        <f aca="false">SUMIFS('Partial Purchases'!$F$3:$F$500,'Partial Purchases'!$C$3:$C$500,$A303,'Partial Purchases'!$B$3:$B$500,"&gt;="&amp;DATE($B303,1,1),'Partial Purchases'!$B$3:$B$500,"&lt;="&amp;DATE($B303,12,31))/1000</f>
        <v>0</v>
      </c>
      <c r="J303" s="9" t="n">
        <f aca="false">C303*(D303+0.5*(G303-H303+I303-F303))</f>
        <v>139700.830788136</v>
      </c>
      <c r="K303" s="9" t="n">
        <f aca="false">C303*(E303-D303+H303-G303-I303)</f>
        <v>32585.7478773608</v>
      </c>
      <c r="L303" s="13" t="n">
        <f aca="false">IF(J303=0,"",C303*F303/J303)</f>
        <v>0.0189982220919157</v>
      </c>
      <c r="M303" s="13" t="n">
        <f aca="false">IF(J303=0,"",K303/J303)</f>
        <v>0.23325378735062</v>
      </c>
      <c r="N303" s="13" t="n">
        <f aca="false">IF(J303=0,"",L303+M303)</f>
        <v>0.252252009442536</v>
      </c>
    </row>
    <row r="304" customFormat="false" ht="15" hidden="false" customHeight="false" outlineLevel="0" collapsed="false">
      <c r="A304" s="8" t="s">
        <v>26</v>
      </c>
      <c r="B304" s="48" t="n">
        <v>2012</v>
      </c>
      <c r="C304" s="10" t="n">
        <f aca="false">IF(D304&gt;0,1,0)</f>
        <v>1</v>
      </c>
      <c r="D304" s="9" t="n">
        <f aca="false">IF(SUMIFS(Sales!$F$3:$F$500,Sales!$C$3:$C$500,$A304,Sales!$B$3:$B$500,"&lt;="&amp;DATE($B304-1,12,31))&gt;0,0,SUMIFS('Asset Value'!$I$4:$I$500,'Asset Value'!$C$4:$C$500,$A304,'Asset Value'!$B$4:$B$500,$B304-1)/1000)</f>
        <v>173613.612370366</v>
      </c>
      <c r="E304" s="9" t="n">
        <f aca="false">IF(SUMIFS(Sales!$F$3:$F$500,Sales!$C$3:$C$500,$A304,Sales!$B$3:$B$500,"&gt;="&amp;DATE($B304,1,1),Sales!$B$3:$B$500,"&lt;="&amp;DATE($B304,12,31))&gt;0,SUMIFS(Sales!$F$3:$F$500,Sales!$C$3:$C$500,$A304,Sales!$B$3:$B$500,"&gt;="&amp;DATE($B304,1,1),Sales!$B$3:$B$500,"&lt;="&amp;DATE($B304,12,31))/1000,SUMIFS('Asset Value'!$I$4:$I$500,'Asset Value'!$C$4:$C$500,$A304,'Asset Value'!$B$4:$B$500,$B304)/1000)</f>
        <v>143086.468386843</v>
      </c>
      <c r="F304" s="9" t="n">
        <f aca="false">SUMIFS(Rent!$G$3:$G$500,Rent!$D$3:$D$500,$A304,Rent!$C$3:$C$500,$B304)/1000</f>
        <v>4528.36653776494</v>
      </c>
      <c r="G304" s="9" t="n">
        <f aca="false">SUMIFS(Costs!$F$3:$F$500,Costs!$C$3:$C$500,$A304,Costs!$B$3:$B$500,"&gt;="&amp;DATE($B304,1,1),Costs!$B$3:$B$500,"&lt;="&amp;DATE($B304,12,31))/1000</f>
        <v>0</v>
      </c>
      <c r="H304" s="9" t="n">
        <f aca="false">SUMIFS('Partial Sales'!$F$3:$F$500,'Partial Sales'!$C$3:$C$500,$A304,'Partial Sales'!$B$3:$B$500,"&gt;="&amp;DATE($B304,1,1),'Partial Sales'!$B$3:$B$500,"&lt;="&amp;DATE($B304,12,31))/1000</f>
        <v>0</v>
      </c>
      <c r="I304" s="9" t="n">
        <f aca="false">SUMIFS('Partial Purchases'!$F$3:$F$500,'Partial Purchases'!$C$3:$C$500,$A304,'Partial Purchases'!$B$3:$B$500,"&gt;="&amp;DATE($B304,1,1),'Partial Purchases'!$B$3:$B$500,"&lt;="&amp;DATE($B304,12,31))/1000</f>
        <v>0</v>
      </c>
      <c r="J304" s="9" t="n">
        <f aca="false">C304*(D304+0.5*(G304-H304+I304-F304))</f>
        <v>171349.429101483</v>
      </c>
      <c r="K304" s="9" t="n">
        <f aca="false">C304*(E304-D304+H304-G304-I304)</f>
        <v>-30527.1439835232</v>
      </c>
      <c r="L304" s="13" t="n">
        <f aca="false">IF(J304=0,"",C304*F304/J304)</f>
        <v>0.0264276721638972</v>
      </c>
      <c r="M304" s="13" t="n">
        <f aca="false">IF(J304=0,"",K304/J304)</f>
        <v>-0.178157255285882</v>
      </c>
      <c r="N304" s="13" t="n">
        <f aca="false">IF(J304=0,"",L304+M304)</f>
        <v>-0.151729583121985</v>
      </c>
    </row>
    <row r="305" customFormat="false" ht="15" hidden="false" customHeight="false" outlineLevel="0" collapsed="false">
      <c r="A305" s="8" t="s">
        <v>26</v>
      </c>
      <c r="B305" s="48" t="n">
        <v>2013</v>
      </c>
      <c r="C305" s="10" t="n">
        <f aca="false">IF(D305&gt;0,1,0)</f>
        <v>1</v>
      </c>
      <c r="D305" s="9" t="n">
        <f aca="false">IF(SUMIFS(Sales!$F$3:$F$500,Sales!$C$3:$C$500,$A305,Sales!$B$3:$B$500,"&lt;="&amp;DATE($B305-1,12,31))&gt;0,0,SUMIFS('Asset Value'!$I$4:$I$500,'Asset Value'!$C$4:$C$500,$A305,'Asset Value'!$B$4:$B$500,$B305-1)/1000)</f>
        <v>143086.468386843</v>
      </c>
      <c r="E305" s="9" t="n">
        <f aca="false">IF(SUMIFS(Sales!$F$3:$F$500,Sales!$C$3:$C$500,$A305,Sales!$B$3:$B$500,"&gt;="&amp;DATE($B305,1,1),Sales!$B$3:$B$500,"&lt;="&amp;DATE($B305,12,31))&gt;0,SUMIFS(Sales!$F$3:$F$500,Sales!$C$3:$C$500,$A305,Sales!$B$3:$B$500,"&gt;="&amp;DATE($B305,1,1),Sales!$B$3:$B$500,"&lt;="&amp;DATE($B305,12,31))/1000,SUMIFS('Asset Value'!$I$4:$I$500,'Asset Value'!$C$4:$C$500,$A305,'Asset Value'!$B$4:$B$500,$B305)/1000)</f>
        <v>131376.215407629</v>
      </c>
      <c r="F305" s="9" t="n">
        <f aca="false">SUMIFS(Rent!$G$3:$G$500,Rent!$D$3:$D$500,$A305,Rent!$C$3:$C$500,$B305)/1000</f>
        <v>3704.95303159693</v>
      </c>
      <c r="G305" s="9" t="n">
        <f aca="false">SUMIFS(Costs!$F$3:$F$500,Costs!$C$3:$C$500,$A305,Costs!$B$3:$B$500,"&gt;="&amp;DATE($B305,1,1),Costs!$B$3:$B$500,"&lt;="&amp;DATE($B305,12,31))/1000</f>
        <v>0</v>
      </c>
      <c r="H305" s="9" t="n">
        <f aca="false">SUMIFS('Partial Sales'!$F$3:$F$500,'Partial Sales'!$C$3:$C$500,$A305,'Partial Sales'!$B$3:$B$500,"&gt;="&amp;DATE($B305,1,1),'Partial Sales'!$B$3:$B$500,"&lt;="&amp;DATE($B305,12,31))/1000</f>
        <v>0</v>
      </c>
      <c r="I305" s="9" t="n">
        <f aca="false">SUMIFS('Partial Purchases'!$F$3:$F$500,'Partial Purchases'!$C$3:$C$500,$A305,'Partial Purchases'!$B$3:$B$500,"&gt;="&amp;DATE($B305,1,1),'Partial Purchases'!$B$3:$B$500,"&lt;="&amp;DATE($B305,12,31))/1000</f>
        <v>0</v>
      </c>
      <c r="J305" s="9" t="n">
        <f aca="false">C305*(D305+0.5*(G305-H305+I305-F305))</f>
        <v>141233.991871044</v>
      </c>
      <c r="K305" s="9" t="n">
        <f aca="false">C305*(E305-D305+H305-G305-I305)</f>
        <v>-11710.2529792136</v>
      </c>
      <c r="L305" s="13" t="n">
        <f aca="false">IF(J305=0,"",C305*F305/J305)</f>
        <v>0.0262327289805686</v>
      </c>
      <c r="M305" s="13" t="n">
        <f aca="false">IF(J305=0,"",K305/J305)</f>
        <v>-0.0829138426527362</v>
      </c>
      <c r="N305" s="13" t="n">
        <f aca="false">IF(J305=0,"",L305+M305)</f>
        <v>-0.0566811136721676</v>
      </c>
    </row>
    <row r="306" customFormat="false" ht="15" hidden="false" customHeight="false" outlineLevel="0" collapsed="false">
      <c r="A306" s="8" t="s">
        <v>26</v>
      </c>
      <c r="B306" s="48" t="n">
        <v>2014</v>
      </c>
      <c r="C306" s="10" t="n">
        <f aca="false">IF(D306&gt;0,1,0)</f>
        <v>1</v>
      </c>
      <c r="D306" s="9" t="n">
        <f aca="false">IF(SUMIFS(Sales!$F$3:$F$500,Sales!$C$3:$C$500,$A306,Sales!$B$3:$B$500,"&lt;="&amp;DATE($B306-1,12,31))&gt;0,0,SUMIFS('Asset Value'!$I$4:$I$500,'Asset Value'!$C$4:$C$500,$A306,'Asset Value'!$B$4:$B$500,$B306-1)/1000)</f>
        <v>131376.215407629</v>
      </c>
      <c r="E306" s="9" t="n">
        <f aca="false">IF(SUMIFS(Sales!$F$3:$F$500,Sales!$C$3:$C$500,$A306,Sales!$B$3:$B$500,"&gt;="&amp;DATE($B306,1,1),Sales!$B$3:$B$500,"&lt;="&amp;DATE($B306,12,31))&gt;0,SUMIFS(Sales!$F$3:$F$500,Sales!$C$3:$C$500,$A306,Sales!$B$3:$B$500,"&gt;="&amp;DATE($B306,1,1),Sales!$B$3:$B$500,"&lt;="&amp;DATE($B306,12,31))/1000,SUMIFS('Asset Value'!$I$4:$I$500,'Asset Value'!$C$4:$C$500,$A306,'Asset Value'!$B$4:$B$500,$B306)/1000)</f>
        <v>185528.057173108</v>
      </c>
      <c r="F306" s="9" t="n">
        <f aca="false">SUMIFS(Rent!$G$3:$G$500,Rent!$D$3:$D$500,$A306,Rent!$C$3:$C$500,$B306)/1000</f>
        <v>5703.41918963699</v>
      </c>
      <c r="G306" s="9" t="n">
        <f aca="false">SUMIFS(Costs!$F$3:$F$500,Costs!$C$3:$C$500,$A306,Costs!$B$3:$B$500,"&gt;="&amp;DATE($B306,1,1),Costs!$B$3:$B$500,"&lt;="&amp;DATE($B306,12,31))/1000</f>
        <v>0</v>
      </c>
      <c r="H306" s="9" t="n">
        <f aca="false">SUMIFS('Partial Sales'!$F$3:$F$500,'Partial Sales'!$C$3:$C$500,$A306,'Partial Sales'!$B$3:$B$500,"&gt;="&amp;DATE($B306,1,1),'Partial Sales'!$B$3:$B$500,"&lt;="&amp;DATE($B306,12,31))/1000</f>
        <v>0</v>
      </c>
      <c r="I306" s="9" t="n">
        <f aca="false">SUMIFS('Partial Purchases'!$F$3:$F$500,'Partial Purchases'!$C$3:$C$500,$A306,'Partial Purchases'!$B$3:$B$500,"&gt;="&amp;DATE($B306,1,1),'Partial Purchases'!$B$3:$B$500,"&lt;="&amp;DATE($B306,12,31))/1000</f>
        <v>0</v>
      </c>
      <c r="J306" s="9" t="n">
        <f aca="false">C306*(D306+0.5*(G306-H306+I306-F306))</f>
        <v>128524.505812811</v>
      </c>
      <c r="K306" s="9" t="n">
        <f aca="false">C306*(E306-D306+H306-G306-I306)</f>
        <v>54151.8417654785</v>
      </c>
      <c r="L306" s="13" t="n">
        <f aca="false">IF(J306=0,"",C306*F306/J306)</f>
        <v>0.044376122308875</v>
      </c>
      <c r="M306" s="13" t="n">
        <f aca="false">IF(J306=0,"",K306/J306)</f>
        <v>0.421334759647688</v>
      </c>
      <c r="N306" s="13" t="n">
        <f aca="false">IF(J306=0,"",L306+M306)</f>
        <v>0.465710881956563</v>
      </c>
    </row>
    <row r="307" customFormat="false" ht="15" hidden="false" customHeight="false" outlineLevel="0" collapsed="false">
      <c r="A307" s="49" t="s">
        <v>26</v>
      </c>
      <c r="B307" s="50" t="n">
        <v>2015</v>
      </c>
      <c r="C307" s="51" t="n">
        <f aca="false">IF(D307&gt;0,1,0)</f>
        <v>1</v>
      </c>
      <c r="D307" s="52" t="n">
        <f aca="false">IF(SUMIFS(Sales!$F$3:$F$500,Sales!$C$3:$C$500,$A307,Sales!$B$3:$B$500,"&lt;="&amp;DATE($B307-1,12,31))&gt;0,0,SUMIFS('Asset Value'!$I$4:$I$500,'Asset Value'!$C$4:$C$500,$A307,'Asset Value'!$B$4:$B$500,$B307-1)/1000)</f>
        <v>185528.057173108</v>
      </c>
      <c r="E307" s="52" t="n">
        <f aca="false">IF(SUMIFS(Sales!$F$3:$F$500,Sales!$C$3:$C$500,$A307,Sales!$B$3:$B$500,"&gt;="&amp;DATE($B307,1,1),Sales!$B$3:$B$500,"&lt;="&amp;DATE($B307,12,31))&gt;0,SUMIFS(Sales!$F$3:$F$500,Sales!$C$3:$C$500,$A307,Sales!$B$3:$B$500,"&gt;="&amp;DATE($B307,1,1),Sales!$B$3:$B$500,"&lt;="&amp;DATE($B307,12,31))/1000,SUMIFS('Asset Value'!$I$4:$I$500,'Asset Value'!$C$4:$C$500,$A307,'Asset Value'!$B$4:$B$500,$B307)/1000)</f>
        <v>132878.528909059</v>
      </c>
      <c r="F307" s="52" t="n">
        <f aca="false">SUMIFS(Rent!$G$3:$G$500,Rent!$D$3:$D$500,$A307,Rent!$C$3:$C$500,$B307)/1000</f>
        <v>4542.03165821423</v>
      </c>
      <c r="G307" s="52" t="n">
        <f aca="false">SUMIFS(Costs!$F$3:$F$500,Costs!$C$3:$C$500,$A307,Costs!$B$3:$B$500,"&gt;="&amp;DATE($B307,1,1),Costs!$B$3:$B$500,"&lt;="&amp;DATE($B307,12,31))/1000</f>
        <v>0</v>
      </c>
      <c r="H307" s="52" t="n">
        <f aca="false">SUMIFS('Partial Sales'!$F$3:$F$500,'Partial Sales'!$C$3:$C$500,$A307,'Partial Sales'!$B$3:$B$500,"&gt;="&amp;DATE($B307,1,1),'Partial Sales'!$B$3:$B$500,"&lt;="&amp;DATE($B307,12,31))/1000</f>
        <v>0</v>
      </c>
      <c r="I307" s="52" t="n">
        <f aca="false">SUMIFS('Partial Purchases'!$F$3:$F$500,'Partial Purchases'!$C$3:$C$500,$A307,'Partial Purchases'!$B$3:$B$500,"&gt;="&amp;DATE($B307,1,1),'Partial Purchases'!$B$3:$B$500,"&lt;="&amp;DATE($B307,12,31))/1000</f>
        <v>0</v>
      </c>
      <c r="J307" s="52" t="n">
        <f aca="false">C307*(D307+0.5*(G307-H307+I307-F307))</f>
        <v>183257.041344</v>
      </c>
      <c r="K307" s="52" t="n">
        <f aca="false">C307*(E307-D307+H307-G307-I307)</f>
        <v>-52649.5282640487</v>
      </c>
      <c r="L307" s="46" t="n">
        <f aca="false">IF(J307=0,"",C307*F307/J307)</f>
        <v>0.0247850321324798</v>
      </c>
      <c r="M307" s="46" t="n">
        <f aca="false">IF(J307=0,"",K307/J307)</f>
        <v>-0.287298801060625</v>
      </c>
      <c r="N307" s="46" t="n">
        <f aca="false">IF(J307=0,"",L307+M307)</f>
        <v>-0.262513768928146</v>
      </c>
    </row>
    <row r="308" customFormat="false" ht="15" hidden="false" customHeight="false" outlineLevel="0" collapsed="false">
      <c r="A308" s="8" t="s">
        <v>27</v>
      </c>
      <c r="B308" s="48" t="n">
        <v>2008</v>
      </c>
      <c r="C308" s="10" t="n">
        <f aca="false">IF(D308&gt;0,1,0)</f>
        <v>0</v>
      </c>
      <c r="D308" s="9" t="n">
        <f aca="false">IF(SUMIFS(Sales!$F$3:$F$500,Sales!$C$3:$C$500,$A308,Sales!$B$3:$B$500,"&lt;="&amp;DATE($B308-1,12,31))&gt;0,0,SUMIFS('Asset Value'!$I$4:$I$500,'Asset Value'!$C$4:$C$500,$A308,'Asset Value'!$B$4:$B$500,$B308-1)/1000)</f>
        <v>0</v>
      </c>
      <c r="E308" s="9" t="n">
        <f aca="false">IF(SUMIFS(Sales!$F$3:$F$500,Sales!$C$3:$C$500,$A308,Sales!$B$3:$B$500,"&gt;="&amp;DATE($B308,1,1),Sales!$B$3:$B$500,"&lt;="&amp;DATE($B308,12,31))&gt;0,SUMIFS(Sales!$F$3:$F$500,Sales!$C$3:$C$500,$A308,Sales!$B$3:$B$500,"&gt;="&amp;DATE($B308,1,1),Sales!$B$3:$B$500,"&lt;="&amp;DATE($B308,12,31))/1000,SUMIFS('Asset Value'!$I$4:$I$500,'Asset Value'!$C$4:$C$500,$A308,'Asset Value'!$B$4:$B$500,$B308)/1000)</f>
        <v>0</v>
      </c>
      <c r="F308" s="9" t="n">
        <f aca="false">SUMIFS(Rent!$G$3:$G$500,Rent!$D$3:$D$500,$A308,Rent!$C$3:$C$500,$B308)/1000</f>
        <v>0</v>
      </c>
      <c r="G308" s="9" t="n">
        <f aca="false">SUMIFS(Costs!$F$3:$F$500,Costs!$C$3:$C$500,$A308,Costs!$B$3:$B$500,"&gt;="&amp;DATE($B308,1,1),Costs!$B$3:$B$500,"&lt;="&amp;DATE($B308,12,31))/1000</f>
        <v>0</v>
      </c>
      <c r="H308" s="9" t="n">
        <f aca="false">SUMIFS('Partial Sales'!$F$3:$F$500,'Partial Sales'!$C$3:$C$500,$A308,'Partial Sales'!$B$3:$B$500,"&gt;="&amp;DATE($B308,1,1),'Partial Sales'!$B$3:$B$500,"&lt;="&amp;DATE($B308,12,31))/1000</f>
        <v>0</v>
      </c>
      <c r="I308" s="9" t="n">
        <f aca="false">SUMIFS('Partial Purchases'!$F$3:$F$500,'Partial Purchases'!$C$3:$C$500,$A308,'Partial Purchases'!$B$3:$B$500,"&gt;="&amp;DATE($B308,1,1),'Partial Purchases'!$B$3:$B$500,"&lt;="&amp;DATE($B308,12,31))/1000</f>
        <v>0</v>
      </c>
      <c r="J308" s="9" t="n">
        <f aca="false">C308*(D308+0.5*(G308-H308+I308-F308))</f>
        <v>0</v>
      </c>
      <c r="K308" s="9" t="n">
        <f aca="false">C308*(E308-D308+H308-G308-I308)</f>
        <v>0</v>
      </c>
      <c r="L308" s="13" t="str">
        <f aca="false">IF(J308=0,"",C308*F308/J308)</f>
        <v/>
      </c>
      <c r="M308" s="13" t="str">
        <f aca="false">IF(J308=0,"",K308/J308)</f>
        <v/>
      </c>
      <c r="N308" s="13" t="str">
        <f aca="false">IF(J308=0,"",L308+M308)</f>
        <v/>
      </c>
    </row>
    <row r="309" customFormat="false" ht="15" hidden="false" customHeight="false" outlineLevel="0" collapsed="false">
      <c r="A309" s="8" t="s">
        <v>27</v>
      </c>
      <c r="B309" s="48" t="n">
        <v>2009</v>
      </c>
      <c r="C309" s="10" t="n">
        <f aca="false">IF(D309&gt;0,1,0)</f>
        <v>0</v>
      </c>
      <c r="D309" s="9" t="n">
        <f aca="false">IF(SUMIFS(Sales!$F$3:$F$500,Sales!$C$3:$C$500,$A309,Sales!$B$3:$B$500,"&lt;="&amp;DATE($B309-1,12,31))&gt;0,0,SUMIFS('Asset Value'!$I$4:$I$500,'Asset Value'!$C$4:$C$500,$A309,'Asset Value'!$B$4:$B$500,$B309-1)/1000)</f>
        <v>0</v>
      </c>
      <c r="E309" s="9" t="n">
        <f aca="false">IF(SUMIFS(Sales!$F$3:$F$500,Sales!$C$3:$C$500,$A309,Sales!$B$3:$B$500,"&gt;="&amp;DATE($B309,1,1),Sales!$B$3:$B$500,"&lt;="&amp;DATE($B309,12,31))&gt;0,SUMIFS(Sales!$F$3:$F$500,Sales!$C$3:$C$500,$A309,Sales!$B$3:$B$500,"&gt;="&amp;DATE($B309,1,1),Sales!$B$3:$B$500,"&lt;="&amp;DATE($B309,12,31))/1000,SUMIFS('Asset Value'!$I$4:$I$500,'Asset Value'!$C$4:$C$500,$A309,'Asset Value'!$B$4:$B$500,$B309)/1000)</f>
        <v>0</v>
      </c>
      <c r="F309" s="9" t="n">
        <f aca="false">SUMIFS(Rent!$G$3:$G$500,Rent!$D$3:$D$500,$A309,Rent!$C$3:$C$500,$B309)/1000</f>
        <v>0</v>
      </c>
      <c r="G309" s="9" t="n">
        <f aca="false">SUMIFS(Costs!$F$3:$F$500,Costs!$C$3:$C$500,$A309,Costs!$B$3:$B$500,"&gt;="&amp;DATE($B309,1,1),Costs!$B$3:$B$500,"&lt;="&amp;DATE($B309,12,31))/1000</f>
        <v>0</v>
      </c>
      <c r="H309" s="9" t="n">
        <f aca="false">SUMIFS('Partial Sales'!$F$3:$F$500,'Partial Sales'!$C$3:$C$500,$A309,'Partial Sales'!$B$3:$B$500,"&gt;="&amp;DATE($B309,1,1),'Partial Sales'!$B$3:$B$500,"&lt;="&amp;DATE($B309,12,31))/1000</f>
        <v>0</v>
      </c>
      <c r="I309" s="9" t="n">
        <f aca="false">SUMIFS('Partial Purchases'!$F$3:$F$500,'Partial Purchases'!$C$3:$C$500,$A309,'Partial Purchases'!$B$3:$B$500,"&gt;="&amp;DATE($B309,1,1),'Partial Purchases'!$B$3:$B$500,"&lt;="&amp;DATE($B309,12,31))/1000</f>
        <v>0</v>
      </c>
      <c r="J309" s="9" t="n">
        <f aca="false">C309*(D309+0.5*(G309-H309+I309-F309))</f>
        <v>0</v>
      </c>
      <c r="K309" s="9" t="n">
        <f aca="false">C309*(E309-D309+H309-G309-I309)</f>
        <v>0</v>
      </c>
      <c r="L309" s="13" t="str">
        <f aca="false">IF(J309=0,"",C309*F309/J309)</f>
        <v/>
      </c>
      <c r="M309" s="13" t="str">
        <f aca="false">IF(J309=0,"",K309/J309)</f>
        <v/>
      </c>
      <c r="N309" s="13" t="str">
        <f aca="false">IF(J309=0,"",L309+M309)</f>
        <v/>
      </c>
    </row>
    <row r="310" customFormat="false" ht="15" hidden="false" customHeight="false" outlineLevel="0" collapsed="false">
      <c r="A310" s="8" t="s">
        <v>27</v>
      </c>
      <c r="B310" s="48" t="n">
        <v>2010</v>
      </c>
      <c r="C310" s="10" t="n">
        <f aca="false">IF(D310&gt;0,1,0)</f>
        <v>0</v>
      </c>
      <c r="D310" s="9" t="n">
        <f aca="false">IF(SUMIFS(Sales!$F$3:$F$500,Sales!$C$3:$C$500,$A310,Sales!$B$3:$B$500,"&lt;="&amp;DATE($B310-1,12,31))&gt;0,0,SUMIFS('Asset Value'!$I$4:$I$500,'Asset Value'!$C$4:$C$500,$A310,'Asset Value'!$B$4:$B$500,$B310-1)/1000)</f>
        <v>0</v>
      </c>
      <c r="E310" s="9" t="n">
        <f aca="false">IF(SUMIFS(Sales!$F$3:$F$500,Sales!$C$3:$C$500,$A310,Sales!$B$3:$B$500,"&gt;="&amp;DATE($B310,1,1),Sales!$B$3:$B$500,"&lt;="&amp;DATE($B310,12,31))&gt;0,SUMIFS(Sales!$F$3:$F$500,Sales!$C$3:$C$500,$A310,Sales!$B$3:$B$500,"&gt;="&amp;DATE($B310,1,1),Sales!$B$3:$B$500,"&lt;="&amp;DATE($B310,12,31))/1000,SUMIFS('Asset Value'!$I$4:$I$500,'Asset Value'!$C$4:$C$500,$A310,'Asset Value'!$B$4:$B$500,$B310)/1000)</f>
        <v>0</v>
      </c>
      <c r="F310" s="9" t="n">
        <f aca="false">SUMIFS(Rent!$G$3:$G$500,Rent!$D$3:$D$500,$A310,Rent!$C$3:$C$500,$B310)/1000</f>
        <v>0</v>
      </c>
      <c r="G310" s="9" t="n">
        <f aca="false">SUMIFS(Costs!$F$3:$F$500,Costs!$C$3:$C$500,$A310,Costs!$B$3:$B$500,"&gt;="&amp;DATE($B310,1,1),Costs!$B$3:$B$500,"&lt;="&amp;DATE($B310,12,31))/1000</f>
        <v>0</v>
      </c>
      <c r="H310" s="9" t="n">
        <f aca="false">SUMIFS('Partial Sales'!$F$3:$F$500,'Partial Sales'!$C$3:$C$500,$A310,'Partial Sales'!$B$3:$B$500,"&gt;="&amp;DATE($B310,1,1),'Partial Sales'!$B$3:$B$500,"&lt;="&amp;DATE($B310,12,31))/1000</f>
        <v>0</v>
      </c>
      <c r="I310" s="9" t="n">
        <f aca="false">SUMIFS('Partial Purchases'!$F$3:$F$500,'Partial Purchases'!$C$3:$C$500,$A310,'Partial Purchases'!$B$3:$B$500,"&gt;="&amp;DATE($B310,1,1),'Partial Purchases'!$B$3:$B$500,"&lt;="&amp;DATE($B310,12,31))/1000</f>
        <v>0</v>
      </c>
      <c r="J310" s="9" t="n">
        <f aca="false">C310*(D310+0.5*(G310-H310+I310-F310))</f>
        <v>0</v>
      </c>
      <c r="K310" s="9" t="n">
        <f aca="false">C310*(E310-D310+H310-G310-I310)</f>
        <v>0</v>
      </c>
      <c r="L310" s="13" t="str">
        <f aca="false">IF(J310=0,"",C310*F310/J310)</f>
        <v/>
      </c>
      <c r="M310" s="13" t="str">
        <f aca="false">IF(J310=0,"",K310/J310)</f>
        <v/>
      </c>
      <c r="N310" s="13" t="str">
        <f aca="false">IF(J310=0,"",L310+M310)</f>
        <v/>
      </c>
    </row>
    <row r="311" customFormat="false" ht="15" hidden="false" customHeight="false" outlineLevel="0" collapsed="false">
      <c r="A311" s="8" t="s">
        <v>27</v>
      </c>
      <c r="B311" s="48" t="n">
        <v>2011</v>
      </c>
      <c r="C311" s="10" t="n">
        <f aca="false">IF(D311&gt;0,1,0)</f>
        <v>0</v>
      </c>
      <c r="D311" s="9" t="n">
        <f aca="false">IF(SUMIFS(Sales!$F$3:$F$500,Sales!$C$3:$C$500,$A311,Sales!$B$3:$B$500,"&lt;="&amp;DATE($B311-1,12,31))&gt;0,0,SUMIFS('Asset Value'!$I$4:$I$500,'Asset Value'!$C$4:$C$500,$A311,'Asset Value'!$B$4:$B$500,$B311-1)/1000)</f>
        <v>0</v>
      </c>
      <c r="E311" s="9" t="n">
        <f aca="false">IF(SUMIFS(Sales!$F$3:$F$500,Sales!$C$3:$C$500,$A311,Sales!$B$3:$B$500,"&gt;="&amp;DATE($B311,1,1),Sales!$B$3:$B$500,"&lt;="&amp;DATE($B311,12,31))&gt;0,SUMIFS(Sales!$F$3:$F$500,Sales!$C$3:$C$500,$A311,Sales!$B$3:$B$500,"&gt;="&amp;DATE($B311,1,1),Sales!$B$3:$B$500,"&lt;="&amp;DATE($B311,12,31))/1000,SUMIFS('Asset Value'!$I$4:$I$500,'Asset Value'!$C$4:$C$500,$A311,'Asset Value'!$B$4:$B$500,$B311)/1000)</f>
        <v>0</v>
      </c>
      <c r="F311" s="9" t="n">
        <f aca="false">SUMIFS(Rent!$G$3:$G$500,Rent!$D$3:$D$500,$A311,Rent!$C$3:$C$500,$B311)/1000</f>
        <v>0</v>
      </c>
      <c r="G311" s="9" t="n">
        <f aca="false">SUMIFS(Costs!$F$3:$F$500,Costs!$C$3:$C$500,$A311,Costs!$B$3:$B$500,"&gt;="&amp;DATE($B311,1,1),Costs!$B$3:$B$500,"&lt;="&amp;DATE($B311,12,31))/1000</f>
        <v>0</v>
      </c>
      <c r="H311" s="9" t="n">
        <f aca="false">SUMIFS('Partial Sales'!$F$3:$F$500,'Partial Sales'!$C$3:$C$500,$A311,'Partial Sales'!$B$3:$B$500,"&gt;="&amp;DATE($B311,1,1),'Partial Sales'!$B$3:$B$500,"&lt;="&amp;DATE($B311,12,31))/1000</f>
        <v>0</v>
      </c>
      <c r="I311" s="9" t="n">
        <f aca="false">SUMIFS('Partial Purchases'!$F$3:$F$500,'Partial Purchases'!$C$3:$C$500,$A311,'Partial Purchases'!$B$3:$B$500,"&gt;="&amp;DATE($B311,1,1),'Partial Purchases'!$B$3:$B$500,"&lt;="&amp;DATE($B311,12,31))/1000</f>
        <v>0</v>
      </c>
      <c r="J311" s="9" t="n">
        <f aca="false">C311*(D311+0.5*(G311-H311+I311-F311))</f>
        <v>0</v>
      </c>
      <c r="K311" s="9" t="n">
        <f aca="false">C311*(E311-D311+H311-G311-I311)</f>
        <v>0</v>
      </c>
      <c r="L311" s="13" t="str">
        <f aca="false">IF(J311=0,"",C311*F311/J311)</f>
        <v/>
      </c>
      <c r="M311" s="13" t="str">
        <f aca="false">IF(J311=0,"",K311/J311)</f>
        <v/>
      </c>
      <c r="N311" s="13" t="str">
        <f aca="false">IF(J311=0,"",L311+M311)</f>
        <v/>
      </c>
    </row>
    <row r="312" customFormat="false" ht="15" hidden="false" customHeight="false" outlineLevel="0" collapsed="false">
      <c r="A312" s="8" t="s">
        <v>27</v>
      </c>
      <c r="B312" s="48" t="n">
        <v>2012</v>
      </c>
      <c r="C312" s="10" t="n">
        <f aca="false">IF(D312&gt;0,1,0)</f>
        <v>0</v>
      </c>
      <c r="D312" s="9" t="n">
        <f aca="false">IF(SUMIFS(Sales!$F$3:$F$500,Sales!$C$3:$C$500,$A312,Sales!$B$3:$B$500,"&lt;="&amp;DATE($B312-1,12,31))&gt;0,0,SUMIFS('Asset Value'!$I$4:$I$500,'Asset Value'!$C$4:$C$500,$A312,'Asset Value'!$B$4:$B$500,$B312-1)/1000)</f>
        <v>0</v>
      </c>
      <c r="E312" s="9" t="n">
        <f aca="false">IF(SUMIFS(Sales!$F$3:$F$500,Sales!$C$3:$C$500,$A312,Sales!$B$3:$B$500,"&gt;="&amp;DATE($B312,1,1),Sales!$B$3:$B$500,"&lt;="&amp;DATE($B312,12,31))&gt;0,SUMIFS(Sales!$F$3:$F$500,Sales!$C$3:$C$500,$A312,Sales!$B$3:$B$500,"&gt;="&amp;DATE($B312,1,1),Sales!$B$3:$B$500,"&lt;="&amp;DATE($B312,12,31))/1000,SUMIFS('Asset Value'!$I$4:$I$500,'Asset Value'!$C$4:$C$500,$A312,'Asset Value'!$B$4:$B$500,$B312)/1000)</f>
        <v>20484.5381130589</v>
      </c>
      <c r="F312" s="9" t="n">
        <f aca="false">SUMIFS(Rent!$G$3:$G$500,Rent!$D$3:$D$500,$A312,Rent!$C$3:$C$500,$B312)/1000</f>
        <v>629.986783494053</v>
      </c>
      <c r="G312" s="9" t="n">
        <f aca="false">SUMIFS(Costs!$F$3:$F$500,Costs!$C$3:$C$500,$A312,Costs!$B$3:$B$500,"&gt;="&amp;DATE($B312,1,1),Costs!$B$3:$B$500,"&lt;="&amp;DATE($B312,12,31))/1000</f>
        <v>0</v>
      </c>
      <c r="H312" s="9" t="n">
        <f aca="false">SUMIFS('Partial Sales'!$F$3:$F$500,'Partial Sales'!$C$3:$C$500,$A312,'Partial Sales'!$B$3:$B$500,"&gt;="&amp;DATE($B312,1,1),'Partial Sales'!$B$3:$B$500,"&lt;="&amp;DATE($B312,12,31))/1000</f>
        <v>0</v>
      </c>
      <c r="I312" s="9" t="n">
        <f aca="false">SUMIFS('Partial Purchases'!$F$3:$F$500,'Partial Purchases'!$C$3:$C$500,$A312,'Partial Purchases'!$B$3:$B$500,"&gt;="&amp;DATE($B312,1,1),'Partial Purchases'!$B$3:$B$500,"&lt;="&amp;DATE($B312,12,31))/1000</f>
        <v>0</v>
      </c>
      <c r="J312" s="9" t="n">
        <f aca="false">C312*(D312+0.5*(G312-H312+I312-F312))</f>
        <v>-0</v>
      </c>
      <c r="K312" s="9" t="n">
        <f aca="false">C312*(E312-D312+H312-G312-I312)</f>
        <v>0</v>
      </c>
      <c r="L312" s="13" t="str">
        <f aca="false">IF(J312=0,"",C312*F312/J312)</f>
        <v/>
      </c>
      <c r="M312" s="13" t="str">
        <f aca="false">IF(J312=0,"",K312/J312)</f>
        <v/>
      </c>
      <c r="N312" s="13" t="str">
        <f aca="false">IF(J312=0,"",L312+M312)</f>
        <v/>
      </c>
    </row>
    <row r="313" customFormat="false" ht="15" hidden="false" customHeight="false" outlineLevel="0" collapsed="false">
      <c r="A313" s="8" t="s">
        <v>27</v>
      </c>
      <c r="B313" s="48" t="n">
        <v>2013</v>
      </c>
      <c r="C313" s="10" t="n">
        <f aca="false">IF(D313&gt;0,1,0)</f>
        <v>1</v>
      </c>
      <c r="D313" s="9" t="n">
        <f aca="false">IF(SUMIFS(Sales!$F$3:$F$500,Sales!$C$3:$C$500,$A313,Sales!$B$3:$B$500,"&lt;="&amp;DATE($B313-1,12,31))&gt;0,0,SUMIFS('Asset Value'!$I$4:$I$500,'Asset Value'!$C$4:$C$500,$A313,'Asset Value'!$B$4:$B$500,$B313-1)/1000)</f>
        <v>20484.5381130589</v>
      </c>
      <c r="E313" s="9" t="n">
        <f aca="false">IF(SUMIFS(Sales!$F$3:$F$500,Sales!$C$3:$C$500,$A313,Sales!$B$3:$B$500,"&gt;="&amp;DATE($B313,1,1),Sales!$B$3:$B$500,"&lt;="&amp;DATE($B313,12,31))&gt;0,SUMIFS(Sales!$F$3:$F$500,Sales!$C$3:$C$500,$A313,Sales!$B$3:$B$500,"&gt;="&amp;DATE($B313,1,1),Sales!$B$3:$B$500,"&lt;="&amp;DATE($B313,12,31))/1000,SUMIFS('Asset Value'!$I$4:$I$500,'Asset Value'!$C$4:$C$500,$A313,'Asset Value'!$B$4:$B$500,$B313)/1000)</f>
        <v>18754.4546614457</v>
      </c>
      <c r="F313" s="9" t="n">
        <f aca="false">SUMIFS(Rent!$G$3:$G$500,Rent!$D$3:$D$500,$A313,Rent!$C$3:$C$500,$B313)/1000</f>
        <v>515.371477369769</v>
      </c>
      <c r="G313" s="9" t="n">
        <f aca="false">SUMIFS(Costs!$F$3:$F$500,Costs!$C$3:$C$500,$A313,Costs!$B$3:$B$500,"&gt;="&amp;DATE($B313,1,1),Costs!$B$3:$B$500,"&lt;="&amp;DATE($B313,12,31))/1000</f>
        <v>0</v>
      </c>
      <c r="H313" s="9" t="n">
        <f aca="false">SUMIFS('Partial Sales'!$F$3:$F$500,'Partial Sales'!$C$3:$C$500,$A313,'Partial Sales'!$B$3:$B$500,"&gt;="&amp;DATE($B313,1,1),'Partial Sales'!$B$3:$B$500,"&lt;="&amp;DATE($B313,12,31))/1000</f>
        <v>0</v>
      </c>
      <c r="I313" s="9" t="n">
        <f aca="false">SUMIFS('Partial Purchases'!$F$3:$F$500,'Partial Purchases'!$C$3:$C$500,$A313,'Partial Purchases'!$B$3:$B$500,"&gt;="&amp;DATE($B313,1,1),'Partial Purchases'!$B$3:$B$500,"&lt;="&amp;DATE($B313,12,31))/1000</f>
        <v>0</v>
      </c>
      <c r="J313" s="9" t="n">
        <f aca="false">C313*(D313+0.5*(G313-H313+I313-F313))</f>
        <v>20226.852374374</v>
      </c>
      <c r="K313" s="9" t="n">
        <f aca="false">C313*(E313-D313+H313-G313-I313)</f>
        <v>-1730.08345161316</v>
      </c>
      <c r="L313" s="13" t="n">
        <f aca="false">IF(J313=0,"",C313*F313/J313)</f>
        <v>0.0254795688340866</v>
      </c>
      <c r="M313" s="13" t="n">
        <f aca="false">IF(J313=0,"",K313/J313)</f>
        <v>-0.085533993109331</v>
      </c>
      <c r="N313" s="13" t="n">
        <f aca="false">IF(J313=0,"",L313+M313)</f>
        <v>-0.0600544242752445</v>
      </c>
    </row>
    <row r="314" customFormat="false" ht="15" hidden="false" customHeight="false" outlineLevel="0" collapsed="false">
      <c r="A314" s="8" t="s">
        <v>27</v>
      </c>
      <c r="B314" s="48" t="n">
        <v>2014</v>
      </c>
      <c r="C314" s="10" t="n">
        <f aca="false">IF(D314&gt;0,1,0)</f>
        <v>1</v>
      </c>
      <c r="D314" s="9" t="n">
        <f aca="false">IF(SUMIFS(Sales!$F$3:$F$500,Sales!$C$3:$C$500,$A314,Sales!$B$3:$B$500,"&lt;="&amp;DATE($B314-1,12,31))&gt;0,0,SUMIFS('Asset Value'!$I$4:$I$500,'Asset Value'!$C$4:$C$500,$A314,'Asset Value'!$B$4:$B$500,$B314-1)/1000)</f>
        <v>18754.4546614457</v>
      </c>
      <c r="E314" s="9" t="n">
        <f aca="false">IF(SUMIFS(Sales!$F$3:$F$500,Sales!$C$3:$C$500,$A314,Sales!$B$3:$B$500,"&gt;="&amp;DATE($B314,1,1),Sales!$B$3:$B$500,"&lt;="&amp;DATE($B314,12,31))&gt;0,SUMIFS(Sales!$F$3:$F$500,Sales!$C$3:$C$500,$A314,Sales!$B$3:$B$500,"&gt;="&amp;DATE($B314,1,1),Sales!$B$3:$B$500,"&lt;="&amp;DATE($B314,12,31))/1000,SUMIFS('Asset Value'!$I$4:$I$500,'Asset Value'!$C$4:$C$500,$A314,'Asset Value'!$B$4:$B$500,$B314)/1000)</f>
        <v>0</v>
      </c>
      <c r="F314" s="9" t="n">
        <f aca="false">SUMIFS(Rent!$G$3:$G$500,Rent!$D$3:$D$500,$A314,Rent!$C$3:$C$500,$B314)/1000</f>
        <v>0</v>
      </c>
      <c r="G314" s="9" t="n">
        <f aca="false">SUMIFS(Costs!$F$3:$F$500,Costs!$C$3:$C$500,$A314,Costs!$B$3:$B$500,"&gt;="&amp;DATE($B314,1,1),Costs!$B$3:$B$500,"&lt;="&amp;DATE($B314,12,31))/1000</f>
        <v>0</v>
      </c>
      <c r="H314" s="9" t="n">
        <f aca="false">SUMIFS('Partial Sales'!$F$3:$F$500,'Partial Sales'!$C$3:$C$500,$A314,'Partial Sales'!$B$3:$B$500,"&gt;="&amp;DATE($B314,1,1),'Partial Sales'!$B$3:$B$500,"&lt;="&amp;DATE($B314,12,31))/1000</f>
        <v>0</v>
      </c>
      <c r="I314" s="9" t="n">
        <f aca="false">SUMIFS('Partial Purchases'!$F$3:$F$500,'Partial Purchases'!$C$3:$C$500,$A314,'Partial Purchases'!$B$3:$B$500,"&gt;="&amp;DATE($B314,1,1),'Partial Purchases'!$B$3:$B$500,"&lt;="&amp;DATE($B314,12,31))/1000</f>
        <v>0</v>
      </c>
      <c r="J314" s="9" t="n">
        <f aca="false">C314*(D314+0.5*(G314-H314+I314-F314))</f>
        <v>18754.4546614457</v>
      </c>
      <c r="K314" s="9" t="n">
        <f aca="false">C314*(E314-D314+H314-G314-I314)</f>
        <v>-18754.4546614457</v>
      </c>
      <c r="L314" s="13" t="n">
        <f aca="false">IF(J314=0,"",C314*F314/J314)</f>
        <v>0</v>
      </c>
      <c r="M314" s="13" t="n">
        <f aca="false">IF(J314=0,"",K314/J314)</f>
        <v>-1</v>
      </c>
      <c r="N314" s="13" t="n">
        <f aca="false">IF(J314=0,"",L314+M314)</f>
        <v>-1</v>
      </c>
    </row>
    <row r="315" customFormat="false" ht="15" hidden="false" customHeight="false" outlineLevel="0" collapsed="false">
      <c r="A315" s="49" t="s">
        <v>27</v>
      </c>
      <c r="B315" s="50" t="n">
        <v>2015</v>
      </c>
      <c r="C315" s="51" t="n">
        <f aca="false">IF(D315&gt;0,1,0)</f>
        <v>0</v>
      </c>
      <c r="D315" s="52" t="n">
        <f aca="false">IF(SUMIFS(Sales!$F$3:$F$500,Sales!$C$3:$C$500,$A315,Sales!$B$3:$B$500,"&lt;="&amp;DATE($B315-1,12,31))&gt;0,0,SUMIFS('Asset Value'!$I$4:$I$500,'Asset Value'!$C$4:$C$500,$A315,'Asset Value'!$B$4:$B$500,$B315-1)/1000)</f>
        <v>0</v>
      </c>
      <c r="E315" s="52" t="n">
        <f aca="false">IF(SUMIFS(Sales!$F$3:$F$500,Sales!$C$3:$C$500,$A315,Sales!$B$3:$B$500,"&gt;="&amp;DATE($B315,1,1),Sales!$B$3:$B$500,"&lt;="&amp;DATE($B315,12,31))&gt;0,SUMIFS(Sales!$F$3:$F$500,Sales!$C$3:$C$500,$A315,Sales!$B$3:$B$500,"&gt;="&amp;DATE($B315,1,1),Sales!$B$3:$B$500,"&lt;="&amp;DATE($B315,12,31))/1000,SUMIFS('Asset Value'!$I$4:$I$500,'Asset Value'!$C$4:$C$500,$A315,'Asset Value'!$B$4:$B$500,$B315)/1000)</f>
        <v>0</v>
      </c>
      <c r="F315" s="52" t="n">
        <f aca="false">SUMIFS(Rent!$G$3:$G$500,Rent!$D$3:$D$500,$A315,Rent!$C$3:$C$500,$B315)/1000</f>
        <v>0</v>
      </c>
      <c r="G315" s="52" t="n">
        <f aca="false">SUMIFS(Costs!$F$3:$F$500,Costs!$C$3:$C$500,$A315,Costs!$B$3:$B$500,"&gt;="&amp;DATE($B315,1,1),Costs!$B$3:$B$500,"&lt;="&amp;DATE($B315,12,31))/1000</f>
        <v>0</v>
      </c>
      <c r="H315" s="52" t="n">
        <f aca="false">SUMIFS('Partial Sales'!$F$3:$F$500,'Partial Sales'!$C$3:$C$500,$A315,'Partial Sales'!$B$3:$B$500,"&gt;="&amp;DATE($B315,1,1),'Partial Sales'!$B$3:$B$500,"&lt;="&amp;DATE($B315,12,31))/1000</f>
        <v>0</v>
      </c>
      <c r="I315" s="52" t="n">
        <f aca="false">SUMIFS('Partial Purchases'!$F$3:$F$500,'Partial Purchases'!$C$3:$C$500,$A315,'Partial Purchases'!$B$3:$B$500,"&gt;="&amp;DATE($B315,1,1),'Partial Purchases'!$B$3:$B$500,"&lt;="&amp;DATE($B315,12,31))/1000</f>
        <v>0</v>
      </c>
      <c r="J315" s="52" t="n">
        <f aca="false">C315*(D315+0.5*(G315-H315+I315-F315))</f>
        <v>0</v>
      </c>
      <c r="K315" s="52" t="n">
        <f aca="false">C315*(E315-D315+H315-G315-I315)</f>
        <v>0</v>
      </c>
      <c r="L315" s="46" t="str">
        <f aca="false">IF(J315=0,"",C315*F315/J315)</f>
        <v/>
      </c>
      <c r="M315" s="46" t="str">
        <f aca="false">IF(J315=0,"",K315/J315)</f>
        <v/>
      </c>
      <c r="N315" s="46" t="str">
        <f aca="false">IF(J315=0,"",L315+M315)</f>
        <v/>
      </c>
    </row>
    <row r="316" customFormat="false" ht="15" hidden="false" customHeight="false" outlineLevel="0" collapsed="false">
      <c r="A316" s="8" t="s">
        <v>28</v>
      </c>
      <c r="B316" s="48" t="n">
        <v>2008</v>
      </c>
      <c r="C316" s="10" t="n">
        <f aca="false">IF(D316&gt;0,1,0)</f>
        <v>0</v>
      </c>
      <c r="D316" s="9" t="n">
        <f aca="false">IF(SUMIFS(Sales!$F$3:$F$500,Sales!$C$3:$C$500,$A316,Sales!$B$3:$B$500,"&lt;="&amp;DATE($B316-1,12,31))&gt;0,0,SUMIFS('Asset Value'!$I$4:$I$500,'Asset Value'!$C$4:$C$500,$A316,'Asset Value'!$B$4:$B$500,$B316-1)/1000)</f>
        <v>0</v>
      </c>
      <c r="E316" s="9" t="n">
        <f aca="false">IF(SUMIFS(Sales!$F$3:$F$500,Sales!$C$3:$C$500,$A316,Sales!$B$3:$B$500,"&gt;="&amp;DATE($B316,1,1),Sales!$B$3:$B$500,"&lt;="&amp;DATE($B316,12,31))&gt;0,SUMIFS(Sales!$F$3:$F$500,Sales!$C$3:$C$500,$A316,Sales!$B$3:$B$500,"&gt;="&amp;DATE($B316,1,1),Sales!$B$3:$B$500,"&lt;="&amp;DATE($B316,12,31))/1000,SUMIFS('Asset Value'!$I$4:$I$500,'Asset Value'!$C$4:$C$500,$A316,'Asset Value'!$B$4:$B$500,$B316)/1000)</f>
        <v>0</v>
      </c>
      <c r="F316" s="9" t="n">
        <f aca="false">SUMIFS(Rent!$G$3:$G$500,Rent!$D$3:$D$500,$A316,Rent!$C$3:$C$500,$B316)/1000</f>
        <v>0</v>
      </c>
      <c r="G316" s="9" t="n">
        <f aca="false">SUMIFS(Costs!$F$3:$F$500,Costs!$C$3:$C$500,$A316,Costs!$B$3:$B$500,"&gt;="&amp;DATE($B316,1,1),Costs!$B$3:$B$500,"&lt;="&amp;DATE($B316,12,31))/1000</f>
        <v>0</v>
      </c>
      <c r="H316" s="9" t="n">
        <f aca="false">SUMIFS('Partial Sales'!$F$3:$F$500,'Partial Sales'!$C$3:$C$500,$A316,'Partial Sales'!$B$3:$B$500,"&gt;="&amp;DATE($B316,1,1),'Partial Sales'!$B$3:$B$500,"&lt;="&amp;DATE($B316,12,31))/1000</f>
        <v>0</v>
      </c>
      <c r="I316" s="9" t="n">
        <f aca="false">SUMIFS('Partial Purchases'!$F$3:$F$500,'Partial Purchases'!$C$3:$C$500,$A316,'Partial Purchases'!$B$3:$B$500,"&gt;="&amp;DATE($B316,1,1),'Partial Purchases'!$B$3:$B$500,"&lt;="&amp;DATE($B316,12,31))/1000</f>
        <v>0</v>
      </c>
      <c r="J316" s="9" t="n">
        <f aca="false">C316*(D316+0.5*(G316-H316+I316-F316))</f>
        <v>0</v>
      </c>
      <c r="K316" s="9" t="n">
        <f aca="false">C316*(E316-D316+H316-G316-I316)</f>
        <v>0</v>
      </c>
      <c r="L316" s="13" t="str">
        <f aca="false">IF(J316=0,"",C316*F316/J316)</f>
        <v/>
      </c>
      <c r="M316" s="13" t="str">
        <f aca="false">IF(J316=0,"",K316/J316)</f>
        <v/>
      </c>
      <c r="N316" s="13" t="str">
        <f aca="false">IF(J316=0,"",L316+M316)</f>
        <v/>
      </c>
    </row>
    <row r="317" customFormat="false" ht="15" hidden="false" customHeight="false" outlineLevel="0" collapsed="false">
      <c r="A317" s="8" t="s">
        <v>28</v>
      </c>
      <c r="B317" s="48" t="n">
        <v>2009</v>
      </c>
      <c r="C317" s="10" t="n">
        <f aca="false">IF(D317&gt;0,1,0)</f>
        <v>0</v>
      </c>
      <c r="D317" s="9" t="n">
        <f aca="false">IF(SUMIFS(Sales!$F$3:$F$500,Sales!$C$3:$C$500,$A317,Sales!$B$3:$B$500,"&lt;="&amp;DATE($B317-1,12,31))&gt;0,0,SUMIFS('Asset Value'!$I$4:$I$500,'Asset Value'!$C$4:$C$500,$A317,'Asset Value'!$B$4:$B$500,$B317-1)/1000)</f>
        <v>0</v>
      </c>
      <c r="E317" s="9" t="n">
        <f aca="false">IF(SUMIFS(Sales!$F$3:$F$500,Sales!$C$3:$C$500,$A317,Sales!$B$3:$B$500,"&gt;="&amp;DATE($B317,1,1),Sales!$B$3:$B$500,"&lt;="&amp;DATE($B317,12,31))&gt;0,SUMIFS(Sales!$F$3:$F$500,Sales!$C$3:$C$500,$A317,Sales!$B$3:$B$500,"&gt;="&amp;DATE($B317,1,1),Sales!$B$3:$B$500,"&lt;="&amp;DATE($B317,12,31))/1000,SUMIFS('Asset Value'!$I$4:$I$500,'Asset Value'!$C$4:$C$500,$A317,'Asset Value'!$B$4:$B$500,$B317)/1000)</f>
        <v>0</v>
      </c>
      <c r="F317" s="9" t="n">
        <f aca="false">SUMIFS(Rent!$G$3:$G$500,Rent!$D$3:$D$500,$A317,Rent!$C$3:$C$500,$B317)/1000</f>
        <v>0</v>
      </c>
      <c r="G317" s="9" t="n">
        <f aca="false">SUMIFS(Costs!$F$3:$F$500,Costs!$C$3:$C$500,$A317,Costs!$B$3:$B$500,"&gt;="&amp;DATE($B317,1,1),Costs!$B$3:$B$500,"&lt;="&amp;DATE($B317,12,31))/1000</f>
        <v>0</v>
      </c>
      <c r="H317" s="9" t="n">
        <f aca="false">SUMIFS('Partial Sales'!$F$3:$F$500,'Partial Sales'!$C$3:$C$500,$A317,'Partial Sales'!$B$3:$B$500,"&gt;="&amp;DATE($B317,1,1),'Partial Sales'!$B$3:$B$500,"&lt;="&amp;DATE($B317,12,31))/1000</f>
        <v>0</v>
      </c>
      <c r="I317" s="9" t="n">
        <f aca="false">SUMIFS('Partial Purchases'!$F$3:$F$500,'Partial Purchases'!$C$3:$C$500,$A317,'Partial Purchases'!$B$3:$B$500,"&gt;="&amp;DATE($B317,1,1),'Partial Purchases'!$B$3:$B$500,"&lt;="&amp;DATE($B317,12,31))/1000</f>
        <v>0</v>
      </c>
      <c r="J317" s="9" t="n">
        <f aca="false">C317*(D317+0.5*(G317-H317+I317-F317))</f>
        <v>0</v>
      </c>
      <c r="K317" s="9" t="n">
        <f aca="false">C317*(E317-D317+H317-G317-I317)</f>
        <v>0</v>
      </c>
      <c r="L317" s="13" t="str">
        <f aca="false">IF(J317=0,"",C317*F317/J317)</f>
        <v/>
      </c>
      <c r="M317" s="13" t="str">
        <f aca="false">IF(J317=0,"",K317/J317)</f>
        <v/>
      </c>
      <c r="N317" s="13" t="str">
        <f aca="false">IF(J317=0,"",L317+M317)</f>
        <v/>
      </c>
    </row>
    <row r="318" customFormat="false" ht="15" hidden="false" customHeight="false" outlineLevel="0" collapsed="false">
      <c r="A318" s="8" t="s">
        <v>28</v>
      </c>
      <c r="B318" s="48" t="n">
        <v>2010</v>
      </c>
      <c r="C318" s="10" t="n">
        <f aca="false">IF(D318&gt;0,1,0)</f>
        <v>0</v>
      </c>
      <c r="D318" s="9" t="n">
        <f aca="false">IF(SUMIFS(Sales!$F$3:$F$500,Sales!$C$3:$C$500,$A318,Sales!$B$3:$B$500,"&lt;="&amp;DATE($B318-1,12,31))&gt;0,0,SUMIFS('Asset Value'!$I$4:$I$500,'Asset Value'!$C$4:$C$500,$A318,'Asset Value'!$B$4:$B$500,$B318-1)/1000)</f>
        <v>0</v>
      </c>
      <c r="E318" s="9" t="n">
        <f aca="false">IF(SUMIFS(Sales!$F$3:$F$500,Sales!$C$3:$C$500,$A318,Sales!$B$3:$B$500,"&gt;="&amp;DATE($B318,1,1),Sales!$B$3:$B$500,"&lt;="&amp;DATE($B318,12,31))&gt;0,SUMIFS(Sales!$F$3:$F$500,Sales!$C$3:$C$500,$A318,Sales!$B$3:$B$500,"&gt;="&amp;DATE($B318,1,1),Sales!$B$3:$B$500,"&lt;="&amp;DATE($B318,12,31))/1000,SUMIFS('Asset Value'!$I$4:$I$500,'Asset Value'!$C$4:$C$500,$A318,'Asset Value'!$B$4:$B$500,$B318)/1000)</f>
        <v>0</v>
      </c>
      <c r="F318" s="9" t="n">
        <f aca="false">SUMIFS(Rent!$G$3:$G$500,Rent!$D$3:$D$500,$A318,Rent!$C$3:$C$500,$B318)/1000</f>
        <v>0</v>
      </c>
      <c r="G318" s="9" t="n">
        <f aca="false">SUMIFS(Costs!$F$3:$F$500,Costs!$C$3:$C$500,$A318,Costs!$B$3:$B$500,"&gt;="&amp;DATE($B318,1,1),Costs!$B$3:$B$500,"&lt;="&amp;DATE($B318,12,31))/1000</f>
        <v>0</v>
      </c>
      <c r="H318" s="9" t="n">
        <f aca="false">SUMIFS('Partial Sales'!$F$3:$F$500,'Partial Sales'!$C$3:$C$500,$A318,'Partial Sales'!$B$3:$B$500,"&gt;="&amp;DATE($B318,1,1),'Partial Sales'!$B$3:$B$500,"&lt;="&amp;DATE($B318,12,31))/1000</f>
        <v>0</v>
      </c>
      <c r="I318" s="9" t="n">
        <f aca="false">SUMIFS('Partial Purchases'!$F$3:$F$500,'Partial Purchases'!$C$3:$C$500,$A318,'Partial Purchases'!$B$3:$B$500,"&gt;="&amp;DATE($B318,1,1),'Partial Purchases'!$B$3:$B$500,"&lt;="&amp;DATE($B318,12,31))/1000</f>
        <v>0</v>
      </c>
      <c r="J318" s="9" t="n">
        <f aca="false">C318*(D318+0.5*(G318-H318+I318-F318))</f>
        <v>0</v>
      </c>
      <c r="K318" s="9" t="n">
        <f aca="false">C318*(E318-D318+H318-G318-I318)</f>
        <v>0</v>
      </c>
      <c r="L318" s="13" t="str">
        <f aca="false">IF(J318=0,"",C318*F318/J318)</f>
        <v/>
      </c>
      <c r="M318" s="13" t="str">
        <f aca="false">IF(J318=0,"",K318/J318)</f>
        <v/>
      </c>
      <c r="N318" s="13" t="str">
        <f aca="false">IF(J318=0,"",L318+M318)</f>
        <v/>
      </c>
    </row>
    <row r="319" customFormat="false" ht="15" hidden="false" customHeight="false" outlineLevel="0" collapsed="false">
      <c r="A319" s="8" t="s">
        <v>28</v>
      </c>
      <c r="B319" s="48" t="n">
        <v>2011</v>
      </c>
      <c r="C319" s="10" t="n">
        <f aca="false">IF(D319&gt;0,1,0)</f>
        <v>0</v>
      </c>
      <c r="D319" s="9" t="n">
        <f aca="false">IF(SUMIFS(Sales!$F$3:$F$500,Sales!$C$3:$C$500,$A319,Sales!$B$3:$B$500,"&lt;="&amp;DATE($B319-1,12,31))&gt;0,0,SUMIFS('Asset Value'!$I$4:$I$500,'Asset Value'!$C$4:$C$500,$A319,'Asset Value'!$B$4:$B$500,$B319-1)/1000)</f>
        <v>0</v>
      </c>
      <c r="E319" s="9" t="n">
        <f aca="false">IF(SUMIFS(Sales!$F$3:$F$500,Sales!$C$3:$C$500,$A319,Sales!$B$3:$B$500,"&gt;="&amp;DATE($B319,1,1),Sales!$B$3:$B$500,"&lt;="&amp;DATE($B319,12,31))&gt;0,SUMIFS(Sales!$F$3:$F$500,Sales!$C$3:$C$500,$A319,Sales!$B$3:$B$500,"&gt;="&amp;DATE($B319,1,1),Sales!$B$3:$B$500,"&lt;="&amp;DATE($B319,12,31))/1000,SUMIFS('Asset Value'!$I$4:$I$500,'Asset Value'!$C$4:$C$500,$A319,'Asset Value'!$B$4:$B$500,$B319)/1000)</f>
        <v>0</v>
      </c>
      <c r="F319" s="9" t="n">
        <f aca="false">SUMIFS(Rent!$G$3:$G$500,Rent!$D$3:$D$500,$A319,Rent!$C$3:$C$500,$B319)/1000</f>
        <v>0</v>
      </c>
      <c r="G319" s="9" t="n">
        <f aca="false">SUMIFS(Costs!$F$3:$F$500,Costs!$C$3:$C$500,$A319,Costs!$B$3:$B$500,"&gt;="&amp;DATE($B319,1,1),Costs!$B$3:$B$500,"&lt;="&amp;DATE($B319,12,31))/1000</f>
        <v>0</v>
      </c>
      <c r="H319" s="9" t="n">
        <f aca="false">SUMIFS('Partial Sales'!$F$3:$F$500,'Partial Sales'!$C$3:$C$500,$A319,'Partial Sales'!$B$3:$B$500,"&gt;="&amp;DATE($B319,1,1),'Partial Sales'!$B$3:$B$500,"&lt;="&amp;DATE($B319,12,31))/1000</f>
        <v>0</v>
      </c>
      <c r="I319" s="9" t="n">
        <f aca="false">SUMIFS('Partial Purchases'!$F$3:$F$500,'Partial Purchases'!$C$3:$C$500,$A319,'Partial Purchases'!$B$3:$B$500,"&gt;="&amp;DATE($B319,1,1),'Partial Purchases'!$B$3:$B$500,"&lt;="&amp;DATE($B319,12,31))/1000</f>
        <v>0</v>
      </c>
      <c r="J319" s="9" t="n">
        <f aca="false">C319*(D319+0.5*(G319-H319+I319-F319))</f>
        <v>0</v>
      </c>
      <c r="K319" s="9" t="n">
        <f aca="false">C319*(E319-D319+H319-G319-I319)</f>
        <v>0</v>
      </c>
      <c r="L319" s="13" t="str">
        <f aca="false">IF(J319=0,"",C319*F319/J319)</f>
        <v/>
      </c>
      <c r="M319" s="13" t="str">
        <f aca="false">IF(J319=0,"",K319/J319)</f>
        <v/>
      </c>
      <c r="N319" s="13" t="str">
        <f aca="false">IF(J319=0,"",L319+M319)</f>
        <v/>
      </c>
    </row>
    <row r="320" customFormat="false" ht="15" hidden="false" customHeight="false" outlineLevel="0" collapsed="false">
      <c r="A320" s="8" t="s">
        <v>28</v>
      </c>
      <c r="B320" s="48" t="n">
        <v>2012</v>
      </c>
      <c r="C320" s="10" t="n">
        <f aca="false">IF(D320&gt;0,1,0)</f>
        <v>0</v>
      </c>
      <c r="D320" s="9" t="n">
        <f aca="false">IF(SUMIFS(Sales!$F$3:$F$500,Sales!$C$3:$C$500,$A320,Sales!$B$3:$B$500,"&lt;="&amp;DATE($B320-1,12,31))&gt;0,0,SUMIFS('Asset Value'!$I$4:$I$500,'Asset Value'!$C$4:$C$500,$A320,'Asset Value'!$B$4:$B$500,$B320-1)/1000)</f>
        <v>0</v>
      </c>
      <c r="E320" s="9" t="n">
        <f aca="false">IF(SUMIFS(Sales!$F$3:$F$500,Sales!$C$3:$C$500,$A320,Sales!$B$3:$B$500,"&gt;="&amp;DATE($B320,1,1),Sales!$B$3:$B$500,"&lt;="&amp;DATE($B320,12,31))&gt;0,SUMIFS(Sales!$F$3:$F$500,Sales!$C$3:$C$500,$A320,Sales!$B$3:$B$500,"&gt;="&amp;DATE($B320,1,1),Sales!$B$3:$B$500,"&lt;="&amp;DATE($B320,12,31))/1000,SUMIFS('Asset Value'!$I$4:$I$500,'Asset Value'!$C$4:$C$500,$A320,'Asset Value'!$B$4:$B$500,$B320)/1000)</f>
        <v>56315.7376403388</v>
      </c>
      <c r="F320" s="9" t="n">
        <f aca="false">SUMIFS(Rent!$G$3:$G$500,Rent!$D$3:$D$500,$A320,Rent!$C$3:$C$500,$B320)/1000</f>
        <v>1449.89965245484</v>
      </c>
      <c r="G320" s="9" t="n">
        <f aca="false">SUMIFS(Costs!$F$3:$F$500,Costs!$C$3:$C$500,$A320,Costs!$B$3:$B$500,"&gt;="&amp;DATE($B320,1,1),Costs!$B$3:$B$500,"&lt;="&amp;DATE($B320,12,31))/1000</f>
        <v>0</v>
      </c>
      <c r="H320" s="9" t="n">
        <f aca="false">SUMIFS('Partial Sales'!$F$3:$F$500,'Partial Sales'!$C$3:$C$500,$A320,'Partial Sales'!$B$3:$B$500,"&gt;="&amp;DATE($B320,1,1),'Partial Sales'!$B$3:$B$500,"&lt;="&amp;DATE($B320,12,31))/1000</f>
        <v>0</v>
      </c>
      <c r="I320" s="9" t="n">
        <f aca="false">SUMIFS('Partial Purchases'!$F$3:$F$500,'Partial Purchases'!$C$3:$C$500,$A320,'Partial Purchases'!$B$3:$B$500,"&gt;="&amp;DATE($B320,1,1),'Partial Purchases'!$B$3:$B$500,"&lt;="&amp;DATE($B320,12,31))/1000</f>
        <v>0</v>
      </c>
      <c r="J320" s="9" t="n">
        <f aca="false">C320*(D320+0.5*(G320-H320+I320-F320))</f>
        <v>-0</v>
      </c>
      <c r="K320" s="9" t="n">
        <f aca="false">C320*(E320-D320+H320-G320-I320)</f>
        <v>0</v>
      </c>
      <c r="L320" s="13" t="str">
        <f aca="false">IF(J320=0,"",C320*F320/J320)</f>
        <v/>
      </c>
      <c r="M320" s="13" t="str">
        <f aca="false">IF(J320=0,"",K320/J320)</f>
        <v/>
      </c>
      <c r="N320" s="13" t="str">
        <f aca="false">IF(J320=0,"",L320+M320)</f>
        <v/>
      </c>
    </row>
    <row r="321" customFormat="false" ht="15" hidden="false" customHeight="false" outlineLevel="0" collapsed="false">
      <c r="A321" s="8" t="s">
        <v>28</v>
      </c>
      <c r="B321" s="48" t="n">
        <v>2013</v>
      </c>
      <c r="C321" s="10" t="n">
        <f aca="false">IF(D321&gt;0,1,0)</f>
        <v>1</v>
      </c>
      <c r="D321" s="9" t="n">
        <f aca="false">IF(SUMIFS(Sales!$F$3:$F$500,Sales!$C$3:$C$500,$A321,Sales!$B$3:$B$500,"&lt;="&amp;DATE($B321-1,12,31))&gt;0,0,SUMIFS('Asset Value'!$I$4:$I$500,'Asset Value'!$C$4:$C$500,$A321,'Asset Value'!$B$4:$B$500,$B321-1)/1000)</f>
        <v>56315.7376403388</v>
      </c>
      <c r="E321" s="9" t="n">
        <f aca="false">IF(SUMIFS(Sales!$F$3:$F$500,Sales!$C$3:$C$500,$A321,Sales!$B$3:$B$500,"&gt;="&amp;DATE($B321,1,1),Sales!$B$3:$B$500,"&lt;="&amp;DATE($B321,12,31))&gt;0,SUMIFS(Sales!$F$3:$F$500,Sales!$C$3:$C$500,$A321,Sales!$B$3:$B$500,"&gt;="&amp;DATE($B321,1,1),Sales!$B$3:$B$500,"&lt;="&amp;DATE($B321,12,31))/1000,SUMIFS('Asset Value'!$I$4:$I$500,'Asset Value'!$C$4:$C$500,$A321,'Asset Value'!$B$4:$B$500,$B321)/1000)</f>
        <v>73949.1398653702</v>
      </c>
      <c r="F321" s="9" t="n">
        <f aca="false">SUMIFS(Rent!$G$3:$G$500,Rent!$D$3:$D$500,$A321,Rent!$C$3:$C$500,$B321)/1000</f>
        <v>958.582408198121</v>
      </c>
      <c r="G321" s="9" t="n">
        <f aca="false">SUMIFS(Costs!$F$3:$F$500,Costs!$C$3:$C$500,$A321,Costs!$B$3:$B$500,"&gt;="&amp;DATE($B321,1,1),Costs!$B$3:$B$500,"&lt;="&amp;DATE($B321,12,31))/1000</f>
        <v>0</v>
      </c>
      <c r="H321" s="9" t="n">
        <f aca="false">SUMIFS('Partial Sales'!$F$3:$F$500,'Partial Sales'!$C$3:$C$500,$A321,'Partial Sales'!$B$3:$B$500,"&gt;="&amp;DATE($B321,1,1),'Partial Sales'!$B$3:$B$500,"&lt;="&amp;DATE($B321,12,31))/1000</f>
        <v>0</v>
      </c>
      <c r="I321" s="9" t="n">
        <f aca="false">SUMIFS('Partial Purchases'!$F$3:$F$500,'Partial Purchases'!$C$3:$C$500,$A321,'Partial Purchases'!$B$3:$B$500,"&gt;="&amp;DATE($B321,1,1),'Partial Purchases'!$B$3:$B$500,"&lt;="&amp;DATE($B321,12,31))/1000</f>
        <v>0</v>
      </c>
      <c r="J321" s="9" t="n">
        <f aca="false">C321*(D321+0.5*(G321-H321+I321-F321))</f>
        <v>55836.4464362397</v>
      </c>
      <c r="K321" s="9" t="n">
        <f aca="false">C321*(E321-D321+H321-G321-I321)</f>
        <v>17633.4022250315</v>
      </c>
      <c r="L321" s="13" t="n">
        <f aca="false">IF(J321=0,"",C321*F321/J321)</f>
        <v>0.0171676829271852</v>
      </c>
      <c r="M321" s="13" t="n">
        <f aca="false">IF(J321=0,"",K321/J321)</f>
        <v>0.315804521069715</v>
      </c>
      <c r="N321" s="13" t="n">
        <f aca="false">IF(J321=0,"",L321+M321)</f>
        <v>0.3329722039969</v>
      </c>
    </row>
    <row r="322" customFormat="false" ht="15" hidden="false" customHeight="false" outlineLevel="0" collapsed="false">
      <c r="A322" s="8" t="s">
        <v>28</v>
      </c>
      <c r="B322" s="48" t="n">
        <v>2014</v>
      </c>
      <c r="C322" s="10" t="n">
        <f aca="false">IF(D322&gt;0,1,0)</f>
        <v>1</v>
      </c>
      <c r="D322" s="9" t="n">
        <f aca="false">IF(SUMIFS(Sales!$F$3:$F$500,Sales!$C$3:$C$500,$A322,Sales!$B$3:$B$500,"&lt;="&amp;DATE($B322-1,12,31))&gt;0,0,SUMIFS('Asset Value'!$I$4:$I$500,'Asset Value'!$C$4:$C$500,$A322,'Asset Value'!$B$4:$B$500,$B322-1)/1000)</f>
        <v>73949.1398653702</v>
      </c>
      <c r="E322" s="9" t="n">
        <f aca="false">IF(SUMIFS(Sales!$F$3:$F$500,Sales!$C$3:$C$500,$A322,Sales!$B$3:$B$500,"&gt;="&amp;DATE($B322,1,1),Sales!$B$3:$B$500,"&lt;="&amp;DATE($B322,12,31))&gt;0,SUMIFS(Sales!$F$3:$F$500,Sales!$C$3:$C$500,$A322,Sales!$B$3:$B$500,"&gt;="&amp;DATE($B322,1,1),Sales!$B$3:$B$500,"&lt;="&amp;DATE($B322,12,31))/1000,SUMIFS('Asset Value'!$I$4:$I$500,'Asset Value'!$C$4:$C$500,$A322,'Asset Value'!$B$4:$B$500,$B322)/1000)</f>
        <v>99993.3827421916</v>
      </c>
      <c r="F322" s="9" t="n">
        <f aca="false">SUMIFS(Rent!$G$3:$G$500,Rent!$D$3:$D$500,$A322,Rent!$C$3:$C$500,$B322)/1000</f>
        <v>247.401717126073</v>
      </c>
      <c r="G322" s="9" t="n">
        <f aca="false">SUMIFS(Costs!$F$3:$F$500,Costs!$C$3:$C$500,$A322,Costs!$B$3:$B$500,"&gt;="&amp;DATE($B322,1,1),Costs!$B$3:$B$500,"&lt;="&amp;DATE($B322,12,31))/1000</f>
        <v>0</v>
      </c>
      <c r="H322" s="9" t="n">
        <f aca="false">SUMIFS('Partial Sales'!$F$3:$F$500,'Partial Sales'!$C$3:$C$500,$A322,'Partial Sales'!$B$3:$B$500,"&gt;="&amp;DATE($B322,1,1),'Partial Sales'!$B$3:$B$500,"&lt;="&amp;DATE($B322,12,31))/1000</f>
        <v>0</v>
      </c>
      <c r="I322" s="9" t="n">
        <f aca="false">SUMIFS('Partial Purchases'!$F$3:$F$500,'Partial Purchases'!$C$3:$C$500,$A322,'Partial Purchases'!$B$3:$B$500,"&gt;="&amp;DATE($B322,1,1),'Partial Purchases'!$B$3:$B$500,"&lt;="&amp;DATE($B322,12,31))/1000</f>
        <v>0</v>
      </c>
      <c r="J322" s="9" t="n">
        <f aca="false">C322*(D322+0.5*(G322-H322+I322-F322))</f>
        <v>73825.4390068072</v>
      </c>
      <c r="K322" s="9" t="n">
        <f aca="false">C322*(E322-D322+H322-G322-I322)</f>
        <v>26044.2428768214</v>
      </c>
      <c r="L322" s="13" t="n">
        <f aca="false">IF(J322=0,"",C322*F322/J322)</f>
        <v>0.00335117163479734</v>
      </c>
      <c r="M322" s="13" t="n">
        <f aca="false">IF(J322=0,"",K322/J322)</f>
        <v>0.352781415555415</v>
      </c>
      <c r="N322" s="13" t="n">
        <f aca="false">IF(J322=0,"",L322+M322)</f>
        <v>0.356132587190212</v>
      </c>
    </row>
    <row r="323" customFormat="false" ht="15" hidden="false" customHeight="false" outlineLevel="0" collapsed="false">
      <c r="A323" s="49" t="s">
        <v>28</v>
      </c>
      <c r="B323" s="50" t="n">
        <v>2015</v>
      </c>
      <c r="C323" s="51" t="n">
        <f aca="false">IF(D323&gt;0,1,0)</f>
        <v>1</v>
      </c>
      <c r="D323" s="52" t="n">
        <f aca="false">IF(SUMIFS(Sales!$F$3:$F$500,Sales!$C$3:$C$500,$A323,Sales!$B$3:$B$500,"&lt;="&amp;DATE($B323-1,12,31))&gt;0,0,SUMIFS('Asset Value'!$I$4:$I$500,'Asset Value'!$C$4:$C$500,$A323,'Asset Value'!$B$4:$B$500,$B323-1)/1000)</f>
        <v>99993.3827421916</v>
      </c>
      <c r="E323" s="52" t="n">
        <f aca="false">IF(SUMIFS(Sales!$F$3:$F$500,Sales!$C$3:$C$500,$A323,Sales!$B$3:$B$500,"&gt;="&amp;DATE($B323,1,1),Sales!$B$3:$B$500,"&lt;="&amp;DATE($B323,12,31))&gt;0,SUMIFS(Sales!$F$3:$F$500,Sales!$C$3:$C$500,$A323,Sales!$B$3:$B$500,"&gt;="&amp;DATE($B323,1,1),Sales!$B$3:$B$500,"&lt;="&amp;DATE($B323,12,31))/1000,SUMIFS('Asset Value'!$I$4:$I$500,'Asset Value'!$C$4:$C$500,$A323,'Asset Value'!$B$4:$B$500,$B323)/1000)</f>
        <v>69249.1306654093</v>
      </c>
      <c r="F323" s="52" t="n">
        <f aca="false">SUMIFS(Rent!$G$3:$G$500,Rent!$D$3:$D$500,$A323,Rent!$C$3:$C$500,$B323)/1000</f>
        <v>311.715588340761</v>
      </c>
      <c r="G323" s="52" t="n">
        <f aca="false">SUMIFS(Costs!$F$3:$F$500,Costs!$C$3:$C$500,$A323,Costs!$B$3:$B$500,"&gt;="&amp;DATE($B323,1,1),Costs!$B$3:$B$500,"&lt;="&amp;DATE($B323,12,31))/1000</f>
        <v>0</v>
      </c>
      <c r="H323" s="52" t="n">
        <f aca="false">SUMIFS('Partial Sales'!$F$3:$F$500,'Partial Sales'!$C$3:$C$500,$A323,'Partial Sales'!$B$3:$B$500,"&gt;="&amp;DATE($B323,1,1),'Partial Sales'!$B$3:$B$500,"&lt;="&amp;DATE($B323,12,31))/1000</f>
        <v>0</v>
      </c>
      <c r="I323" s="52" t="n">
        <f aca="false">SUMIFS('Partial Purchases'!$F$3:$F$500,'Partial Purchases'!$C$3:$C$500,$A323,'Partial Purchases'!$B$3:$B$500,"&gt;="&amp;DATE($B323,1,1),'Partial Purchases'!$B$3:$B$500,"&lt;="&amp;DATE($B323,12,31))/1000</f>
        <v>0</v>
      </c>
      <c r="J323" s="52" t="n">
        <f aca="false">C323*(D323+0.5*(G323-H323+I323-F323))</f>
        <v>99837.5249480212</v>
      </c>
      <c r="K323" s="52" t="n">
        <f aca="false">C323*(E323-D323+H323-G323-I323)</f>
        <v>-30744.2520767823</v>
      </c>
      <c r="L323" s="46" t="n">
        <f aca="false">IF(J323=0,"",C323*F323/J323)</f>
        <v>0.00312222872615333</v>
      </c>
      <c r="M323" s="46" t="n">
        <f aca="false">IF(J323=0,"",K323/J323)</f>
        <v>-0.307942851075172</v>
      </c>
      <c r="N323" s="46" t="n">
        <f aca="false">IF(J323=0,"",L323+M323)</f>
        <v>-0.304820622349019</v>
      </c>
    </row>
    <row r="324" customFormat="false" ht="15" hidden="false" customHeight="false" outlineLevel="0" collapsed="false">
      <c r="A324" s="8" t="s">
        <v>29</v>
      </c>
      <c r="B324" s="48" t="n">
        <v>2008</v>
      </c>
      <c r="C324" s="10" t="n">
        <f aca="false">IF(D324&gt;0,1,0)</f>
        <v>0</v>
      </c>
      <c r="D324" s="9" t="n">
        <f aca="false">IF(SUMIFS(Sales!$F$3:$F$500,Sales!$C$3:$C$500,$A324,Sales!$B$3:$B$500,"&lt;="&amp;DATE($B324-1,12,31))&gt;0,0,SUMIFS('Asset Value'!$I$4:$I$500,'Asset Value'!$C$4:$C$500,$A324,'Asset Value'!$B$4:$B$500,$B324-1)/1000)</f>
        <v>0</v>
      </c>
      <c r="E324" s="9" t="n">
        <f aca="false">IF(SUMIFS(Sales!$F$3:$F$500,Sales!$C$3:$C$500,$A324,Sales!$B$3:$B$500,"&gt;="&amp;DATE($B324,1,1),Sales!$B$3:$B$500,"&lt;="&amp;DATE($B324,12,31))&gt;0,SUMIFS(Sales!$F$3:$F$500,Sales!$C$3:$C$500,$A324,Sales!$B$3:$B$500,"&gt;="&amp;DATE($B324,1,1),Sales!$B$3:$B$500,"&lt;="&amp;DATE($B324,12,31))/1000,SUMIFS('Asset Value'!$I$4:$I$500,'Asset Value'!$C$4:$C$500,$A324,'Asset Value'!$B$4:$B$500,$B324)/1000)</f>
        <v>0</v>
      </c>
      <c r="F324" s="9" t="n">
        <f aca="false">SUMIFS(Rent!$G$3:$G$500,Rent!$D$3:$D$500,$A324,Rent!$C$3:$C$500,$B324)/1000</f>
        <v>0</v>
      </c>
      <c r="G324" s="9" t="n">
        <f aca="false">SUMIFS(Costs!$F$3:$F$500,Costs!$C$3:$C$500,$A324,Costs!$B$3:$B$500,"&gt;="&amp;DATE($B324,1,1),Costs!$B$3:$B$500,"&lt;="&amp;DATE($B324,12,31))/1000</f>
        <v>0</v>
      </c>
      <c r="H324" s="9" t="n">
        <f aca="false">SUMIFS('Partial Sales'!$F$3:$F$500,'Partial Sales'!$C$3:$C$500,$A324,'Partial Sales'!$B$3:$B$500,"&gt;="&amp;DATE($B324,1,1),'Partial Sales'!$B$3:$B$500,"&lt;="&amp;DATE($B324,12,31))/1000</f>
        <v>0</v>
      </c>
      <c r="I324" s="9" t="n">
        <f aca="false">SUMIFS('Partial Purchases'!$F$3:$F$500,'Partial Purchases'!$C$3:$C$500,$A324,'Partial Purchases'!$B$3:$B$500,"&gt;="&amp;DATE($B324,1,1),'Partial Purchases'!$B$3:$B$500,"&lt;="&amp;DATE($B324,12,31))/1000</f>
        <v>0</v>
      </c>
      <c r="J324" s="9" t="n">
        <f aca="false">C324*(D324+0.5*(G324-H324+I324-F324))</f>
        <v>0</v>
      </c>
      <c r="K324" s="9" t="n">
        <f aca="false">C324*(E324-D324+H324-G324-I324)</f>
        <v>0</v>
      </c>
      <c r="L324" s="13" t="str">
        <f aca="false">IF(J324=0,"",C324*F324/J324)</f>
        <v/>
      </c>
      <c r="M324" s="13" t="str">
        <f aca="false">IF(J324=0,"",K324/J324)</f>
        <v/>
      </c>
      <c r="N324" s="13" t="str">
        <f aca="false">IF(J324=0,"",L324+M324)</f>
        <v/>
      </c>
    </row>
    <row r="325" customFormat="false" ht="15" hidden="false" customHeight="false" outlineLevel="0" collapsed="false">
      <c r="A325" s="8" t="s">
        <v>29</v>
      </c>
      <c r="B325" s="48" t="n">
        <v>2009</v>
      </c>
      <c r="C325" s="10" t="n">
        <f aca="false">IF(D325&gt;0,1,0)</f>
        <v>0</v>
      </c>
      <c r="D325" s="9" t="n">
        <f aca="false">IF(SUMIFS(Sales!$F$3:$F$500,Sales!$C$3:$C$500,$A325,Sales!$B$3:$B$500,"&lt;="&amp;DATE($B325-1,12,31))&gt;0,0,SUMIFS('Asset Value'!$I$4:$I$500,'Asset Value'!$C$4:$C$500,$A325,'Asset Value'!$B$4:$B$500,$B325-1)/1000)</f>
        <v>0</v>
      </c>
      <c r="E325" s="9" t="n">
        <f aca="false">IF(SUMIFS(Sales!$F$3:$F$500,Sales!$C$3:$C$500,$A325,Sales!$B$3:$B$500,"&gt;="&amp;DATE($B325,1,1),Sales!$B$3:$B$500,"&lt;="&amp;DATE($B325,12,31))&gt;0,SUMIFS(Sales!$F$3:$F$500,Sales!$C$3:$C$500,$A325,Sales!$B$3:$B$500,"&gt;="&amp;DATE($B325,1,1),Sales!$B$3:$B$500,"&lt;="&amp;DATE($B325,12,31))/1000,SUMIFS('Asset Value'!$I$4:$I$500,'Asset Value'!$C$4:$C$500,$A325,'Asset Value'!$B$4:$B$500,$B325)/1000)</f>
        <v>0</v>
      </c>
      <c r="F325" s="9" t="n">
        <f aca="false">SUMIFS(Rent!$G$3:$G$500,Rent!$D$3:$D$500,$A325,Rent!$C$3:$C$500,$B325)/1000</f>
        <v>0</v>
      </c>
      <c r="G325" s="9" t="n">
        <f aca="false">SUMIFS(Costs!$F$3:$F$500,Costs!$C$3:$C$500,$A325,Costs!$B$3:$B$500,"&gt;="&amp;DATE($B325,1,1),Costs!$B$3:$B$500,"&lt;="&amp;DATE($B325,12,31))/1000</f>
        <v>0</v>
      </c>
      <c r="H325" s="9" t="n">
        <f aca="false">SUMIFS('Partial Sales'!$F$3:$F$500,'Partial Sales'!$C$3:$C$500,$A325,'Partial Sales'!$B$3:$B$500,"&gt;="&amp;DATE($B325,1,1),'Partial Sales'!$B$3:$B$500,"&lt;="&amp;DATE($B325,12,31))/1000</f>
        <v>0</v>
      </c>
      <c r="I325" s="9" t="n">
        <f aca="false">SUMIFS('Partial Purchases'!$F$3:$F$500,'Partial Purchases'!$C$3:$C$500,$A325,'Partial Purchases'!$B$3:$B$500,"&gt;="&amp;DATE($B325,1,1),'Partial Purchases'!$B$3:$B$500,"&lt;="&amp;DATE($B325,12,31))/1000</f>
        <v>0</v>
      </c>
      <c r="J325" s="9" t="n">
        <f aca="false">C325*(D325+0.5*(G325-H325+I325-F325))</f>
        <v>0</v>
      </c>
      <c r="K325" s="9" t="n">
        <f aca="false">C325*(E325-D325+H325-G325-I325)</f>
        <v>0</v>
      </c>
      <c r="L325" s="13" t="str">
        <f aca="false">IF(J325=0,"",C325*F325/J325)</f>
        <v/>
      </c>
      <c r="M325" s="13" t="str">
        <f aca="false">IF(J325=0,"",K325/J325)</f>
        <v/>
      </c>
      <c r="N325" s="13" t="str">
        <f aca="false">IF(J325=0,"",L325+M325)</f>
        <v/>
      </c>
    </row>
    <row r="326" customFormat="false" ht="15" hidden="false" customHeight="false" outlineLevel="0" collapsed="false">
      <c r="A326" s="8" t="s">
        <v>29</v>
      </c>
      <c r="B326" s="48" t="n">
        <v>2010</v>
      </c>
      <c r="C326" s="10" t="n">
        <f aca="false">IF(D326&gt;0,1,0)</f>
        <v>0</v>
      </c>
      <c r="D326" s="9" t="n">
        <f aca="false">IF(SUMIFS(Sales!$F$3:$F$500,Sales!$C$3:$C$500,$A326,Sales!$B$3:$B$500,"&lt;="&amp;DATE($B326-1,12,31))&gt;0,0,SUMIFS('Asset Value'!$I$4:$I$500,'Asset Value'!$C$4:$C$500,$A326,'Asset Value'!$B$4:$B$500,$B326-1)/1000)</f>
        <v>0</v>
      </c>
      <c r="E326" s="9" t="n">
        <f aca="false">IF(SUMIFS(Sales!$F$3:$F$500,Sales!$C$3:$C$500,$A326,Sales!$B$3:$B$500,"&gt;="&amp;DATE($B326,1,1),Sales!$B$3:$B$500,"&lt;="&amp;DATE($B326,12,31))&gt;0,SUMIFS(Sales!$F$3:$F$500,Sales!$C$3:$C$500,$A326,Sales!$B$3:$B$500,"&gt;="&amp;DATE($B326,1,1),Sales!$B$3:$B$500,"&lt;="&amp;DATE($B326,12,31))/1000,SUMIFS('Asset Value'!$I$4:$I$500,'Asset Value'!$C$4:$C$500,$A326,'Asset Value'!$B$4:$B$500,$B326)/1000)</f>
        <v>0</v>
      </c>
      <c r="F326" s="9" t="n">
        <f aca="false">SUMIFS(Rent!$G$3:$G$500,Rent!$D$3:$D$500,$A326,Rent!$C$3:$C$500,$B326)/1000</f>
        <v>0</v>
      </c>
      <c r="G326" s="9" t="n">
        <f aca="false">SUMIFS(Costs!$F$3:$F$500,Costs!$C$3:$C$500,$A326,Costs!$B$3:$B$500,"&gt;="&amp;DATE($B326,1,1),Costs!$B$3:$B$500,"&lt;="&amp;DATE($B326,12,31))/1000</f>
        <v>0</v>
      </c>
      <c r="H326" s="9" t="n">
        <f aca="false">SUMIFS('Partial Sales'!$F$3:$F$500,'Partial Sales'!$C$3:$C$500,$A326,'Partial Sales'!$B$3:$B$500,"&gt;="&amp;DATE($B326,1,1),'Partial Sales'!$B$3:$B$500,"&lt;="&amp;DATE($B326,12,31))/1000</f>
        <v>0</v>
      </c>
      <c r="I326" s="9" t="n">
        <f aca="false">SUMIFS('Partial Purchases'!$F$3:$F$500,'Partial Purchases'!$C$3:$C$500,$A326,'Partial Purchases'!$B$3:$B$500,"&gt;="&amp;DATE($B326,1,1),'Partial Purchases'!$B$3:$B$500,"&lt;="&amp;DATE($B326,12,31))/1000</f>
        <v>0</v>
      </c>
      <c r="J326" s="9" t="n">
        <f aca="false">C326*(D326+0.5*(G326-H326+I326-F326))</f>
        <v>0</v>
      </c>
      <c r="K326" s="9" t="n">
        <f aca="false">C326*(E326-D326+H326-G326-I326)</f>
        <v>0</v>
      </c>
      <c r="L326" s="13" t="str">
        <f aca="false">IF(J326=0,"",C326*F326/J326)</f>
        <v/>
      </c>
      <c r="M326" s="13" t="str">
        <f aca="false">IF(J326=0,"",K326/J326)</f>
        <v/>
      </c>
      <c r="N326" s="13" t="str">
        <f aca="false">IF(J326=0,"",L326+M326)</f>
        <v/>
      </c>
    </row>
    <row r="327" customFormat="false" ht="15" hidden="false" customHeight="false" outlineLevel="0" collapsed="false">
      <c r="A327" s="8" t="s">
        <v>29</v>
      </c>
      <c r="B327" s="48" t="n">
        <v>2011</v>
      </c>
      <c r="C327" s="10" t="n">
        <f aca="false">IF(D327&gt;0,1,0)</f>
        <v>0</v>
      </c>
      <c r="D327" s="9" t="n">
        <f aca="false">IF(SUMIFS(Sales!$F$3:$F$500,Sales!$C$3:$C$500,$A327,Sales!$B$3:$B$500,"&lt;="&amp;DATE($B327-1,12,31))&gt;0,0,SUMIFS('Asset Value'!$I$4:$I$500,'Asset Value'!$C$4:$C$500,$A327,'Asset Value'!$B$4:$B$500,$B327-1)/1000)</f>
        <v>0</v>
      </c>
      <c r="E327" s="9" t="n">
        <f aca="false">IF(SUMIFS(Sales!$F$3:$F$500,Sales!$C$3:$C$500,$A327,Sales!$B$3:$B$500,"&gt;="&amp;DATE($B327,1,1),Sales!$B$3:$B$500,"&lt;="&amp;DATE($B327,12,31))&gt;0,SUMIFS(Sales!$F$3:$F$500,Sales!$C$3:$C$500,$A327,Sales!$B$3:$B$500,"&gt;="&amp;DATE($B327,1,1),Sales!$B$3:$B$500,"&lt;="&amp;DATE($B327,12,31))/1000,SUMIFS('Asset Value'!$I$4:$I$500,'Asset Value'!$C$4:$C$500,$A327,'Asset Value'!$B$4:$B$500,$B327)/1000)</f>
        <v>0</v>
      </c>
      <c r="F327" s="9" t="n">
        <f aca="false">SUMIFS(Rent!$G$3:$G$500,Rent!$D$3:$D$500,$A327,Rent!$C$3:$C$500,$B327)/1000</f>
        <v>0</v>
      </c>
      <c r="G327" s="9" t="n">
        <f aca="false">SUMIFS(Costs!$F$3:$F$500,Costs!$C$3:$C$500,$A327,Costs!$B$3:$B$500,"&gt;="&amp;DATE($B327,1,1),Costs!$B$3:$B$500,"&lt;="&amp;DATE($B327,12,31))/1000</f>
        <v>0</v>
      </c>
      <c r="H327" s="9" t="n">
        <f aca="false">SUMIFS('Partial Sales'!$F$3:$F$500,'Partial Sales'!$C$3:$C$500,$A327,'Partial Sales'!$B$3:$B$500,"&gt;="&amp;DATE($B327,1,1),'Partial Sales'!$B$3:$B$500,"&lt;="&amp;DATE($B327,12,31))/1000</f>
        <v>0</v>
      </c>
      <c r="I327" s="9" t="n">
        <f aca="false">SUMIFS('Partial Purchases'!$F$3:$F$500,'Partial Purchases'!$C$3:$C$500,$A327,'Partial Purchases'!$B$3:$B$500,"&gt;="&amp;DATE($B327,1,1),'Partial Purchases'!$B$3:$B$500,"&lt;="&amp;DATE($B327,12,31))/1000</f>
        <v>0</v>
      </c>
      <c r="J327" s="9" t="n">
        <f aca="false">C327*(D327+0.5*(G327-H327+I327-F327))</f>
        <v>0</v>
      </c>
      <c r="K327" s="9" t="n">
        <f aca="false">C327*(E327-D327+H327-G327-I327)</f>
        <v>0</v>
      </c>
      <c r="L327" s="13" t="str">
        <f aca="false">IF(J327=0,"",C327*F327/J327)</f>
        <v/>
      </c>
      <c r="M327" s="13" t="str">
        <f aca="false">IF(J327=0,"",K327/J327)</f>
        <v/>
      </c>
      <c r="N327" s="13" t="str">
        <f aca="false">IF(J327=0,"",L327+M327)</f>
        <v/>
      </c>
    </row>
    <row r="328" customFormat="false" ht="15" hidden="false" customHeight="false" outlineLevel="0" collapsed="false">
      <c r="A328" s="8" t="s">
        <v>29</v>
      </c>
      <c r="B328" s="48" t="n">
        <v>2012</v>
      </c>
      <c r="C328" s="10" t="n">
        <f aca="false">IF(D328&gt;0,1,0)</f>
        <v>0</v>
      </c>
      <c r="D328" s="9" t="n">
        <f aca="false">IF(SUMIFS(Sales!$F$3:$F$500,Sales!$C$3:$C$500,$A328,Sales!$B$3:$B$500,"&lt;="&amp;DATE($B328-1,12,31))&gt;0,0,SUMIFS('Asset Value'!$I$4:$I$500,'Asset Value'!$C$4:$C$500,$A328,'Asset Value'!$B$4:$B$500,$B328-1)/1000)</f>
        <v>0</v>
      </c>
      <c r="E328" s="9" t="n">
        <f aca="false">IF(SUMIFS(Sales!$F$3:$F$500,Sales!$C$3:$C$500,$A328,Sales!$B$3:$B$500,"&gt;="&amp;DATE($B328,1,1),Sales!$B$3:$B$500,"&lt;="&amp;DATE($B328,12,31))&gt;0,SUMIFS(Sales!$F$3:$F$500,Sales!$C$3:$C$500,$A328,Sales!$B$3:$B$500,"&gt;="&amp;DATE($B328,1,1),Sales!$B$3:$B$500,"&lt;="&amp;DATE($B328,12,31))/1000,SUMIFS('Asset Value'!$I$4:$I$500,'Asset Value'!$C$4:$C$500,$A328,'Asset Value'!$B$4:$B$500,$B328)/1000)</f>
        <v>41454.1067559582</v>
      </c>
      <c r="F328" s="9" t="n">
        <f aca="false">SUMIFS(Rent!$G$3:$G$500,Rent!$D$3:$D$500,$A328,Rent!$C$3:$C$500,$B328)/1000</f>
        <v>2582.60316217142</v>
      </c>
      <c r="G328" s="9" t="n">
        <f aca="false">SUMIFS(Costs!$F$3:$F$500,Costs!$C$3:$C$500,$A328,Costs!$B$3:$B$500,"&gt;="&amp;DATE($B328,1,1),Costs!$B$3:$B$500,"&lt;="&amp;DATE($B328,12,31))/1000</f>
        <v>0</v>
      </c>
      <c r="H328" s="9" t="n">
        <f aca="false">SUMIFS('Partial Sales'!$F$3:$F$500,'Partial Sales'!$C$3:$C$500,$A328,'Partial Sales'!$B$3:$B$500,"&gt;="&amp;DATE($B328,1,1),'Partial Sales'!$B$3:$B$500,"&lt;="&amp;DATE($B328,12,31))/1000</f>
        <v>0</v>
      </c>
      <c r="I328" s="9" t="n">
        <f aca="false">SUMIFS('Partial Purchases'!$F$3:$F$500,'Partial Purchases'!$C$3:$C$500,$A328,'Partial Purchases'!$B$3:$B$500,"&gt;="&amp;DATE($B328,1,1),'Partial Purchases'!$B$3:$B$500,"&lt;="&amp;DATE($B328,12,31))/1000</f>
        <v>0</v>
      </c>
      <c r="J328" s="9" t="n">
        <f aca="false">C328*(D328+0.5*(G328-H328+I328-F328))</f>
        <v>-0</v>
      </c>
      <c r="K328" s="9" t="n">
        <f aca="false">C328*(E328-D328+H328-G328-I328)</f>
        <v>0</v>
      </c>
      <c r="L328" s="13" t="str">
        <f aca="false">IF(J328=0,"",C328*F328/J328)</f>
        <v/>
      </c>
      <c r="M328" s="13" t="str">
        <f aca="false">IF(J328=0,"",K328/J328)</f>
        <v/>
      </c>
      <c r="N328" s="13" t="str">
        <f aca="false">IF(J328=0,"",L328+M328)</f>
        <v/>
      </c>
    </row>
    <row r="329" customFormat="false" ht="15" hidden="false" customHeight="false" outlineLevel="0" collapsed="false">
      <c r="A329" s="8" t="s">
        <v>29</v>
      </c>
      <c r="B329" s="48" t="n">
        <v>2013</v>
      </c>
      <c r="C329" s="10" t="n">
        <f aca="false">IF(D329&gt;0,1,0)</f>
        <v>1</v>
      </c>
      <c r="D329" s="9" t="n">
        <f aca="false">IF(SUMIFS(Sales!$F$3:$F$500,Sales!$C$3:$C$500,$A329,Sales!$B$3:$B$500,"&lt;="&amp;DATE($B329-1,12,31))&gt;0,0,SUMIFS('Asset Value'!$I$4:$I$500,'Asset Value'!$C$4:$C$500,$A329,'Asset Value'!$B$4:$B$500,$B329-1)/1000)</f>
        <v>41454.1067559582</v>
      </c>
      <c r="E329" s="9" t="n">
        <f aca="false">IF(SUMIFS(Sales!$F$3:$F$500,Sales!$C$3:$C$500,$A329,Sales!$B$3:$B$500,"&gt;="&amp;DATE($B329,1,1),Sales!$B$3:$B$500,"&lt;="&amp;DATE($B329,12,31))&gt;0,SUMIFS(Sales!$F$3:$F$500,Sales!$C$3:$C$500,$A329,Sales!$B$3:$B$500,"&gt;="&amp;DATE($B329,1,1),Sales!$B$3:$B$500,"&lt;="&amp;DATE($B329,12,31))/1000,SUMIFS('Asset Value'!$I$4:$I$500,'Asset Value'!$C$4:$C$500,$A329,'Asset Value'!$B$4:$B$500,$B329)/1000)</f>
        <v>72916.0983765234</v>
      </c>
      <c r="F329" s="9" t="n">
        <f aca="false">SUMIFS(Rent!$G$3:$G$500,Rent!$D$3:$D$500,$A329,Rent!$C$3:$C$500,$B329)/1000</f>
        <v>2062.33988044407</v>
      </c>
      <c r="G329" s="9" t="n">
        <f aca="false">SUMIFS(Costs!$F$3:$F$500,Costs!$C$3:$C$500,$A329,Costs!$B$3:$B$500,"&gt;="&amp;DATE($B329,1,1),Costs!$B$3:$B$500,"&lt;="&amp;DATE($B329,12,31))/1000</f>
        <v>0</v>
      </c>
      <c r="H329" s="9" t="n">
        <f aca="false">SUMIFS('Partial Sales'!$F$3:$F$500,'Partial Sales'!$C$3:$C$500,$A329,'Partial Sales'!$B$3:$B$500,"&gt;="&amp;DATE($B329,1,1),'Partial Sales'!$B$3:$B$500,"&lt;="&amp;DATE($B329,12,31))/1000</f>
        <v>0</v>
      </c>
      <c r="I329" s="9" t="n">
        <f aca="false">SUMIFS('Partial Purchases'!$F$3:$F$500,'Partial Purchases'!$C$3:$C$500,$A329,'Partial Purchases'!$B$3:$B$500,"&gt;="&amp;DATE($B329,1,1),'Partial Purchases'!$B$3:$B$500,"&lt;="&amp;DATE($B329,12,31))/1000</f>
        <v>0</v>
      </c>
      <c r="J329" s="9" t="n">
        <f aca="false">C329*(D329+0.5*(G329-H329+I329-F329))</f>
        <v>40422.9368157362</v>
      </c>
      <c r="K329" s="9" t="n">
        <f aca="false">C329*(E329-D329+H329-G329-I329)</f>
        <v>31461.9916205651</v>
      </c>
      <c r="L329" s="13" t="n">
        <f aca="false">IF(J329=0,"",C329*F329/J329)</f>
        <v>0.0510190511353747</v>
      </c>
      <c r="M329" s="13" t="n">
        <f aca="false">IF(J329=0,"",K329/J329)</f>
        <v>0.778320282961661</v>
      </c>
      <c r="N329" s="13" t="n">
        <f aca="false">IF(J329=0,"",L329+M329)</f>
        <v>0.829339334097036</v>
      </c>
    </row>
    <row r="330" customFormat="false" ht="15" hidden="false" customHeight="false" outlineLevel="0" collapsed="false">
      <c r="A330" s="8" t="s">
        <v>29</v>
      </c>
      <c r="B330" s="48" t="n">
        <v>2014</v>
      </c>
      <c r="C330" s="10" t="n">
        <f aca="false">IF(D330&gt;0,1,0)</f>
        <v>1</v>
      </c>
      <c r="D330" s="9" t="n">
        <f aca="false">IF(SUMIFS(Sales!$F$3:$F$500,Sales!$C$3:$C$500,$A330,Sales!$B$3:$B$500,"&lt;="&amp;DATE($B330-1,12,31))&gt;0,0,SUMIFS('Asset Value'!$I$4:$I$500,'Asset Value'!$C$4:$C$500,$A330,'Asset Value'!$B$4:$B$500,$B330-1)/1000)</f>
        <v>72916.0983765234</v>
      </c>
      <c r="E330" s="9" t="n">
        <f aca="false">IF(SUMIFS(Sales!$F$3:$F$500,Sales!$C$3:$C$500,$A330,Sales!$B$3:$B$500,"&gt;="&amp;DATE($B330,1,1),Sales!$B$3:$B$500,"&lt;="&amp;DATE($B330,12,31))&gt;0,SUMIFS(Sales!$F$3:$F$500,Sales!$C$3:$C$500,$A330,Sales!$B$3:$B$500,"&gt;="&amp;DATE($B330,1,1),Sales!$B$3:$B$500,"&lt;="&amp;DATE($B330,12,31))/1000,SUMIFS('Asset Value'!$I$4:$I$500,'Asset Value'!$C$4:$C$500,$A330,'Asset Value'!$B$4:$B$500,$B330)/1000)</f>
        <v>75406.2996294336</v>
      </c>
      <c r="F330" s="9" t="n">
        <f aca="false">SUMIFS(Rent!$G$3:$G$500,Rent!$D$3:$D$500,$A330,Rent!$C$3:$C$500,$B330)/1000</f>
        <v>1947.58246723904</v>
      </c>
      <c r="G330" s="9" t="n">
        <f aca="false">SUMIFS(Costs!$F$3:$F$500,Costs!$C$3:$C$500,$A330,Costs!$B$3:$B$500,"&gt;="&amp;DATE($B330,1,1),Costs!$B$3:$B$500,"&lt;="&amp;DATE($B330,12,31))/1000</f>
        <v>0</v>
      </c>
      <c r="H330" s="9" t="n">
        <f aca="false">SUMIFS('Partial Sales'!$F$3:$F$500,'Partial Sales'!$C$3:$C$500,$A330,'Partial Sales'!$B$3:$B$500,"&gt;="&amp;DATE($B330,1,1),'Partial Sales'!$B$3:$B$500,"&lt;="&amp;DATE($B330,12,31))/1000</f>
        <v>0</v>
      </c>
      <c r="I330" s="9" t="n">
        <f aca="false">SUMIFS('Partial Purchases'!$F$3:$F$500,'Partial Purchases'!$C$3:$C$500,$A330,'Partial Purchases'!$B$3:$B$500,"&gt;="&amp;DATE($B330,1,1),'Partial Purchases'!$B$3:$B$500,"&lt;="&amp;DATE($B330,12,31))/1000</f>
        <v>0</v>
      </c>
      <c r="J330" s="9" t="n">
        <f aca="false">C330*(D330+0.5*(G330-H330+I330-F330))</f>
        <v>71942.3071429039</v>
      </c>
      <c r="K330" s="9" t="n">
        <f aca="false">C330*(E330-D330+H330-G330-I330)</f>
        <v>2490.20125291019</v>
      </c>
      <c r="L330" s="13" t="n">
        <f aca="false">IF(J330=0,"",C330*F330/J330)</f>
        <v>0.0270714485618376</v>
      </c>
      <c r="M330" s="13" t="n">
        <f aca="false">IF(J330=0,"",K330/J330)</f>
        <v>0.0346138642449114</v>
      </c>
      <c r="N330" s="13" t="n">
        <f aca="false">IF(J330=0,"",L330+M330)</f>
        <v>0.0616853128067489</v>
      </c>
    </row>
    <row r="331" customFormat="false" ht="15" hidden="false" customHeight="false" outlineLevel="0" collapsed="false">
      <c r="A331" s="49" t="s">
        <v>29</v>
      </c>
      <c r="B331" s="50" t="n">
        <v>2015</v>
      </c>
      <c r="C331" s="51" t="n">
        <f aca="false">IF(D331&gt;0,1,0)</f>
        <v>1</v>
      </c>
      <c r="D331" s="52" t="n">
        <f aca="false">IF(SUMIFS(Sales!$F$3:$F$500,Sales!$C$3:$C$500,$A331,Sales!$B$3:$B$500,"&lt;="&amp;DATE($B331-1,12,31))&gt;0,0,SUMIFS('Asset Value'!$I$4:$I$500,'Asset Value'!$C$4:$C$500,$A331,'Asset Value'!$B$4:$B$500,$B331-1)/1000)</f>
        <v>75406.2996294336</v>
      </c>
      <c r="E331" s="52" t="n">
        <f aca="false">IF(SUMIFS(Sales!$F$3:$F$500,Sales!$C$3:$C$500,$A331,Sales!$B$3:$B$500,"&gt;="&amp;DATE($B331,1,1),Sales!$B$3:$B$500,"&lt;="&amp;DATE($B331,12,31))&gt;0,SUMIFS(Sales!$F$3:$F$500,Sales!$C$3:$C$500,$A331,Sales!$B$3:$B$500,"&gt;="&amp;DATE($B331,1,1),Sales!$B$3:$B$500,"&lt;="&amp;DATE($B331,12,31))/1000,SUMIFS('Asset Value'!$I$4:$I$500,'Asset Value'!$C$4:$C$500,$A331,'Asset Value'!$B$4:$B$500,$B331)/1000)</f>
        <v>51579.5367478046</v>
      </c>
      <c r="F331" s="52" t="n">
        <f aca="false">SUMIFS(Rent!$G$3:$G$500,Rent!$D$3:$D$500,$A331,Rent!$C$3:$C$500,$B331)/1000</f>
        <v>1534.2451718662</v>
      </c>
      <c r="G331" s="52" t="n">
        <f aca="false">SUMIFS(Costs!$F$3:$F$500,Costs!$C$3:$C$500,$A331,Costs!$B$3:$B$500,"&gt;="&amp;DATE($B331,1,1),Costs!$B$3:$B$500,"&lt;="&amp;DATE($B331,12,31))/1000</f>
        <v>0</v>
      </c>
      <c r="H331" s="52" t="n">
        <f aca="false">SUMIFS('Partial Sales'!$F$3:$F$500,'Partial Sales'!$C$3:$C$500,$A331,'Partial Sales'!$B$3:$B$500,"&gt;="&amp;DATE($B331,1,1),'Partial Sales'!$B$3:$B$500,"&lt;="&amp;DATE($B331,12,31))/1000</f>
        <v>0</v>
      </c>
      <c r="I331" s="52" t="n">
        <f aca="false">SUMIFS('Partial Purchases'!$F$3:$F$500,'Partial Purchases'!$C$3:$C$500,$A331,'Partial Purchases'!$B$3:$B$500,"&gt;="&amp;DATE($B331,1,1),'Partial Purchases'!$B$3:$B$500,"&lt;="&amp;DATE($B331,12,31))/1000</f>
        <v>0</v>
      </c>
      <c r="J331" s="52" t="n">
        <f aca="false">C331*(D331+0.5*(G331-H331+I331-F331))</f>
        <v>74639.1770435005</v>
      </c>
      <c r="K331" s="52" t="n">
        <f aca="false">C331*(E331-D331+H331-G331-I331)</f>
        <v>-23826.762881629</v>
      </c>
      <c r="L331" s="46" t="n">
        <f aca="false">IF(J331=0,"",C331*F331/J331)</f>
        <v>0.0205554942141447</v>
      </c>
      <c r="M331" s="46" t="n">
        <f aca="false">IF(J331=0,"",K331/J331)</f>
        <v>-0.319225959146663</v>
      </c>
      <c r="N331" s="46" t="n">
        <f aca="false">IF(J331=0,"",L331+M331)</f>
        <v>-0.298670464932518</v>
      </c>
    </row>
    <row r="332" customFormat="false" ht="15" hidden="false" customHeight="false" outlineLevel="0" collapsed="false">
      <c r="A332" s="8" t="s">
        <v>30</v>
      </c>
      <c r="B332" s="48" t="n">
        <v>2008</v>
      </c>
      <c r="C332" s="10" t="n">
        <f aca="false">IF(D332&gt;0,1,0)</f>
        <v>0</v>
      </c>
      <c r="D332" s="9" t="n">
        <f aca="false">IF(SUMIFS(Sales!$F$3:$F$500,Sales!$C$3:$C$500,$A332,Sales!$B$3:$B$500,"&lt;="&amp;DATE($B332-1,12,31))&gt;0,0,SUMIFS('Asset Value'!$I$4:$I$500,'Asset Value'!$C$4:$C$500,$A332,'Asset Value'!$B$4:$B$500,$B332-1)/1000)</f>
        <v>0</v>
      </c>
      <c r="E332" s="9" t="n">
        <f aca="false">IF(SUMIFS(Sales!$F$3:$F$500,Sales!$C$3:$C$500,$A332,Sales!$B$3:$B$500,"&gt;="&amp;DATE($B332,1,1),Sales!$B$3:$B$500,"&lt;="&amp;DATE($B332,12,31))&gt;0,SUMIFS(Sales!$F$3:$F$500,Sales!$C$3:$C$500,$A332,Sales!$B$3:$B$500,"&gt;="&amp;DATE($B332,1,1),Sales!$B$3:$B$500,"&lt;="&amp;DATE($B332,12,31))/1000,SUMIFS('Asset Value'!$I$4:$I$500,'Asset Value'!$C$4:$C$500,$A332,'Asset Value'!$B$4:$B$500,$B332)/1000)</f>
        <v>64326.375711575</v>
      </c>
      <c r="F332" s="9" t="n">
        <f aca="false">SUMIFS(Rent!$G$3:$G$500,Rent!$D$3:$D$500,$A332,Rent!$C$3:$C$500,$B332)/1000</f>
        <v>0</v>
      </c>
      <c r="G332" s="9" t="n">
        <f aca="false">SUMIFS(Costs!$F$3:$F$500,Costs!$C$3:$C$500,$A332,Costs!$B$3:$B$500,"&gt;="&amp;DATE($B332,1,1),Costs!$B$3:$B$500,"&lt;="&amp;DATE($B332,12,31))/1000</f>
        <v>0</v>
      </c>
      <c r="H332" s="9" t="n">
        <f aca="false">SUMIFS('Partial Sales'!$F$3:$F$500,'Partial Sales'!$C$3:$C$500,$A332,'Partial Sales'!$B$3:$B$500,"&gt;="&amp;DATE($B332,1,1),'Partial Sales'!$B$3:$B$500,"&lt;="&amp;DATE($B332,12,31))/1000</f>
        <v>0</v>
      </c>
      <c r="I332" s="9" t="n">
        <f aca="false">SUMIFS('Partial Purchases'!$F$3:$F$500,'Partial Purchases'!$C$3:$C$500,$A332,'Partial Purchases'!$B$3:$B$500,"&gt;="&amp;DATE($B332,1,1),'Partial Purchases'!$B$3:$B$500,"&lt;="&amp;DATE($B332,12,31))/1000</f>
        <v>0</v>
      </c>
      <c r="J332" s="9" t="n">
        <f aca="false">C332*(D332+0.5*(G332-H332+I332-F332))</f>
        <v>0</v>
      </c>
      <c r="K332" s="9" t="n">
        <f aca="false">C332*(E332-D332+H332-G332-I332)</f>
        <v>0</v>
      </c>
      <c r="L332" s="13" t="str">
        <f aca="false">IF(J332=0,"",C332*F332/J332)</f>
        <v/>
      </c>
      <c r="M332" s="13" t="str">
        <f aca="false">IF(J332=0,"",K332/J332)</f>
        <v/>
      </c>
      <c r="N332" s="13" t="str">
        <f aca="false">IF(J332=0,"",L332+M332)</f>
        <v/>
      </c>
    </row>
    <row r="333" customFormat="false" ht="15" hidden="false" customHeight="false" outlineLevel="0" collapsed="false">
      <c r="A333" s="8" t="s">
        <v>30</v>
      </c>
      <c r="B333" s="48" t="n">
        <v>2009</v>
      </c>
      <c r="C333" s="10" t="n">
        <f aca="false">IF(D333&gt;0,1,0)</f>
        <v>1</v>
      </c>
      <c r="D333" s="9" t="n">
        <f aca="false">IF(SUMIFS(Sales!$F$3:$F$500,Sales!$C$3:$C$500,$A333,Sales!$B$3:$B$500,"&lt;="&amp;DATE($B333-1,12,31))&gt;0,0,SUMIFS('Asset Value'!$I$4:$I$500,'Asset Value'!$C$4:$C$500,$A333,'Asset Value'!$B$4:$B$500,$B333-1)/1000)</f>
        <v>64326.375711575</v>
      </c>
      <c r="E333" s="9" t="n">
        <f aca="false">IF(SUMIFS(Sales!$F$3:$F$500,Sales!$C$3:$C$500,$A333,Sales!$B$3:$B$500,"&gt;="&amp;DATE($B333,1,1),Sales!$B$3:$B$500,"&lt;="&amp;DATE($B333,12,31))&gt;0,SUMIFS(Sales!$F$3:$F$500,Sales!$C$3:$C$500,$A333,Sales!$B$3:$B$500,"&gt;="&amp;DATE($B333,1,1),Sales!$B$3:$B$500,"&lt;="&amp;DATE($B333,12,31))/1000,SUMIFS('Asset Value'!$I$4:$I$500,'Asset Value'!$C$4:$C$500,$A333,'Asset Value'!$B$4:$B$500,$B333)/1000)</f>
        <v>115708.184346444</v>
      </c>
      <c r="F333" s="9" t="n">
        <f aca="false">SUMIFS(Rent!$G$3:$G$500,Rent!$D$3:$D$500,$A333,Rent!$C$3:$C$500,$B333)/1000</f>
        <v>0</v>
      </c>
      <c r="G333" s="9" t="n">
        <f aca="false">SUMIFS(Costs!$F$3:$F$500,Costs!$C$3:$C$500,$A333,Costs!$B$3:$B$500,"&gt;="&amp;DATE($B333,1,1),Costs!$B$3:$B$500,"&lt;="&amp;DATE($B333,12,31))/1000</f>
        <v>0</v>
      </c>
      <c r="H333" s="9" t="n">
        <f aca="false">SUMIFS('Partial Sales'!$F$3:$F$500,'Partial Sales'!$C$3:$C$500,$A333,'Partial Sales'!$B$3:$B$500,"&gt;="&amp;DATE($B333,1,1),'Partial Sales'!$B$3:$B$500,"&lt;="&amp;DATE($B333,12,31))/1000</f>
        <v>0</v>
      </c>
      <c r="I333" s="9" t="n">
        <f aca="false">SUMIFS('Partial Purchases'!$F$3:$F$500,'Partial Purchases'!$C$3:$C$500,$A333,'Partial Purchases'!$B$3:$B$500,"&gt;="&amp;DATE($B333,1,1),'Partial Purchases'!$B$3:$B$500,"&lt;="&amp;DATE($B333,12,31))/1000</f>
        <v>0</v>
      </c>
      <c r="J333" s="9" t="n">
        <f aca="false">C333*(D333+0.5*(G333-H333+I333-F333))</f>
        <v>64326.375711575</v>
      </c>
      <c r="K333" s="9" t="n">
        <f aca="false">C333*(E333-D333+H333-G333-I333)</f>
        <v>51381.8086348692</v>
      </c>
      <c r="L333" s="13" t="n">
        <f aca="false">IF(J333=0,"",C333*F333/J333)</f>
        <v>0</v>
      </c>
      <c r="M333" s="13" t="n">
        <f aca="false">IF(J333=0,"",K333/J333)</f>
        <v>0.798767349574516</v>
      </c>
      <c r="N333" s="13" t="n">
        <f aca="false">IF(J333=0,"",L333+M333)</f>
        <v>0.798767349574516</v>
      </c>
    </row>
    <row r="334" customFormat="false" ht="15" hidden="false" customHeight="false" outlineLevel="0" collapsed="false">
      <c r="A334" s="8" t="s">
        <v>30</v>
      </c>
      <c r="B334" s="48" t="n">
        <v>2010</v>
      </c>
      <c r="C334" s="10" t="n">
        <f aca="false">IF(D334&gt;0,1,0)</f>
        <v>1</v>
      </c>
      <c r="D334" s="9" t="n">
        <f aca="false">IF(SUMIFS(Sales!$F$3:$F$500,Sales!$C$3:$C$500,$A334,Sales!$B$3:$B$500,"&lt;="&amp;DATE($B334-1,12,31))&gt;0,0,SUMIFS('Asset Value'!$I$4:$I$500,'Asset Value'!$C$4:$C$500,$A334,'Asset Value'!$B$4:$B$500,$B334-1)/1000)</f>
        <v>115708.184346444</v>
      </c>
      <c r="E334" s="9" t="n">
        <f aca="false">IF(SUMIFS(Sales!$F$3:$F$500,Sales!$C$3:$C$500,$A334,Sales!$B$3:$B$500,"&gt;="&amp;DATE($B334,1,1),Sales!$B$3:$B$500,"&lt;="&amp;DATE($B334,12,31))&gt;0,SUMIFS(Sales!$F$3:$F$500,Sales!$C$3:$C$500,$A334,Sales!$B$3:$B$500,"&gt;="&amp;DATE($B334,1,1),Sales!$B$3:$B$500,"&lt;="&amp;DATE($B334,12,31))/1000,SUMIFS('Asset Value'!$I$4:$I$500,'Asset Value'!$C$4:$C$500,$A334,'Asset Value'!$B$4:$B$500,$B334)/1000)</f>
        <v>115649.208000925</v>
      </c>
      <c r="F334" s="9" t="n">
        <f aca="false">SUMIFS(Rent!$G$3:$G$500,Rent!$D$3:$D$500,$A334,Rent!$C$3:$C$500,$B334)/1000</f>
        <v>0</v>
      </c>
      <c r="G334" s="9" t="n">
        <f aca="false">SUMIFS(Costs!$F$3:$F$500,Costs!$C$3:$C$500,$A334,Costs!$B$3:$B$500,"&gt;="&amp;DATE($B334,1,1),Costs!$B$3:$B$500,"&lt;="&amp;DATE($B334,12,31))/1000</f>
        <v>0</v>
      </c>
      <c r="H334" s="9" t="n">
        <f aca="false">SUMIFS('Partial Sales'!$F$3:$F$500,'Partial Sales'!$C$3:$C$500,$A334,'Partial Sales'!$B$3:$B$500,"&gt;="&amp;DATE($B334,1,1),'Partial Sales'!$B$3:$B$500,"&lt;="&amp;DATE($B334,12,31))/1000</f>
        <v>0</v>
      </c>
      <c r="I334" s="9" t="n">
        <f aca="false">SUMIFS('Partial Purchases'!$F$3:$F$500,'Partial Purchases'!$C$3:$C$500,$A334,'Partial Purchases'!$B$3:$B$500,"&gt;="&amp;DATE($B334,1,1),'Partial Purchases'!$B$3:$B$500,"&lt;="&amp;DATE($B334,12,31))/1000</f>
        <v>0</v>
      </c>
      <c r="J334" s="9" t="n">
        <f aca="false">C334*(D334+0.5*(G334-H334+I334-F334))</f>
        <v>115708.184346444</v>
      </c>
      <c r="K334" s="9" t="n">
        <f aca="false">C334*(E334-D334+H334-G334-I334)</f>
        <v>-58.9763455192297</v>
      </c>
      <c r="L334" s="13" t="n">
        <f aca="false">IF(J334=0,"",C334*F334/J334)</f>
        <v>0</v>
      </c>
      <c r="M334" s="13" t="n">
        <f aca="false">IF(J334=0,"",K334/J334)</f>
        <v>-0.000509698997113699</v>
      </c>
      <c r="N334" s="13" t="n">
        <f aca="false">IF(J334=0,"",L334+M334)</f>
        <v>-0.000509698997113699</v>
      </c>
    </row>
    <row r="335" customFormat="false" ht="15" hidden="false" customHeight="false" outlineLevel="0" collapsed="false">
      <c r="A335" s="8" t="s">
        <v>30</v>
      </c>
      <c r="B335" s="48" t="n">
        <v>2011</v>
      </c>
      <c r="C335" s="10" t="n">
        <f aca="false">IF(D335&gt;0,1,0)</f>
        <v>1</v>
      </c>
      <c r="D335" s="9" t="n">
        <f aca="false">IF(SUMIFS(Sales!$F$3:$F$500,Sales!$C$3:$C$500,$A335,Sales!$B$3:$B$500,"&lt;="&amp;DATE($B335-1,12,31))&gt;0,0,SUMIFS('Asset Value'!$I$4:$I$500,'Asset Value'!$C$4:$C$500,$A335,'Asset Value'!$B$4:$B$500,$B335-1)/1000)</f>
        <v>115649.208000925</v>
      </c>
      <c r="E335" s="9" t="n">
        <f aca="false">IF(SUMIFS(Sales!$F$3:$F$500,Sales!$C$3:$C$500,$A335,Sales!$B$3:$B$500,"&gt;="&amp;DATE($B335,1,1),Sales!$B$3:$B$500,"&lt;="&amp;DATE($B335,12,31))&gt;0,SUMIFS(Sales!$F$3:$F$500,Sales!$C$3:$C$500,$A335,Sales!$B$3:$B$500,"&gt;="&amp;DATE($B335,1,1),Sales!$B$3:$B$500,"&lt;="&amp;DATE($B335,12,31))/1000,SUMIFS('Asset Value'!$I$4:$I$500,'Asset Value'!$C$4:$C$500,$A335,'Asset Value'!$B$4:$B$500,$B335)/1000)</f>
        <v>136179.593864497</v>
      </c>
      <c r="F335" s="9" t="n">
        <f aca="false">SUMIFS(Rent!$G$3:$G$500,Rent!$D$3:$D$500,$A335,Rent!$C$3:$C$500,$B335)/1000</f>
        <v>0</v>
      </c>
      <c r="G335" s="9" t="n">
        <f aca="false">SUMIFS(Costs!$F$3:$F$500,Costs!$C$3:$C$500,$A335,Costs!$B$3:$B$500,"&gt;="&amp;DATE($B335,1,1),Costs!$B$3:$B$500,"&lt;="&amp;DATE($B335,12,31))/1000</f>
        <v>0</v>
      </c>
      <c r="H335" s="9" t="n">
        <f aca="false">SUMIFS('Partial Sales'!$F$3:$F$500,'Partial Sales'!$C$3:$C$500,$A335,'Partial Sales'!$B$3:$B$500,"&gt;="&amp;DATE($B335,1,1),'Partial Sales'!$B$3:$B$500,"&lt;="&amp;DATE($B335,12,31))/1000</f>
        <v>0</v>
      </c>
      <c r="I335" s="9" t="n">
        <f aca="false">SUMIFS('Partial Purchases'!$F$3:$F$500,'Partial Purchases'!$C$3:$C$500,$A335,'Partial Purchases'!$B$3:$B$500,"&gt;="&amp;DATE($B335,1,1),'Partial Purchases'!$B$3:$B$500,"&lt;="&amp;DATE($B335,12,31))/1000</f>
        <v>0</v>
      </c>
      <c r="J335" s="9" t="n">
        <f aca="false">C335*(D335+0.5*(G335-H335+I335-F335))</f>
        <v>115649.208000925</v>
      </c>
      <c r="K335" s="9" t="n">
        <f aca="false">C335*(E335-D335+H335-G335-I335)</f>
        <v>20530.3858635723</v>
      </c>
      <c r="L335" s="13" t="n">
        <f aca="false">IF(J335=0,"",C335*F335/J335)</f>
        <v>0</v>
      </c>
      <c r="M335" s="13" t="n">
        <f aca="false">IF(J335=0,"",K335/J335)</f>
        <v>0.177522926602387</v>
      </c>
      <c r="N335" s="13" t="n">
        <f aca="false">IF(J335=0,"",L335+M335)</f>
        <v>0.177522926602387</v>
      </c>
    </row>
    <row r="336" customFormat="false" ht="15" hidden="false" customHeight="false" outlineLevel="0" collapsed="false">
      <c r="A336" s="8" t="s">
        <v>30</v>
      </c>
      <c r="B336" s="48" t="n">
        <v>2012</v>
      </c>
      <c r="C336" s="10" t="n">
        <f aca="false">IF(D336&gt;0,1,0)</f>
        <v>1</v>
      </c>
      <c r="D336" s="9" t="n">
        <f aca="false">IF(SUMIFS(Sales!$F$3:$F$500,Sales!$C$3:$C$500,$A336,Sales!$B$3:$B$500,"&lt;="&amp;DATE($B336-1,12,31))&gt;0,0,SUMIFS('Asset Value'!$I$4:$I$500,'Asset Value'!$C$4:$C$500,$A336,'Asset Value'!$B$4:$B$500,$B336-1)/1000)</f>
        <v>136179.593864497</v>
      </c>
      <c r="E336" s="9" t="n">
        <f aca="false">IF(SUMIFS(Sales!$F$3:$F$500,Sales!$C$3:$C$500,$A336,Sales!$B$3:$B$500,"&gt;="&amp;DATE($B336,1,1),Sales!$B$3:$B$500,"&lt;="&amp;DATE($B336,12,31))&gt;0,SUMIFS(Sales!$F$3:$F$500,Sales!$C$3:$C$500,$A336,Sales!$B$3:$B$500,"&gt;="&amp;DATE($B336,1,1),Sales!$B$3:$B$500,"&lt;="&amp;DATE($B336,12,31))/1000,SUMIFS('Asset Value'!$I$4:$I$500,'Asset Value'!$C$4:$C$500,$A336,'Asset Value'!$B$4:$B$500,$B336)/1000)</f>
        <v>125576.12763443</v>
      </c>
      <c r="F336" s="9" t="n">
        <f aca="false">SUMIFS(Rent!$G$3:$G$500,Rent!$D$3:$D$500,$A336,Rent!$C$3:$C$500,$B336)/1000</f>
        <v>0</v>
      </c>
      <c r="G336" s="9" t="n">
        <f aca="false">SUMIFS(Costs!$F$3:$F$500,Costs!$C$3:$C$500,$A336,Costs!$B$3:$B$500,"&gt;="&amp;DATE($B336,1,1),Costs!$B$3:$B$500,"&lt;="&amp;DATE($B336,12,31))/1000</f>
        <v>0</v>
      </c>
      <c r="H336" s="9" t="n">
        <f aca="false">SUMIFS('Partial Sales'!$F$3:$F$500,'Partial Sales'!$C$3:$C$500,$A336,'Partial Sales'!$B$3:$B$500,"&gt;="&amp;DATE($B336,1,1),'Partial Sales'!$B$3:$B$500,"&lt;="&amp;DATE($B336,12,31))/1000</f>
        <v>0</v>
      </c>
      <c r="I336" s="9" t="n">
        <f aca="false">SUMIFS('Partial Purchases'!$F$3:$F$500,'Partial Purchases'!$C$3:$C$500,$A336,'Partial Purchases'!$B$3:$B$500,"&gt;="&amp;DATE($B336,1,1),'Partial Purchases'!$B$3:$B$500,"&lt;="&amp;DATE($B336,12,31))/1000</f>
        <v>0</v>
      </c>
      <c r="J336" s="9" t="n">
        <f aca="false">C336*(D336+0.5*(G336-H336+I336-F336))</f>
        <v>136179.593864497</v>
      </c>
      <c r="K336" s="9" t="n">
        <f aca="false">C336*(E336-D336+H336-G336-I336)</f>
        <v>-10603.4662300675</v>
      </c>
      <c r="L336" s="13" t="n">
        <f aca="false">IF(J336=0,"",C336*F336/J336)</f>
        <v>0</v>
      </c>
      <c r="M336" s="13" t="n">
        <f aca="false">IF(J336=0,"",K336/J336)</f>
        <v>-0.0778638408968842</v>
      </c>
      <c r="N336" s="13" t="n">
        <f aca="false">IF(J336=0,"",L336+M336)</f>
        <v>-0.0778638408968842</v>
      </c>
    </row>
    <row r="337" customFormat="false" ht="15" hidden="false" customHeight="false" outlineLevel="0" collapsed="false">
      <c r="A337" s="8" t="s">
        <v>30</v>
      </c>
      <c r="B337" s="48" t="n">
        <v>2013</v>
      </c>
      <c r="C337" s="10" t="n">
        <f aca="false">IF(D337&gt;0,1,0)</f>
        <v>1</v>
      </c>
      <c r="D337" s="9" t="n">
        <f aca="false">IF(SUMIFS(Sales!$F$3:$F$500,Sales!$C$3:$C$500,$A337,Sales!$B$3:$B$500,"&lt;="&amp;DATE($B337-1,12,31))&gt;0,0,SUMIFS('Asset Value'!$I$4:$I$500,'Asset Value'!$C$4:$C$500,$A337,'Asset Value'!$B$4:$B$500,$B337-1)/1000)</f>
        <v>125576.12763443</v>
      </c>
      <c r="E337" s="9" t="n">
        <f aca="false">IF(SUMIFS(Sales!$F$3:$F$500,Sales!$C$3:$C$500,$A337,Sales!$B$3:$B$500,"&gt;="&amp;DATE($B337,1,1),Sales!$B$3:$B$500,"&lt;="&amp;DATE($B337,12,31))&gt;0,SUMIFS(Sales!$F$3:$F$500,Sales!$C$3:$C$500,$A337,Sales!$B$3:$B$500,"&gt;="&amp;DATE($B337,1,1),Sales!$B$3:$B$500,"&lt;="&amp;DATE($B337,12,31))/1000,SUMIFS('Asset Value'!$I$4:$I$500,'Asset Value'!$C$4:$C$500,$A337,'Asset Value'!$B$4:$B$500,$B337)/1000)</f>
        <v>112951.735668089</v>
      </c>
      <c r="F337" s="9" t="n">
        <f aca="false">SUMIFS(Rent!$G$3:$G$500,Rent!$D$3:$D$500,$A337,Rent!$C$3:$C$500,$B337)/1000</f>
        <v>0</v>
      </c>
      <c r="G337" s="9" t="n">
        <f aca="false">SUMIFS(Costs!$F$3:$F$500,Costs!$C$3:$C$500,$A337,Costs!$B$3:$B$500,"&gt;="&amp;DATE($B337,1,1),Costs!$B$3:$B$500,"&lt;="&amp;DATE($B337,12,31))/1000</f>
        <v>0</v>
      </c>
      <c r="H337" s="9" t="n">
        <f aca="false">SUMIFS('Partial Sales'!$F$3:$F$500,'Partial Sales'!$C$3:$C$500,$A337,'Partial Sales'!$B$3:$B$500,"&gt;="&amp;DATE($B337,1,1),'Partial Sales'!$B$3:$B$500,"&lt;="&amp;DATE($B337,12,31))/1000</f>
        <v>0</v>
      </c>
      <c r="I337" s="9" t="n">
        <f aca="false">SUMIFS('Partial Purchases'!$F$3:$F$500,'Partial Purchases'!$C$3:$C$500,$A337,'Partial Purchases'!$B$3:$B$500,"&gt;="&amp;DATE($B337,1,1),'Partial Purchases'!$B$3:$B$500,"&lt;="&amp;DATE($B337,12,31))/1000</f>
        <v>0</v>
      </c>
      <c r="J337" s="9" t="n">
        <f aca="false">C337*(D337+0.5*(G337-H337+I337-F337))</f>
        <v>125576.12763443</v>
      </c>
      <c r="K337" s="9" t="n">
        <f aca="false">C337*(E337-D337+H337-G337-I337)</f>
        <v>-12624.3919663405</v>
      </c>
      <c r="L337" s="13" t="n">
        <f aca="false">IF(J337=0,"",C337*F337/J337)</f>
        <v>0</v>
      </c>
      <c r="M337" s="13" t="n">
        <f aca="false">IF(J337=0,"",K337/J337)</f>
        <v>-0.10053178262585</v>
      </c>
      <c r="N337" s="13" t="n">
        <f aca="false">IF(J337=0,"",L337+M337)</f>
        <v>-0.10053178262585</v>
      </c>
    </row>
    <row r="338" customFormat="false" ht="15" hidden="false" customHeight="false" outlineLevel="0" collapsed="false">
      <c r="A338" s="8" t="s">
        <v>30</v>
      </c>
      <c r="B338" s="48" t="n">
        <v>2014</v>
      </c>
      <c r="C338" s="10" t="n">
        <f aca="false">IF(D338&gt;0,1,0)</f>
        <v>1</v>
      </c>
      <c r="D338" s="9" t="n">
        <f aca="false">IF(SUMIFS(Sales!$F$3:$F$500,Sales!$C$3:$C$500,$A338,Sales!$B$3:$B$500,"&lt;="&amp;DATE($B338-1,12,31))&gt;0,0,SUMIFS('Asset Value'!$I$4:$I$500,'Asset Value'!$C$4:$C$500,$A338,'Asset Value'!$B$4:$B$500,$B338-1)/1000)</f>
        <v>112951.735668089</v>
      </c>
      <c r="E338" s="9" t="n">
        <f aca="false">IF(SUMIFS(Sales!$F$3:$F$500,Sales!$C$3:$C$500,$A338,Sales!$B$3:$B$500,"&gt;="&amp;DATE($B338,1,1),Sales!$B$3:$B$500,"&lt;="&amp;DATE($B338,12,31))&gt;0,SUMIFS(Sales!$F$3:$F$500,Sales!$C$3:$C$500,$A338,Sales!$B$3:$B$500,"&gt;="&amp;DATE($B338,1,1),Sales!$B$3:$B$500,"&lt;="&amp;DATE($B338,12,31))/1000,SUMIFS('Asset Value'!$I$4:$I$500,'Asset Value'!$C$4:$C$500,$A338,'Asset Value'!$B$4:$B$500,$B338)/1000)</f>
        <v>135981.559908241</v>
      </c>
      <c r="F338" s="9" t="n">
        <f aca="false">SUMIFS(Rent!$G$3:$G$500,Rent!$D$3:$D$500,$A338,Rent!$C$3:$C$500,$B338)/1000</f>
        <v>0</v>
      </c>
      <c r="G338" s="9" t="n">
        <f aca="false">SUMIFS(Costs!$F$3:$F$500,Costs!$C$3:$C$500,$A338,Costs!$B$3:$B$500,"&gt;="&amp;DATE($B338,1,1),Costs!$B$3:$B$500,"&lt;="&amp;DATE($B338,12,31))/1000</f>
        <v>0</v>
      </c>
      <c r="H338" s="9" t="n">
        <f aca="false">SUMIFS('Partial Sales'!$F$3:$F$500,'Partial Sales'!$C$3:$C$500,$A338,'Partial Sales'!$B$3:$B$500,"&gt;="&amp;DATE($B338,1,1),'Partial Sales'!$B$3:$B$500,"&lt;="&amp;DATE($B338,12,31))/1000</f>
        <v>0</v>
      </c>
      <c r="I338" s="9" t="n">
        <f aca="false">SUMIFS('Partial Purchases'!$F$3:$F$500,'Partial Purchases'!$C$3:$C$500,$A338,'Partial Purchases'!$B$3:$B$500,"&gt;="&amp;DATE($B338,1,1),'Partial Purchases'!$B$3:$B$500,"&lt;="&amp;DATE($B338,12,31))/1000</f>
        <v>0</v>
      </c>
      <c r="J338" s="9" t="n">
        <f aca="false">C338*(D338+0.5*(G338-H338+I338-F338))</f>
        <v>112951.735668089</v>
      </c>
      <c r="K338" s="9" t="n">
        <f aca="false">C338*(E338-D338+H338-G338-I338)</f>
        <v>23029.8242401515</v>
      </c>
      <c r="L338" s="13" t="n">
        <f aca="false">IF(J338=0,"",C338*F338/J338)</f>
        <v>0</v>
      </c>
      <c r="M338" s="13" t="n">
        <f aca="false">IF(J338=0,"",K338/J338)</f>
        <v>0.20389083978156</v>
      </c>
      <c r="N338" s="13" t="n">
        <f aca="false">IF(J338=0,"",L338+M338)</f>
        <v>0.20389083978156</v>
      </c>
    </row>
    <row r="339" customFormat="false" ht="15" hidden="false" customHeight="false" outlineLevel="0" collapsed="false">
      <c r="A339" s="49" t="s">
        <v>30</v>
      </c>
      <c r="B339" s="50" t="n">
        <v>2015</v>
      </c>
      <c r="C339" s="51" t="n">
        <f aca="false">IF(D339&gt;0,1,0)</f>
        <v>1</v>
      </c>
      <c r="D339" s="52" t="n">
        <f aca="false">IF(SUMIFS(Sales!$F$3:$F$500,Sales!$C$3:$C$500,$A339,Sales!$B$3:$B$500,"&lt;="&amp;DATE($B339-1,12,31))&gt;0,0,SUMIFS('Asset Value'!$I$4:$I$500,'Asset Value'!$C$4:$C$500,$A339,'Asset Value'!$B$4:$B$500,$B339-1)/1000)</f>
        <v>135981.559908241</v>
      </c>
      <c r="E339" s="52" t="n">
        <f aca="false">IF(SUMIFS(Sales!$F$3:$F$500,Sales!$C$3:$C$500,$A339,Sales!$B$3:$B$500,"&gt;="&amp;DATE($B339,1,1),Sales!$B$3:$B$500,"&lt;="&amp;DATE($B339,12,31))&gt;0,SUMIFS(Sales!$F$3:$F$500,Sales!$C$3:$C$500,$A339,Sales!$B$3:$B$500,"&gt;="&amp;DATE($B339,1,1),Sales!$B$3:$B$500,"&lt;="&amp;DATE($B339,12,31))/1000,SUMIFS('Asset Value'!$I$4:$I$500,'Asset Value'!$C$4:$C$500,$A339,'Asset Value'!$B$4:$B$500,$B339)/1000)</f>
        <v>93083.63293452</v>
      </c>
      <c r="F339" s="52" t="n">
        <f aca="false">SUMIFS(Rent!$G$3:$G$500,Rent!$D$3:$D$500,$A339,Rent!$C$3:$C$500,$B339)/1000</f>
        <v>0</v>
      </c>
      <c r="G339" s="52" t="n">
        <f aca="false">SUMIFS(Costs!$F$3:$F$500,Costs!$C$3:$C$500,$A339,Costs!$B$3:$B$500,"&gt;="&amp;DATE($B339,1,1),Costs!$B$3:$B$500,"&lt;="&amp;DATE($B339,12,31))/1000</f>
        <v>0</v>
      </c>
      <c r="H339" s="52" t="n">
        <f aca="false">SUMIFS('Partial Sales'!$F$3:$F$500,'Partial Sales'!$C$3:$C$500,$A339,'Partial Sales'!$B$3:$B$500,"&gt;="&amp;DATE($B339,1,1),'Partial Sales'!$B$3:$B$500,"&lt;="&amp;DATE($B339,12,31))/1000</f>
        <v>0</v>
      </c>
      <c r="I339" s="52" t="n">
        <f aca="false">SUMIFS('Partial Purchases'!$F$3:$F$500,'Partial Purchases'!$C$3:$C$500,$A339,'Partial Purchases'!$B$3:$B$500,"&gt;="&amp;DATE($B339,1,1),'Partial Purchases'!$B$3:$B$500,"&lt;="&amp;DATE($B339,12,31))/1000</f>
        <v>0</v>
      </c>
      <c r="J339" s="52" t="n">
        <f aca="false">C339*(D339+0.5*(G339-H339+I339-F339))</f>
        <v>135981.559908241</v>
      </c>
      <c r="K339" s="52" t="n">
        <f aca="false">C339*(E339-D339+H339-G339-I339)</f>
        <v>-42897.9269737208</v>
      </c>
      <c r="L339" s="46" t="n">
        <f aca="false">IF(J339=0,"",C339*F339/J339)</f>
        <v>0</v>
      </c>
      <c r="M339" s="46" t="n">
        <f aca="false">IF(J339=0,"",K339/J339)</f>
        <v>-0.315468707688513</v>
      </c>
      <c r="N339" s="46" t="n">
        <f aca="false">IF(J339=0,"",L339+M339)</f>
        <v>-0.315468707688513</v>
      </c>
    </row>
    <row r="340" customFormat="false" ht="15" hidden="false" customHeight="false" outlineLevel="0" collapsed="false">
      <c r="A340" s="8" t="s">
        <v>31</v>
      </c>
      <c r="B340" s="48" t="n">
        <v>2008</v>
      </c>
      <c r="C340" s="10" t="n">
        <f aca="false">IF(D340&gt;0,1,0)</f>
        <v>0</v>
      </c>
      <c r="D340" s="9" t="n">
        <f aca="false">IF(SUMIFS(Sales!$F$3:$F$500,Sales!$C$3:$C$500,$A340,Sales!$B$3:$B$500,"&lt;="&amp;DATE($B340-1,12,31))&gt;0,0,SUMIFS('Asset Value'!$I$4:$I$500,'Asset Value'!$C$4:$C$500,$A340,'Asset Value'!$B$4:$B$500,$B340-1)/1000)</f>
        <v>0</v>
      </c>
      <c r="E340" s="9" t="n">
        <f aca="false">IF(SUMIFS(Sales!$F$3:$F$500,Sales!$C$3:$C$500,$A340,Sales!$B$3:$B$500,"&gt;="&amp;DATE($B340,1,1),Sales!$B$3:$B$500,"&lt;="&amp;DATE($B340,12,31))&gt;0,SUMIFS(Sales!$F$3:$F$500,Sales!$C$3:$C$500,$A340,Sales!$B$3:$B$500,"&gt;="&amp;DATE($B340,1,1),Sales!$B$3:$B$500,"&lt;="&amp;DATE($B340,12,31))/1000,SUMIFS('Asset Value'!$I$4:$I$500,'Asset Value'!$C$4:$C$500,$A340,'Asset Value'!$B$4:$B$500,$B340)/1000)</f>
        <v>0</v>
      </c>
      <c r="F340" s="9" t="n">
        <f aca="false">SUMIFS(Rent!$G$3:$G$500,Rent!$D$3:$D$500,$A340,Rent!$C$3:$C$500,$B340)/1000</f>
        <v>0</v>
      </c>
      <c r="G340" s="9" t="n">
        <f aca="false">SUMIFS(Costs!$F$3:$F$500,Costs!$C$3:$C$500,$A340,Costs!$B$3:$B$500,"&gt;="&amp;DATE($B340,1,1),Costs!$B$3:$B$500,"&lt;="&amp;DATE($B340,12,31))/1000</f>
        <v>0</v>
      </c>
      <c r="H340" s="9" t="n">
        <f aca="false">SUMIFS('Partial Sales'!$F$3:$F$500,'Partial Sales'!$C$3:$C$500,$A340,'Partial Sales'!$B$3:$B$500,"&gt;="&amp;DATE($B340,1,1),'Partial Sales'!$B$3:$B$500,"&lt;="&amp;DATE($B340,12,31))/1000</f>
        <v>0</v>
      </c>
      <c r="I340" s="9" t="n">
        <f aca="false">SUMIFS('Partial Purchases'!$F$3:$F$500,'Partial Purchases'!$C$3:$C$500,$A340,'Partial Purchases'!$B$3:$B$500,"&gt;="&amp;DATE($B340,1,1),'Partial Purchases'!$B$3:$B$500,"&lt;="&amp;DATE($B340,12,31))/1000</f>
        <v>0</v>
      </c>
      <c r="J340" s="9" t="n">
        <f aca="false">C340*(D340+0.5*(G340-H340+I340-F340))</f>
        <v>0</v>
      </c>
      <c r="K340" s="9" t="n">
        <f aca="false">C340*(E340-D340+H340-G340-I340)</f>
        <v>0</v>
      </c>
      <c r="L340" s="13" t="str">
        <f aca="false">IF(J340=0,"",C340*F340/J340)</f>
        <v/>
      </c>
      <c r="M340" s="13" t="str">
        <f aca="false">IF(J340=0,"",K340/J340)</f>
        <v/>
      </c>
      <c r="N340" s="13" t="str">
        <f aca="false">IF(J340=0,"",L340+M340)</f>
        <v/>
      </c>
    </row>
    <row r="341" customFormat="false" ht="15" hidden="false" customHeight="false" outlineLevel="0" collapsed="false">
      <c r="A341" s="8" t="s">
        <v>31</v>
      </c>
      <c r="B341" s="48" t="n">
        <v>2009</v>
      </c>
      <c r="C341" s="10" t="n">
        <f aca="false">IF(D341&gt;0,1,0)</f>
        <v>0</v>
      </c>
      <c r="D341" s="9" t="n">
        <f aca="false">IF(SUMIFS(Sales!$F$3:$F$500,Sales!$C$3:$C$500,$A341,Sales!$B$3:$B$500,"&lt;="&amp;DATE($B341-1,12,31))&gt;0,0,SUMIFS('Asset Value'!$I$4:$I$500,'Asset Value'!$C$4:$C$500,$A341,'Asset Value'!$B$4:$B$500,$B341-1)/1000)</f>
        <v>0</v>
      </c>
      <c r="E341" s="9" t="n">
        <f aca="false">IF(SUMIFS(Sales!$F$3:$F$500,Sales!$C$3:$C$500,$A341,Sales!$B$3:$B$500,"&gt;="&amp;DATE($B341,1,1),Sales!$B$3:$B$500,"&lt;="&amp;DATE($B341,12,31))&gt;0,SUMIFS(Sales!$F$3:$F$500,Sales!$C$3:$C$500,$A341,Sales!$B$3:$B$500,"&gt;="&amp;DATE($B341,1,1),Sales!$B$3:$B$500,"&lt;="&amp;DATE($B341,12,31))/1000,SUMIFS('Asset Value'!$I$4:$I$500,'Asset Value'!$C$4:$C$500,$A341,'Asset Value'!$B$4:$B$500,$B341)/1000)</f>
        <v>24826.181962654</v>
      </c>
      <c r="F341" s="9" t="n">
        <f aca="false">SUMIFS(Rent!$G$3:$G$500,Rent!$D$3:$D$500,$A341,Rent!$C$3:$C$500,$B341)/1000</f>
        <v>0</v>
      </c>
      <c r="G341" s="9" t="n">
        <f aca="false">SUMIFS(Costs!$F$3:$F$500,Costs!$C$3:$C$500,$A341,Costs!$B$3:$B$500,"&gt;="&amp;DATE($B341,1,1),Costs!$B$3:$B$500,"&lt;="&amp;DATE($B341,12,31))/1000</f>
        <v>0</v>
      </c>
      <c r="H341" s="9" t="n">
        <f aca="false">SUMIFS('Partial Sales'!$F$3:$F$500,'Partial Sales'!$C$3:$C$500,$A341,'Partial Sales'!$B$3:$B$500,"&gt;="&amp;DATE($B341,1,1),'Partial Sales'!$B$3:$B$500,"&lt;="&amp;DATE($B341,12,31))/1000</f>
        <v>0</v>
      </c>
      <c r="I341" s="9" t="n">
        <f aca="false">SUMIFS('Partial Purchases'!$F$3:$F$500,'Partial Purchases'!$C$3:$C$500,$A341,'Partial Purchases'!$B$3:$B$500,"&gt;="&amp;DATE($B341,1,1),'Partial Purchases'!$B$3:$B$500,"&lt;="&amp;DATE($B341,12,31))/1000</f>
        <v>0</v>
      </c>
      <c r="J341" s="9" t="n">
        <f aca="false">C341*(D341+0.5*(G341-H341+I341-F341))</f>
        <v>0</v>
      </c>
      <c r="K341" s="9" t="n">
        <f aca="false">C341*(E341-D341+H341-G341-I341)</f>
        <v>0</v>
      </c>
      <c r="L341" s="13" t="str">
        <f aca="false">IF(J341=0,"",C341*F341/J341)</f>
        <v/>
      </c>
      <c r="M341" s="13" t="str">
        <f aca="false">IF(J341=0,"",K341/J341)</f>
        <v/>
      </c>
      <c r="N341" s="13" t="str">
        <f aca="false">IF(J341=0,"",L341+M341)</f>
        <v/>
      </c>
    </row>
    <row r="342" customFormat="false" ht="15" hidden="false" customHeight="false" outlineLevel="0" collapsed="false">
      <c r="A342" s="8" t="s">
        <v>31</v>
      </c>
      <c r="B342" s="48" t="n">
        <v>2010</v>
      </c>
      <c r="C342" s="10" t="n">
        <f aca="false">IF(D342&gt;0,1,0)</f>
        <v>1</v>
      </c>
      <c r="D342" s="9" t="n">
        <f aca="false">IF(SUMIFS(Sales!$F$3:$F$500,Sales!$C$3:$C$500,$A342,Sales!$B$3:$B$500,"&lt;="&amp;DATE($B342-1,12,31))&gt;0,0,SUMIFS('Asset Value'!$I$4:$I$500,'Asset Value'!$C$4:$C$500,$A342,'Asset Value'!$B$4:$B$500,$B342-1)/1000)</f>
        <v>24826.181962654</v>
      </c>
      <c r="E342" s="9" t="n">
        <f aca="false">IF(SUMIFS(Sales!$F$3:$F$500,Sales!$C$3:$C$500,$A342,Sales!$B$3:$B$500,"&gt;="&amp;DATE($B342,1,1),Sales!$B$3:$B$500,"&lt;="&amp;DATE($B342,12,31))&gt;0,SUMIFS(Sales!$F$3:$F$500,Sales!$C$3:$C$500,$A342,Sales!$B$3:$B$500,"&gt;="&amp;DATE($B342,1,1),Sales!$B$3:$B$500,"&lt;="&amp;DATE($B342,12,31))/1000,SUMIFS('Asset Value'!$I$4:$I$500,'Asset Value'!$C$4:$C$500,$A342,'Asset Value'!$B$4:$B$500,$B342)/1000)</f>
        <v>29344.4328824142</v>
      </c>
      <c r="F342" s="9" t="n">
        <f aca="false">SUMIFS(Rent!$G$3:$G$500,Rent!$D$3:$D$500,$A342,Rent!$C$3:$C$500,$B342)/1000</f>
        <v>0</v>
      </c>
      <c r="G342" s="9" t="n">
        <f aca="false">SUMIFS(Costs!$F$3:$F$500,Costs!$C$3:$C$500,$A342,Costs!$B$3:$B$500,"&gt;="&amp;DATE($B342,1,1),Costs!$B$3:$B$500,"&lt;="&amp;DATE($B342,12,31))/1000</f>
        <v>0</v>
      </c>
      <c r="H342" s="9" t="n">
        <f aca="false">SUMIFS('Partial Sales'!$F$3:$F$500,'Partial Sales'!$C$3:$C$500,$A342,'Partial Sales'!$B$3:$B$500,"&gt;="&amp;DATE($B342,1,1),'Partial Sales'!$B$3:$B$500,"&lt;="&amp;DATE($B342,12,31))/1000</f>
        <v>0</v>
      </c>
      <c r="I342" s="9" t="n">
        <f aca="false">SUMIFS('Partial Purchases'!$F$3:$F$500,'Partial Purchases'!$C$3:$C$500,$A342,'Partial Purchases'!$B$3:$B$500,"&gt;="&amp;DATE($B342,1,1),'Partial Purchases'!$B$3:$B$500,"&lt;="&amp;DATE($B342,12,31))/1000</f>
        <v>0</v>
      </c>
      <c r="J342" s="9" t="n">
        <f aca="false">C342*(D342+0.5*(G342-H342+I342-F342))</f>
        <v>24826.181962654</v>
      </c>
      <c r="K342" s="9" t="n">
        <f aca="false">C342*(E342-D342+H342-G342-I342)</f>
        <v>4518.2509197602</v>
      </c>
      <c r="L342" s="13" t="n">
        <f aca="false">IF(J342=0,"",C342*F342/J342)</f>
        <v>0</v>
      </c>
      <c r="M342" s="13" t="n">
        <f aca="false">IF(J342=0,"",K342/J342)</f>
        <v>0.181995400120607</v>
      </c>
      <c r="N342" s="13" t="n">
        <f aca="false">IF(J342=0,"",L342+M342)</f>
        <v>0.181995400120607</v>
      </c>
    </row>
    <row r="343" customFormat="false" ht="15" hidden="false" customHeight="false" outlineLevel="0" collapsed="false">
      <c r="A343" s="8" t="s">
        <v>31</v>
      </c>
      <c r="B343" s="48" t="n">
        <v>2011</v>
      </c>
      <c r="C343" s="10" t="n">
        <f aca="false">IF(D343&gt;0,1,0)</f>
        <v>1</v>
      </c>
      <c r="D343" s="9" t="n">
        <f aca="false">IF(SUMIFS(Sales!$F$3:$F$500,Sales!$C$3:$C$500,$A343,Sales!$B$3:$B$500,"&lt;="&amp;DATE($B343-1,12,31))&gt;0,0,SUMIFS('Asset Value'!$I$4:$I$500,'Asset Value'!$C$4:$C$500,$A343,'Asset Value'!$B$4:$B$500,$B343-1)/1000)</f>
        <v>29344.4328824142</v>
      </c>
      <c r="E343" s="9" t="n">
        <f aca="false">IF(SUMIFS(Sales!$F$3:$F$500,Sales!$C$3:$C$500,$A343,Sales!$B$3:$B$500,"&gt;="&amp;DATE($B343,1,1),Sales!$B$3:$B$500,"&lt;="&amp;DATE($B343,12,31))&gt;0,SUMIFS(Sales!$F$3:$F$500,Sales!$C$3:$C$500,$A343,Sales!$B$3:$B$500,"&gt;="&amp;DATE($B343,1,1),Sales!$B$3:$B$500,"&lt;="&amp;DATE($B343,12,31))/1000,SUMIFS('Asset Value'!$I$4:$I$500,'Asset Value'!$C$4:$C$500,$A343,'Asset Value'!$B$4:$B$500,$B343)/1000)</f>
        <v>37595.4791032727</v>
      </c>
      <c r="F343" s="9" t="n">
        <f aca="false">SUMIFS(Rent!$G$3:$G$500,Rent!$D$3:$D$500,$A343,Rent!$C$3:$C$500,$B343)/1000</f>
        <v>0</v>
      </c>
      <c r="G343" s="9" t="n">
        <f aca="false">SUMIFS(Costs!$F$3:$F$500,Costs!$C$3:$C$500,$A343,Costs!$B$3:$B$500,"&gt;="&amp;DATE($B343,1,1),Costs!$B$3:$B$500,"&lt;="&amp;DATE($B343,12,31))/1000</f>
        <v>0</v>
      </c>
      <c r="H343" s="9" t="n">
        <f aca="false">SUMIFS('Partial Sales'!$F$3:$F$500,'Partial Sales'!$C$3:$C$500,$A343,'Partial Sales'!$B$3:$B$500,"&gt;="&amp;DATE($B343,1,1),'Partial Sales'!$B$3:$B$500,"&lt;="&amp;DATE($B343,12,31))/1000</f>
        <v>0</v>
      </c>
      <c r="I343" s="9" t="n">
        <f aca="false">SUMIFS('Partial Purchases'!$F$3:$F$500,'Partial Purchases'!$C$3:$C$500,$A343,'Partial Purchases'!$B$3:$B$500,"&gt;="&amp;DATE($B343,1,1),'Partial Purchases'!$B$3:$B$500,"&lt;="&amp;DATE($B343,12,31))/1000</f>
        <v>0</v>
      </c>
      <c r="J343" s="9" t="n">
        <f aca="false">C343*(D343+0.5*(G343-H343+I343-F343))</f>
        <v>29344.4328824142</v>
      </c>
      <c r="K343" s="9" t="n">
        <f aca="false">C343*(E343-D343+H343-G343-I343)</f>
        <v>8251.04622085853</v>
      </c>
      <c r="L343" s="13" t="n">
        <f aca="false">IF(J343=0,"",C343*F343/J343)</f>
        <v>0</v>
      </c>
      <c r="M343" s="13" t="n">
        <f aca="false">IF(J343=0,"",K343/J343)</f>
        <v>0.281179270150534</v>
      </c>
      <c r="N343" s="13" t="n">
        <f aca="false">IF(J343=0,"",L343+M343)</f>
        <v>0.281179270150534</v>
      </c>
    </row>
    <row r="344" customFormat="false" ht="15" hidden="false" customHeight="false" outlineLevel="0" collapsed="false">
      <c r="A344" s="8" t="s">
        <v>31</v>
      </c>
      <c r="B344" s="48" t="n">
        <v>2012</v>
      </c>
      <c r="C344" s="10" t="n">
        <f aca="false">IF(D344&gt;0,1,0)</f>
        <v>1</v>
      </c>
      <c r="D344" s="9" t="n">
        <f aca="false">IF(SUMIFS(Sales!$F$3:$F$500,Sales!$C$3:$C$500,$A344,Sales!$B$3:$B$500,"&lt;="&amp;DATE($B344-1,12,31))&gt;0,0,SUMIFS('Asset Value'!$I$4:$I$500,'Asset Value'!$C$4:$C$500,$A344,'Asset Value'!$B$4:$B$500,$B344-1)/1000)</f>
        <v>37595.4791032727</v>
      </c>
      <c r="E344" s="9" t="n">
        <f aca="false">IF(SUMIFS(Sales!$F$3:$F$500,Sales!$C$3:$C$500,$A344,Sales!$B$3:$B$500,"&gt;="&amp;DATE($B344,1,1),Sales!$B$3:$B$500,"&lt;="&amp;DATE($B344,12,31))&gt;0,SUMIFS(Sales!$F$3:$F$500,Sales!$C$3:$C$500,$A344,Sales!$B$3:$B$500,"&gt;="&amp;DATE($B344,1,1),Sales!$B$3:$B$500,"&lt;="&amp;DATE($B344,12,31))/1000,SUMIFS('Asset Value'!$I$4:$I$500,'Asset Value'!$C$4:$C$500,$A344,'Asset Value'!$B$4:$B$500,$B344)/1000)</f>
        <v>31258.6172936774</v>
      </c>
      <c r="F344" s="9" t="n">
        <f aca="false">SUMIFS(Rent!$G$3:$G$500,Rent!$D$3:$D$500,$A344,Rent!$C$3:$C$500,$B344)/1000</f>
        <v>0</v>
      </c>
      <c r="G344" s="9" t="n">
        <f aca="false">SUMIFS(Costs!$F$3:$F$500,Costs!$C$3:$C$500,$A344,Costs!$B$3:$B$500,"&gt;="&amp;DATE($B344,1,1),Costs!$B$3:$B$500,"&lt;="&amp;DATE($B344,12,31))/1000</f>
        <v>0</v>
      </c>
      <c r="H344" s="9" t="n">
        <f aca="false">SUMIFS('Partial Sales'!$F$3:$F$500,'Partial Sales'!$C$3:$C$500,$A344,'Partial Sales'!$B$3:$B$500,"&gt;="&amp;DATE($B344,1,1),'Partial Sales'!$B$3:$B$500,"&lt;="&amp;DATE($B344,12,31))/1000</f>
        <v>0</v>
      </c>
      <c r="I344" s="9" t="n">
        <f aca="false">SUMIFS('Partial Purchases'!$F$3:$F$500,'Partial Purchases'!$C$3:$C$500,$A344,'Partial Purchases'!$B$3:$B$500,"&gt;="&amp;DATE($B344,1,1),'Partial Purchases'!$B$3:$B$500,"&lt;="&amp;DATE($B344,12,31))/1000</f>
        <v>0</v>
      </c>
      <c r="J344" s="9" t="n">
        <f aca="false">C344*(D344+0.5*(G344-H344+I344-F344))</f>
        <v>37595.4791032727</v>
      </c>
      <c r="K344" s="9" t="n">
        <f aca="false">C344*(E344-D344+H344-G344-I344)</f>
        <v>-6336.86180959532</v>
      </c>
      <c r="L344" s="13" t="n">
        <f aca="false">IF(J344=0,"",C344*F344/J344)</f>
        <v>0</v>
      </c>
      <c r="M344" s="13" t="n">
        <f aca="false">IF(J344=0,"",K344/J344)</f>
        <v>-0.168553825107224</v>
      </c>
      <c r="N344" s="13" t="n">
        <f aca="false">IF(J344=0,"",L344+M344)</f>
        <v>-0.168553825107224</v>
      </c>
    </row>
    <row r="345" customFormat="false" ht="15" hidden="false" customHeight="false" outlineLevel="0" collapsed="false">
      <c r="A345" s="8" t="s">
        <v>31</v>
      </c>
      <c r="B345" s="48" t="n">
        <v>2013</v>
      </c>
      <c r="C345" s="10" t="n">
        <f aca="false">IF(D345&gt;0,1,0)</f>
        <v>1</v>
      </c>
      <c r="D345" s="9" t="n">
        <f aca="false">IF(SUMIFS(Sales!$F$3:$F$500,Sales!$C$3:$C$500,$A345,Sales!$B$3:$B$500,"&lt;="&amp;DATE($B345-1,12,31))&gt;0,0,SUMIFS('Asset Value'!$I$4:$I$500,'Asset Value'!$C$4:$C$500,$A345,'Asset Value'!$B$4:$B$500,$B345-1)/1000)</f>
        <v>31258.6172936774</v>
      </c>
      <c r="E345" s="9" t="n">
        <f aca="false">IF(SUMIFS(Sales!$F$3:$F$500,Sales!$C$3:$C$500,$A345,Sales!$B$3:$B$500,"&gt;="&amp;DATE($B345,1,1),Sales!$B$3:$B$500,"&lt;="&amp;DATE($B345,12,31))&gt;0,SUMIFS(Sales!$F$3:$F$500,Sales!$C$3:$C$500,$A345,Sales!$B$3:$B$500,"&gt;="&amp;DATE($B345,1,1),Sales!$B$3:$B$500,"&lt;="&amp;DATE($B345,12,31))/1000,SUMIFS('Asset Value'!$I$4:$I$500,'Asset Value'!$C$4:$C$500,$A345,'Asset Value'!$B$4:$B$500,$B345)/1000)</f>
        <v>38148.6207048264</v>
      </c>
      <c r="F345" s="9" t="n">
        <f aca="false">SUMIFS(Rent!$G$3:$G$500,Rent!$D$3:$D$500,$A345,Rent!$C$3:$C$500,$B345)/1000</f>
        <v>896.66951323655</v>
      </c>
      <c r="G345" s="9" t="n">
        <f aca="false">SUMIFS(Costs!$F$3:$F$500,Costs!$C$3:$C$500,$A345,Costs!$B$3:$B$500,"&gt;="&amp;DATE($B345,1,1),Costs!$B$3:$B$500,"&lt;="&amp;DATE($B345,12,31))/1000</f>
        <v>0</v>
      </c>
      <c r="H345" s="9" t="n">
        <f aca="false">SUMIFS('Partial Sales'!$F$3:$F$500,'Partial Sales'!$C$3:$C$500,$A345,'Partial Sales'!$B$3:$B$500,"&gt;="&amp;DATE($B345,1,1),'Partial Sales'!$B$3:$B$500,"&lt;="&amp;DATE($B345,12,31))/1000</f>
        <v>0</v>
      </c>
      <c r="I345" s="9" t="n">
        <f aca="false">SUMIFS('Partial Purchases'!$F$3:$F$500,'Partial Purchases'!$C$3:$C$500,$A345,'Partial Purchases'!$B$3:$B$500,"&gt;="&amp;DATE($B345,1,1),'Partial Purchases'!$B$3:$B$500,"&lt;="&amp;DATE($B345,12,31))/1000</f>
        <v>0</v>
      </c>
      <c r="J345" s="9" t="n">
        <f aca="false">C345*(D345+0.5*(G345-H345+I345-F345))</f>
        <v>30810.2825370591</v>
      </c>
      <c r="K345" s="9" t="n">
        <f aca="false">C345*(E345-D345+H345-G345-I345)</f>
        <v>6890.00341114908</v>
      </c>
      <c r="L345" s="13" t="n">
        <f aca="false">IF(J345=0,"",C345*F345/J345)</f>
        <v>0.0291029305608614</v>
      </c>
      <c r="M345" s="13" t="n">
        <f aca="false">IF(J345=0,"",K345/J345)</f>
        <v>0.223626751973523</v>
      </c>
      <c r="N345" s="13" t="n">
        <f aca="false">IF(J345=0,"",L345+M345)</f>
        <v>0.252729682534384</v>
      </c>
    </row>
    <row r="346" customFormat="false" ht="15" hidden="false" customHeight="false" outlineLevel="0" collapsed="false">
      <c r="A346" s="8" t="s">
        <v>31</v>
      </c>
      <c r="B346" s="48" t="n">
        <v>2014</v>
      </c>
      <c r="C346" s="10" t="n">
        <f aca="false">IF(D346&gt;0,1,0)</f>
        <v>1</v>
      </c>
      <c r="D346" s="9" t="n">
        <f aca="false">IF(SUMIFS(Sales!$F$3:$F$500,Sales!$C$3:$C$500,$A346,Sales!$B$3:$B$500,"&lt;="&amp;DATE($B346-1,12,31))&gt;0,0,SUMIFS('Asset Value'!$I$4:$I$500,'Asset Value'!$C$4:$C$500,$A346,'Asset Value'!$B$4:$B$500,$B346-1)/1000)</f>
        <v>38148.6207048264</v>
      </c>
      <c r="E346" s="9" t="n">
        <f aca="false">IF(SUMIFS(Sales!$F$3:$F$500,Sales!$C$3:$C$500,$A346,Sales!$B$3:$B$500,"&gt;="&amp;DATE($B346,1,1),Sales!$B$3:$B$500,"&lt;="&amp;DATE($B346,12,31))&gt;0,SUMIFS(Sales!$F$3:$F$500,Sales!$C$3:$C$500,$A346,Sales!$B$3:$B$500,"&gt;="&amp;DATE($B346,1,1),Sales!$B$3:$B$500,"&lt;="&amp;DATE($B346,12,31))/1000,SUMIFS('Asset Value'!$I$4:$I$500,'Asset Value'!$C$4:$C$500,$A346,'Asset Value'!$B$4:$B$500,$B346)/1000)</f>
        <v>60706.7231339333</v>
      </c>
      <c r="F346" s="9" t="n">
        <f aca="false">SUMIFS(Rent!$G$3:$G$500,Rent!$D$3:$D$500,$A346,Rent!$C$3:$C$500,$B346)/1000</f>
        <v>0</v>
      </c>
      <c r="G346" s="9" t="n">
        <f aca="false">SUMIFS(Costs!$F$3:$F$500,Costs!$C$3:$C$500,$A346,Costs!$B$3:$B$500,"&gt;="&amp;DATE($B346,1,1),Costs!$B$3:$B$500,"&lt;="&amp;DATE($B346,12,31))/1000</f>
        <v>0</v>
      </c>
      <c r="H346" s="9" t="n">
        <f aca="false">SUMIFS('Partial Sales'!$F$3:$F$500,'Partial Sales'!$C$3:$C$500,$A346,'Partial Sales'!$B$3:$B$500,"&gt;="&amp;DATE($B346,1,1),'Partial Sales'!$B$3:$B$500,"&lt;="&amp;DATE($B346,12,31))/1000</f>
        <v>0</v>
      </c>
      <c r="I346" s="9" t="n">
        <f aca="false">SUMIFS('Partial Purchases'!$F$3:$F$500,'Partial Purchases'!$C$3:$C$500,$A346,'Partial Purchases'!$B$3:$B$500,"&gt;="&amp;DATE($B346,1,1),'Partial Purchases'!$B$3:$B$500,"&lt;="&amp;DATE($B346,12,31))/1000</f>
        <v>0</v>
      </c>
      <c r="J346" s="9" t="n">
        <f aca="false">C346*(D346+0.5*(G346-H346+I346-F346))</f>
        <v>38148.6207048264</v>
      </c>
      <c r="K346" s="9" t="n">
        <f aca="false">C346*(E346-D346+H346-G346-I346)</f>
        <v>22558.1024291069</v>
      </c>
      <c r="L346" s="13" t="n">
        <f aca="false">IF(J346=0,"",C346*F346/J346)</f>
        <v>0</v>
      </c>
      <c r="M346" s="13" t="n">
        <f aca="false">IF(J346=0,"",K346/J346)</f>
        <v>0.591321573685438</v>
      </c>
      <c r="N346" s="13" t="n">
        <f aca="false">IF(J346=0,"",L346+M346)</f>
        <v>0.591321573685438</v>
      </c>
    </row>
    <row r="347" customFormat="false" ht="15" hidden="false" customHeight="false" outlineLevel="0" collapsed="false">
      <c r="A347" s="49" t="s">
        <v>31</v>
      </c>
      <c r="B347" s="50" t="n">
        <v>2015</v>
      </c>
      <c r="C347" s="51" t="n">
        <f aca="false">IF(D347&gt;0,1,0)</f>
        <v>1</v>
      </c>
      <c r="D347" s="52" t="n">
        <f aca="false">IF(SUMIFS(Sales!$F$3:$F$500,Sales!$C$3:$C$500,$A347,Sales!$B$3:$B$500,"&lt;="&amp;DATE($B347-1,12,31))&gt;0,0,SUMIFS('Asset Value'!$I$4:$I$500,'Asset Value'!$C$4:$C$500,$A347,'Asset Value'!$B$4:$B$500,$B347-1)/1000)</f>
        <v>60706.7231339333</v>
      </c>
      <c r="E347" s="52" t="n">
        <f aca="false">IF(SUMIFS(Sales!$F$3:$F$500,Sales!$C$3:$C$500,$A347,Sales!$B$3:$B$500,"&gt;="&amp;DATE($B347,1,1),Sales!$B$3:$B$500,"&lt;="&amp;DATE($B347,12,31))&gt;0,SUMIFS(Sales!$F$3:$F$500,Sales!$C$3:$C$500,$A347,Sales!$B$3:$B$500,"&gt;="&amp;DATE($B347,1,1),Sales!$B$3:$B$500,"&lt;="&amp;DATE($B347,12,31))/1000,SUMIFS('Asset Value'!$I$4:$I$500,'Asset Value'!$C$4:$C$500,$A347,'Asset Value'!$B$4:$B$500,$B347)/1000)</f>
        <v>42349.855602051</v>
      </c>
      <c r="F347" s="52" t="n">
        <f aca="false">SUMIFS(Rent!$G$3:$G$500,Rent!$D$3:$D$500,$A347,Rent!$C$3:$C$500,$B347)/1000</f>
        <v>150.094769735157</v>
      </c>
      <c r="G347" s="52" t="n">
        <f aca="false">SUMIFS(Costs!$F$3:$F$500,Costs!$C$3:$C$500,$A347,Costs!$B$3:$B$500,"&gt;="&amp;DATE($B347,1,1),Costs!$B$3:$B$500,"&lt;="&amp;DATE($B347,12,31))/1000</f>
        <v>0</v>
      </c>
      <c r="H347" s="52" t="n">
        <f aca="false">SUMIFS('Partial Sales'!$F$3:$F$500,'Partial Sales'!$C$3:$C$500,$A347,'Partial Sales'!$B$3:$B$500,"&gt;="&amp;DATE($B347,1,1),'Partial Sales'!$B$3:$B$500,"&lt;="&amp;DATE($B347,12,31))/1000</f>
        <v>0</v>
      </c>
      <c r="I347" s="52" t="n">
        <f aca="false">SUMIFS('Partial Purchases'!$F$3:$F$500,'Partial Purchases'!$C$3:$C$500,$A347,'Partial Purchases'!$B$3:$B$500,"&gt;="&amp;DATE($B347,1,1),'Partial Purchases'!$B$3:$B$500,"&lt;="&amp;DATE($B347,12,31))/1000</f>
        <v>0</v>
      </c>
      <c r="J347" s="52" t="n">
        <f aca="false">C347*(D347+0.5*(G347-H347+I347-F347))</f>
        <v>60631.6757490657</v>
      </c>
      <c r="K347" s="52" t="n">
        <f aca="false">C347*(E347-D347+H347-G347-I347)</f>
        <v>-18356.8675318823</v>
      </c>
      <c r="L347" s="46" t="n">
        <f aca="false">IF(J347=0,"",C347*F347/J347)</f>
        <v>0.00247551742353863</v>
      </c>
      <c r="M347" s="46" t="n">
        <f aca="false">IF(J347=0,"",K347/J347)</f>
        <v>-0.30276035265552</v>
      </c>
      <c r="N347" s="46" t="n">
        <f aca="false">IF(J347=0,"",L347+M347)</f>
        <v>-0.300284835231981</v>
      </c>
    </row>
    <row r="348" customFormat="false" ht="15" hidden="false" customHeight="false" outlineLevel="0" collapsed="false">
      <c r="A348" s="8" t="s">
        <v>32</v>
      </c>
      <c r="B348" s="48" t="n">
        <v>2008</v>
      </c>
      <c r="C348" s="10" t="n">
        <f aca="false">IF(D348&gt;0,1,0)</f>
        <v>0</v>
      </c>
      <c r="D348" s="9" t="n">
        <f aca="false">IF(SUMIFS(Sales!$F$3:$F$500,Sales!$C$3:$C$500,$A348,Sales!$B$3:$B$500,"&lt;="&amp;DATE($B348-1,12,31))&gt;0,0,SUMIFS('Asset Value'!$I$4:$I$500,'Asset Value'!$C$4:$C$500,$A348,'Asset Value'!$B$4:$B$500,$B348-1)/1000)</f>
        <v>0</v>
      </c>
      <c r="E348" s="9" t="n">
        <f aca="false">IF(SUMIFS(Sales!$F$3:$F$500,Sales!$C$3:$C$500,$A348,Sales!$B$3:$B$500,"&gt;="&amp;DATE($B348,1,1),Sales!$B$3:$B$500,"&lt;="&amp;DATE($B348,12,31))&gt;0,SUMIFS(Sales!$F$3:$F$500,Sales!$C$3:$C$500,$A348,Sales!$B$3:$B$500,"&gt;="&amp;DATE($B348,1,1),Sales!$B$3:$B$500,"&lt;="&amp;DATE($B348,12,31))/1000,SUMIFS('Asset Value'!$I$4:$I$500,'Asset Value'!$C$4:$C$500,$A348,'Asset Value'!$B$4:$B$500,$B348)/1000)</f>
        <v>0</v>
      </c>
      <c r="F348" s="9" t="n">
        <f aca="false">SUMIFS(Rent!$G$3:$G$500,Rent!$D$3:$D$500,$A348,Rent!$C$3:$C$500,$B348)/1000</f>
        <v>0</v>
      </c>
      <c r="G348" s="9" t="n">
        <f aca="false">SUMIFS(Costs!$F$3:$F$500,Costs!$C$3:$C$500,$A348,Costs!$B$3:$B$500,"&gt;="&amp;DATE($B348,1,1),Costs!$B$3:$B$500,"&lt;="&amp;DATE($B348,12,31))/1000</f>
        <v>0</v>
      </c>
      <c r="H348" s="9" t="n">
        <f aca="false">SUMIFS('Partial Sales'!$F$3:$F$500,'Partial Sales'!$C$3:$C$500,$A348,'Partial Sales'!$B$3:$B$500,"&gt;="&amp;DATE($B348,1,1),'Partial Sales'!$B$3:$B$500,"&lt;="&amp;DATE($B348,12,31))/1000</f>
        <v>0</v>
      </c>
      <c r="I348" s="9" t="n">
        <f aca="false">SUMIFS('Partial Purchases'!$F$3:$F$500,'Partial Purchases'!$C$3:$C$500,$A348,'Partial Purchases'!$B$3:$B$500,"&gt;="&amp;DATE($B348,1,1),'Partial Purchases'!$B$3:$B$500,"&lt;="&amp;DATE($B348,12,31))/1000</f>
        <v>0</v>
      </c>
      <c r="J348" s="9" t="n">
        <f aca="false">C348*(D348+0.5*(G348-H348+I348-F348))</f>
        <v>0</v>
      </c>
      <c r="K348" s="9" t="n">
        <f aca="false">C348*(E348-D348+H348-G348-I348)</f>
        <v>0</v>
      </c>
      <c r="L348" s="13" t="str">
        <f aca="false">IF(J348=0,"",C348*F348/J348)</f>
        <v/>
      </c>
      <c r="M348" s="13" t="str">
        <f aca="false">IF(J348=0,"",K348/J348)</f>
        <v/>
      </c>
      <c r="N348" s="13" t="str">
        <f aca="false">IF(J348=0,"",L348+M348)</f>
        <v/>
      </c>
    </row>
    <row r="349" customFormat="false" ht="15" hidden="false" customHeight="false" outlineLevel="0" collapsed="false">
      <c r="A349" s="8" t="s">
        <v>32</v>
      </c>
      <c r="B349" s="48" t="n">
        <v>2009</v>
      </c>
      <c r="C349" s="10" t="n">
        <f aca="false">IF(D349&gt;0,1,0)</f>
        <v>0</v>
      </c>
      <c r="D349" s="9" t="n">
        <f aca="false">IF(SUMIFS(Sales!$F$3:$F$500,Sales!$C$3:$C$500,$A349,Sales!$B$3:$B$500,"&lt;="&amp;DATE($B349-1,12,31))&gt;0,0,SUMIFS('Asset Value'!$I$4:$I$500,'Asset Value'!$C$4:$C$500,$A349,'Asset Value'!$B$4:$B$500,$B349-1)/1000)</f>
        <v>0</v>
      </c>
      <c r="E349" s="9" t="n">
        <f aca="false">IF(SUMIFS(Sales!$F$3:$F$500,Sales!$C$3:$C$500,$A349,Sales!$B$3:$B$500,"&gt;="&amp;DATE($B349,1,1),Sales!$B$3:$B$500,"&lt;="&amp;DATE($B349,12,31))&gt;0,SUMIFS(Sales!$F$3:$F$500,Sales!$C$3:$C$500,$A349,Sales!$B$3:$B$500,"&gt;="&amp;DATE($B349,1,1),Sales!$B$3:$B$500,"&lt;="&amp;DATE($B349,12,31))/1000,SUMIFS('Asset Value'!$I$4:$I$500,'Asset Value'!$C$4:$C$500,$A349,'Asset Value'!$B$4:$B$500,$B349)/1000)</f>
        <v>0</v>
      </c>
      <c r="F349" s="9" t="n">
        <f aca="false">SUMIFS(Rent!$G$3:$G$500,Rent!$D$3:$D$500,$A349,Rent!$C$3:$C$500,$B349)/1000</f>
        <v>0</v>
      </c>
      <c r="G349" s="9" t="n">
        <f aca="false">SUMIFS(Costs!$F$3:$F$500,Costs!$C$3:$C$500,$A349,Costs!$B$3:$B$500,"&gt;="&amp;DATE($B349,1,1),Costs!$B$3:$B$500,"&lt;="&amp;DATE($B349,12,31))/1000</f>
        <v>0</v>
      </c>
      <c r="H349" s="9" t="n">
        <f aca="false">SUMIFS('Partial Sales'!$F$3:$F$500,'Partial Sales'!$C$3:$C$500,$A349,'Partial Sales'!$B$3:$B$500,"&gt;="&amp;DATE($B349,1,1),'Partial Sales'!$B$3:$B$500,"&lt;="&amp;DATE($B349,12,31))/1000</f>
        <v>0</v>
      </c>
      <c r="I349" s="9" t="n">
        <f aca="false">SUMIFS('Partial Purchases'!$F$3:$F$500,'Partial Purchases'!$C$3:$C$500,$A349,'Partial Purchases'!$B$3:$B$500,"&gt;="&amp;DATE($B349,1,1),'Partial Purchases'!$B$3:$B$500,"&lt;="&amp;DATE($B349,12,31))/1000</f>
        <v>0</v>
      </c>
      <c r="J349" s="9" t="n">
        <f aca="false">C349*(D349+0.5*(G349-H349+I349-F349))</f>
        <v>0</v>
      </c>
      <c r="K349" s="9" t="n">
        <f aca="false">C349*(E349-D349+H349-G349-I349)</f>
        <v>0</v>
      </c>
      <c r="L349" s="13" t="str">
        <f aca="false">IF(J349=0,"",C349*F349/J349)</f>
        <v/>
      </c>
      <c r="M349" s="13" t="str">
        <f aca="false">IF(J349=0,"",K349/J349)</f>
        <v/>
      </c>
      <c r="N349" s="13" t="str">
        <f aca="false">IF(J349=0,"",L349+M349)</f>
        <v/>
      </c>
    </row>
    <row r="350" customFormat="false" ht="15" hidden="false" customHeight="false" outlineLevel="0" collapsed="false">
      <c r="A350" s="8" t="s">
        <v>32</v>
      </c>
      <c r="B350" s="48" t="n">
        <v>2010</v>
      </c>
      <c r="C350" s="10" t="n">
        <f aca="false">IF(D350&gt;0,1,0)</f>
        <v>0</v>
      </c>
      <c r="D350" s="9" t="n">
        <f aca="false">IF(SUMIFS(Sales!$F$3:$F$500,Sales!$C$3:$C$500,$A350,Sales!$B$3:$B$500,"&lt;="&amp;DATE($B350-1,12,31))&gt;0,0,SUMIFS('Asset Value'!$I$4:$I$500,'Asset Value'!$C$4:$C$500,$A350,'Asset Value'!$B$4:$B$500,$B350-1)/1000)</f>
        <v>0</v>
      </c>
      <c r="E350" s="9" t="n">
        <f aca="false">IF(SUMIFS(Sales!$F$3:$F$500,Sales!$C$3:$C$500,$A350,Sales!$B$3:$B$500,"&gt;="&amp;DATE($B350,1,1),Sales!$B$3:$B$500,"&lt;="&amp;DATE($B350,12,31))&gt;0,SUMIFS(Sales!$F$3:$F$500,Sales!$C$3:$C$500,$A350,Sales!$B$3:$B$500,"&gt;="&amp;DATE($B350,1,1),Sales!$B$3:$B$500,"&lt;="&amp;DATE($B350,12,31))/1000,SUMIFS('Asset Value'!$I$4:$I$500,'Asset Value'!$C$4:$C$500,$A350,'Asset Value'!$B$4:$B$500,$B350)/1000)</f>
        <v>0</v>
      </c>
      <c r="F350" s="9" t="n">
        <f aca="false">SUMIFS(Rent!$G$3:$G$500,Rent!$D$3:$D$500,$A350,Rent!$C$3:$C$500,$B350)/1000</f>
        <v>0</v>
      </c>
      <c r="G350" s="9" t="n">
        <f aca="false">SUMIFS(Costs!$F$3:$F$500,Costs!$C$3:$C$500,$A350,Costs!$B$3:$B$500,"&gt;="&amp;DATE($B350,1,1),Costs!$B$3:$B$500,"&lt;="&amp;DATE($B350,12,31))/1000</f>
        <v>0</v>
      </c>
      <c r="H350" s="9" t="n">
        <f aca="false">SUMIFS('Partial Sales'!$F$3:$F$500,'Partial Sales'!$C$3:$C$500,$A350,'Partial Sales'!$B$3:$B$500,"&gt;="&amp;DATE($B350,1,1),'Partial Sales'!$B$3:$B$500,"&lt;="&amp;DATE($B350,12,31))/1000</f>
        <v>0</v>
      </c>
      <c r="I350" s="9" t="n">
        <f aca="false">SUMIFS('Partial Purchases'!$F$3:$F$500,'Partial Purchases'!$C$3:$C$500,$A350,'Partial Purchases'!$B$3:$B$500,"&gt;="&amp;DATE($B350,1,1),'Partial Purchases'!$B$3:$B$500,"&lt;="&amp;DATE($B350,12,31))/1000</f>
        <v>0</v>
      </c>
      <c r="J350" s="9" t="n">
        <f aca="false">C350*(D350+0.5*(G350-H350+I350-F350))</f>
        <v>0</v>
      </c>
      <c r="K350" s="9" t="n">
        <f aca="false">C350*(E350-D350+H350-G350-I350)</f>
        <v>0</v>
      </c>
      <c r="L350" s="13" t="str">
        <f aca="false">IF(J350=0,"",C350*F350/J350)</f>
        <v/>
      </c>
      <c r="M350" s="13" t="str">
        <f aca="false">IF(J350=0,"",K350/J350)</f>
        <v/>
      </c>
      <c r="N350" s="13" t="str">
        <f aca="false">IF(J350=0,"",L350+M350)</f>
        <v/>
      </c>
    </row>
    <row r="351" customFormat="false" ht="15" hidden="false" customHeight="false" outlineLevel="0" collapsed="false">
      <c r="A351" s="8" t="s">
        <v>32</v>
      </c>
      <c r="B351" s="48" t="n">
        <v>2011</v>
      </c>
      <c r="C351" s="10" t="n">
        <f aca="false">IF(D351&gt;0,1,0)</f>
        <v>0</v>
      </c>
      <c r="D351" s="9" t="n">
        <f aca="false">IF(SUMIFS(Sales!$F$3:$F$500,Sales!$C$3:$C$500,$A351,Sales!$B$3:$B$500,"&lt;="&amp;DATE($B351-1,12,31))&gt;0,0,SUMIFS('Asset Value'!$I$4:$I$500,'Asset Value'!$C$4:$C$500,$A351,'Asset Value'!$B$4:$B$500,$B351-1)/1000)</f>
        <v>0</v>
      </c>
      <c r="E351" s="9" t="n">
        <f aca="false">IF(SUMIFS(Sales!$F$3:$F$500,Sales!$C$3:$C$500,$A351,Sales!$B$3:$B$500,"&gt;="&amp;DATE($B351,1,1),Sales!$B$3:$B$500,"&lt;="&amp;DATE($B351,12,31))&gt;0,SUMIFS(Sales!$F$3:$F$500,Sales!$C$3:$C$500,$A351,Sales!$B$3:$B$500,"&gt;="&amp;DATE($B351,1,1),Sales!$B$3:$B$500,"&lt;="&amp;DATE($B351,12,31))/1000,SUMIFS('Asset Value'!$I$4:$I$500,'Asset Value'!$C$4:$C$500,$A351,'Asset Value'!$B$4:$B$500,$B351)/1000)</f>
        <v>0</v>
      </c>
      <c r="F351" s="9" t="n">
        <f aca="false">SUMIFS(Rent!$G$3:$G$500,Rent!$D$3:$D$500,$A351,Rent!$C$3:$C$500,$B351)/1000</f>
        <v>0</v>
      </c>
      <c r="G351" s="9" t="n">
        <f aca="false">SUMIFS(Costs!$F$3:$F$500,Costs!$C$3:$C$500,$A351,Costs!$B$3:$B$500,"&gt;="&amp;DATE($B351,1,1),Costs!$B$3:$B$500,"&lt;="&amp;DATE($B351,12,31))/1000</f>
        <v>0</v>
      </c>
      <c r="H351" s="9" t="n">
        <f aca="false">SUMIFS('Partial Sales'!$F$3:$F$500,'Partial Sales'!$C$3:$C$500,$A351,'Partial Sales'!$B$3:$B$500,"&gt;="&amp;DATE($B351,1,1),'Partial Sales'!$B$3:$B$500,"&lt;="&amp;DATE($B351,12,31))/1000</f>
        <v>0</v>
      </c>
      <c r="I351" s="9" t="n">
        <f aca="false">SUMIFS('Partial Purchases'!$F$3:$F$500,'Partial Purchases'!$C$3:$C$500,$A351,'Partial Purchases'!$B$3:$B$500,"&gt;="&amp;DATE($B351,1,1),'Partial Purchases'!$B$3:$B$500,"&lt;="&amp;DATE($B351,12,31))/1000</f>
        <v>0</v>
      </c>
      <c r="J351" s="9" t="n">
        <f aca="false">C351*(D351+0.5*(G351-H351+I351-F351))</f>
        <v>0</v>
      </c>
      <c r="K351" s="9" t="n">
        <f aca="false">C351*(E351-D351+H351-G351-I351)</f>
        <v>0</v>
      </c>
      <c r="L351" s="13" t="str">
        <f aca="false">IF(J351=0,"",C351*F351/J351)</f>
        <v/>
      </c>
      <c r="M351" s="13" t="str">
        <f aca="false">IF(J351=0,"",K351/J351)</f>
        <v/>
      </c>
      <c r="N351" s="13" t="str">
        <f aca="false">IF(J351=0,"",L351+M351)</f>
        <v/>
      </c>
    </row>
    <row r="352" customFormat="false" ht="15" hidden="false" customHeight="false" outlineLevel="0" collapsed="false">
      <c r="A352" s="8" t="s">
        <v>32</v>
      </c>
      <c r="B352" s="48" t="n">
        <v>2012</v>
      </c>
      <c r="C352" s="10" t="n">
        <f aca="false">IF(D352&gt;0,1,0)</f>
        <v>0</v>
      </c>
      <c r="D352" s="9" t="n">
        <f aca="false">IF(SUMIFS(Sales!$F$3:$F$500,Sales!$C$3:$C$500,$A352,Sales!$B$3:$B$500,"&lt;="&amp;DATE($B352-1,12,31))&gt;0,0,SUMIFS('Asset Value'!$I$4:$I$500,'Asset Value'!$C$4:$C$500,$A352,'Asset Value'!$B$4:$B$500,$B352-1)/1000)</f>
        <v>0</v>
      </c>
      <c r="E352" s="9" t="n">
        <f aca="false">IF(SUMIFS(Sales!$F$3:$F$500,Sales!$C$3:$C$500,$A352,Sales!$B$3:$B$500,"&gt;="&amp;DATE($B352,1,1),Sales!$B$3:$B$500,"&lt;="&amp;DATE($B352,12,31))&gt;0,SUMIFS(Sales!$F$3:$F$500,Sales!$C$3:$C$500,$A352,Sales!$B$3:$B$500,"&gt;="&amp;DATE($B352,1,1),Sales!$B$3:$B$500,"&lt;="&amp;DATE($B352,12,31))/1000,SUMIFS('Asset Value'!$I$4:$I$500,'Asset Value'!$C$4:$C$500,$A352,'Asset Value'!$B$4:$B$500,$B352)/1000)</f>
        <v>32240.9887728974</v>
      </c>
      <c r="F352" s="9" t="n">
        <f aca="false">SUMIFS(Rent!$G$3:$G$500,Rent!$D$3:$D$500,$A352,Rent!$C$3:$C$500,$B352)/1000</f>
        <v>1239.90405795683</v>
      </c>
      <c r="G352" s="9" t="n">
        <f aca="false">SUMIFS(Costs!$F$3:$F$500,Costs!$C$3:$C$500,$A352,Costs!$B$3:$B$500,"&gt;="&amp;DATE($B352,1,1),Costs!$B$3:$B$500,"&lt;="&amp;DATE($B352,12,31))/1000</f>
        <v>0</v>
      </c>
      <c r="H352" s="9" t="n">
        <f aca="false">SUMIFS('Partial Sales'!$F$3:$F$500,'Partial Sales'!$C$3:$C$500,$A352,'Partial Sales'!$B$3:$B$500,"&gt;="&amp;DATE($B352,1,1),'Partial Sales'!$B$3:$B$500,"&lt;="&amp;DATE($B352,12,31))/1000</f>
        <v>0</v>
      </c>
      <c r="I352" s="9" t="n">
        <f aca="false">SUMIFS('Partial Purchases'!$F$3:$F$500,'Partial Purchases'!$C$3:$C$500,$A352,'Partial Purchases'!$B$3:$B$500,"&gt;="&amp;DATE($B352,1,1),'Partial Purchases'!$B$3:$B$500,"&lt;="&amp;DATE($B352,12,31))/1000</f>
        <v>0</v>
      </c>
      <c r="J352" s="9" t="n">
        <f aca="false">C352*(D352+0.5*(G352-H352+I352-F352))</f>
        <v>-0</v>
      </c>
      <c r="K352" s="9" t="n">
        <f aca="false">C352*(E352-D352+H352-G352-I352)</f>
        <v>0</v>
      </c>
      <c r="L352" s="13" t="str">
        <f aca="false">IF(J352=0,"",C352*F352/J352)</f>
        <v/>
      </c>
      <c r="M352" s="13" t="str">
        <f aca="false">IF(J352=0,"",K352/J352)</f>
        <v/>
      </c>
      <c r="N352" s="13" t="str">
        <f aca="false">IF(J352=0,"",L352+M352)</f>
        <v/>
      </c>
    </row>
    <row r="353" customFormat="false" ht="15" hidden="false" customHeight="false" outlineLevel="0" collapsed="false">
      <c r="A353" s="8" t="s">
        <v>32</v>
      </c>
      <c r="B353" s="48" t="n">
        <v>2013</v>
      </c>
      <c r="C353" s="10" t="n">
        <f aca="false">IF(D353&gt;0,1,0)</f>
        <v>1</v>
      </c>
      <c r="D353" s="9" t="n">
        <f aca="false">IF(SUMIFS(Sales!$F$3:$F$500,Sales!$C$3:$C$500,$A353,Sales!$B$3:$B$500,"&lt;="&amp;DATE($B353-1,12,31))&gt;0,0,SUMIFS('Asset Value'!$I$4:$I$500,'Asset Value'!$C$4:$C$500,$A353,'Asset Value'!$B$4:$B$500,$B353-1)/1000)</f>
        <v>32240.9887728974</v>
      </c>
      <c r="E353" s="9" t="n">
        <f aca="false">IF(SUMIFS(Sales!$F$3:$F$500,Sales!$C$3:$C$500,$A353,Sales!$B$3:$B$500,"&gt;="&amp;DATE($B353,1,1),Sales!$B$3:$B$500,"&lt;="&amp;DATE($B353,12,31))&gt;0,SUMIFS(Sales!$F$3:$F$500,Sales!$C$3:$C$500,$A353,Sales!$B$3:$B$500,"&gt;="&amp;DATE($B353,1,1),Sales!$B$3:$B$500,"&lt;="&amp;DATE($B353,12,31))/1000,SUMIFS('Asset Value'!$I$4:$I$500,'Asset Value'!$C$4:$C$500,$A353,'Asset Value'!$B$4:$B$500,$B353)/1000)</f>
        <v>36724.4489418804</v>
      </c>
      <c r="F353" s="9" t="n">
        <f aca="false">SUMIFS(Rent!$G$3:$G$500,Rent!$D$3:$D$500,$A353,Rent!$C$3:$C$500,$B353)/1000</f>
        <v>839.026473099915</v>
      </c>
      <c r="G353" s="9" t="n">
        <f aca="false">SUMIFS(Costs!$F$3:$F$500,Costs!$C$3:$C$500,$A353,Costs!$B$3:$B$500,"&gt;="&amp;DATE($B353,1,1),Costs!$B$3:$B$500,"&lt;="&amp;DATE($B353,12,31))/1000</f>
        <v>0</v>
      </c>
      <c r="H353" s="9" t="n">
        <f aca="false">SUMIFS('Partial Sales'!$F$3:$F$500,'Partial Sales'!$C$3:$C$500,$A353,'Partial Sales'!$B$3:$B$500,"&gt;="&amp;DATE($B353,1,1),'Partial Sales'!$B$3:$B$500,"&lt;="&amp;DATE($B353,12,31))/1000</f>
        <v>0</v>
      </c>
      <c r="I353" s="9" t="n">
        <f aca="false">SUMIFS('Partial Purchases'!$F$3:$F$500,'Partial Purchases'!$C$3:$C$500,$A353,'Partial Purchases'!$B$3:$B$500,"&gt;="&amp;DATE($B353,1,1),'Partial Purchases'!$B$3:$B$500,"&lt;="&amp;DATE($B353,12,31))/1000</f>
        <v>0</v>
      </c>
      <c r="J353" s="9" t="n">
        <f aca="false">C353*(D353+0.5*(G353-H353+I353-F353))</f>
        <v>31821.4755363474</v>
      </c>
      <c r="K353" s="9" t="n">
        <f aca="false">C353*(E353-D353+H353-G353-I353)</f>
        <v>4483.46016898305</v>
      </c>
      <c r="L353" s="13" t="n">
        <f aca="false">IF(J353=0,"",C353*F353/J353)</f>
        <v>0.026366674045066</v>
      </c>
      <c r="M353" s="13" t="n">
        <f aca="false">IF(J353=0,"",K353/J353)</f>
        <v>0.140894163247141</v>
      </c>
      <c r="N353" s="13" t="n">
        <f aca="false">IF(J353=0,"",L353+M353)</f>
        <v>0.167260837292207</v>
      </c>
    </row>
    <row r="354" customFormat="false" ht="15" hidden="false" customHeight="false" outlineLevel="0" collapsed="false">
      <c r="A354" s="8" t="s">
        <v>32</v>
      </c>
      <c r="B354" s="48" t="n">
        <v>2014</v>
      </c>
      <c r="C354" s="10" t="n">
        <f aca="false">IF(D354&gt;0,1,0)</f>
        <v>1</v>
      </c>
      <c r="D354" s="9" t="n">
        <f aca="false">IF(SUMIFS(Sales!$F$3:$F$500,Sales!$C$3:$C$500,$A354,Sales!$B$3:$B$500,"&lt;="&amp;DATE($B354-1,12,31))&gt;0,0,SUMIFS('Asset Value'!$I$4:$I$500,'Asset Value'!$C$4:$C$500,$A354,'Asset Value'!$B$4:$B$500,$B354-1)/1000)</f>
        <v>36724.4489418804</v>
      </c>
      <c r="E354" s="9" t="n">
        <f aca="false">IF(SUMIFS(Sales!$F$3:$F$500,Sales!$C$3:$C$500,$A354,Sales!$B$3:$B$500,"&gt;="&amp;DATE($B354,1,1),Sales!$B$3:$B$500,"&lt;="&amp;DATE($B354,12,31))&gt;0,SUMIFS(Sales!$F$3:$F$500,Sales!$C$3:$C$500,$A354,Sales!$B$3:$B$500,"&gt;="&amp;DATE($B354,1,1),Sales!$B$3:$B$500,"&lt;="&amp;DATE($B354,12,31))/1000,SUMIFS('Asset Value'!$I$4:$I$500,'Asset Value'!$C$4:$C$500,$A354,'Asset Value'!$B$4:$B$500,$B354)/1000)</f>
        <v>38493.4709722958</v>
      </c>
      <c r="F354" s="9" t="n">
        <f aca="false">SUMIFS(Rent!$G$3:$G$500,Rent!$D$3:$D$500,$A354,Rent!$C$3:$C$500,$B354)/1000</f>
        <v>1012.2006326254</v>
      </c>
      <c r="G354" s="9" t="n">
        <f aca="false">SUMIFS(Costs!$F$3:$F$500,Costs!$C$3:$C$500,$A354,Costs!$B$3:$B$500,"&gt;="&amp;DATE($B354,1,1),Costs!$B$3:$B$500,"&lt;="&amp;DATE($B354,12,31))/1000</f>
        <v>0</v>
      </c>
      <c r="H354" s="9" t="n">
        <f aca="false">SUMIFS('Partial Sales'!$F$3:$F$500,'Partial Sales'!$C$3:$C$500,$A354,'Partial Sales'!$B$3:$B$500,"&gt;="&amp;DATE($B354,1,1),'Partial Sales'!$B$3:$B$500,"&lt;="&amp;DATE($B354,12,31))/1000</f>
        <v>0</v>
      </c>
      <c r="I354" s="9" t="n">
        <f aca="false">SUMIFS('Partial Purchases'!$F$3:$F$500,'Partial Purchases'!$C$3:$C$500,$A354,'Partial Purchases'!$B$3:$B$500,"&gt;="&amp;DATE($B354,1,1),'Partial Purchases'!$B$3:$B$500,"&lt;="&amp;DATE($B354,12,31))/1000</f>
        <v>0</v>
      </c>
      <c r="J354" s="9" t="n">
        <f aca="false">C354*(D354+0.5*(G354-H354+I354-F354))</f>
        <v>36218.3486255677</v>
      </c>
      <c r="K354" s="9" t="n">
        <f aca="false">C354*(E354-D354+H354-G354-I354)</f>
        <v>1769.02203041533</v>
      </c>
      <c r="L354" s="13" t="n">
        <f aca="false">IF(J354=0,"",C354*F354/J354)</f>
        <v>0.0279471779094547</v>
      </c>
      <c r="M354" s="13" t="n">
        <f aca="false">IF(J354=0,"",K354/J354)</f>
        <v>0.0488432548016978</v>
      </c>
      <c r="N354" s="13" t="n">
        <f aca="false">IF(J354=0,"",L354+M354)</f>
        <v>0.0767904327111525</v>
      </c>
    </row>
    <row r="355" customFormat="false" ht="15" hidden="false" customHeight="false" outlineLevel="0" collapsed="false">
      <c r="A355" s="49" t="s">
        <v>32</v>
      </c>
      <c r="B355" s="50" t="n">
        <v>2015</v>
      </c>
      <c r="C355" s="51" t="n">
        <f aca="false">IF(D355&gt;0,1,0)</f>
        <v>1</v>
      </c>
      <c r="D355" s="52" t="n">
        <f aca="false">IF(SUMIFS(Sales!$F$3:$F$500,Sales!$C$3:$C$500,$A355,Sales!$B$3:$B$500,"&lt;="&amp;DATE($B355-1,12,31))&gt;0,0,SUMIFS('Asset Value'!$I$4:$I$500,'Asset Value'!$C$4:$C$500,$A355,'Asset Value'!$B$4:$B$500,$B355-1)/1000)</f>
        <v>38493.4709722958</v>
      </c>
      <c r="E355" s="52" t="n">
        <f aca="false">IF(SUMIFS(Sales!$F$3:$F$500,Sales!$C$3:$C$500,$A355,Sales!$B$3:$B$500,"&gt;="&amp;DATE($B355,1,1),Sales!$B$3:$B$500,"&lt;="&amp;DATE($B355,12,31))&gt;0,SUMIFS(Sales!$F$3:$F$500,Sales!$C$3:$C$500,$A355,Sales!$B$3:$B$500,"&gt;="&amp;DATE($B355,1,1),Sales!$B$3:$B$500,"&lt;="&amp;DATE($B355,12,31))/1000,SUMIFS('Asset Value'!$I$4:$I$500,'Asset Value'!$C$4:$C$500,$A355,'Asset Value'!$B$4:$B$500,$B355)/1000)</f>
        <v>27509.2827252903</v>
      </c>
      <c r="F355" s="52" t="n">
        <f aca="false">SUMIFS(Rent!$G$3:$G$500,Rent!$D$3:$D$500,$A355,Rent!$C$3:$C$500,$B355)/1000</f>
        <v>0</v>
      </c>
      <c r="G355" s="52" t="n">
        <f aca="false">SUMIFS(Costs!$F$3:$F$500,Costs!$C$3:$C$500,$A355,Costs!$B$3:$B$500,"&gt;="&amp;DATE($B355,1,1),Costs!$B$3:$B$500,"&lt;="&amp;DATE($B355,12,31))/1000</f>
        <v>0</v>
      </c>
      <c r="H355" s="52" t="n">
        <f aca="false">SUMIFS('Partial Sales'!$F$3:$F$500,'Partial Sales'!$C$3:$C$500,$A355,'Partial Sales'!$B$3:$B$500,"&gt;="&amp;DATE($B355,1,1),'Partial Sales'!$B$3:$B$500,"&lt;="&amp;DATE($B355,12,31))/1000</f>
        <v>0</v>
      </c>
      <c r="I355" s="52" t="n">
        <f aca="false">SUMIFS('Partial Purchases'!$F$3:$F$500,'Partial Purchases'!$C$3:$C$500,$A355,'Partial Purchases'!$B$3:$B$500,"&gt;="&amp;DATE($B355,1,1),'Partial Purchases'!$B$3:$B$500,"&lt;="&amp;DATE($B355,12,31))/1000</f>
        <v>0</v>
      </c>
      <c r="J355" s="52" t="n">
        <f aca="false">C355*(D355+0.5*(G355-H355+I355-F355))</f>
        <v>38493.4709722958</v>
      </c>
      <c r="K355" s="52" t="n">
        <f aca="false">C355*(E355-D355+H355-G355-I355)</f>
        <v>-10984.1882470055</v>
      </c>
      <c r="L355" s="46" t="n">
        <f aca="false">IF(J355=0,"",C355*F355/J355)</f>
        <v>0</v>
      </c>
      <c r="M355" s="46" t="n">
        <f aca="false">IF(J355=0,"",K355/J355)</f>
        <v>-0.2853519822858</v>
      </c>
      <c r="N355" s="46" t="n">
        <f aca="false">IF(J355=0,"",L355+M355)</f>
        <v>-0.2853519822858</v>
      </c>
    </row>
    <row r="356" customFormat="false" ht="15" hidden="false" customHeight="false" outlineLevel="0" collapsed="false">
      <c r="A356" s="8" t="s">
        <v>33</v>
      </c>
      <c r="B356" s="48" t="n">
        <v>2008</v>
      </c>
      <c r="C356" s="10" t="n">
        <f aca="false">IF(D356&gt;0,1,0)</f>
        <v>0</v>
      </c>
      <c r="D356" s="9" t="n">
        <f aca="false">IF(SUMIFS(Sales!$F$3:$F$500,Sales!$C$3:$C$500,$A356,Sales!$B$3:$B$500,"&lt;="&amp;DATE($B356-1,12,31))&gt;0,0,SUMIFS('Asset Value'!$I$4:$I$500,'Asset Value'!$C$4:$C$500,$A356,'Asset Value'!$B$4:$B$500,$B356-1)/1000)</f>
        <v>0</v>
      </c>
      <c r="E356" s="9" t="n">
        <f aca="false">IF(SUMIFS(Sales!$F$3:$F$500,Sales!$C$3:$C$500,$A356,Sales!$B$3:$B$500,"&gt;="&amp;DATE($B356,1,1),Sales!$B$3:$B$500,"&lt;="&amp;DATE($B356,12,31))&gt;0,SUMIFS(Sales!$F$3:$F$500,Sales!$C$3:$C$500,$A356,Sales!$B$3:$B$500,"&gt;="&amp;DATE($B356,1,1),Sales!$B$3:$B$500,"&lt;="&amp;DATE($B356,12,31))/1000,SUMIFS('Asset Value'!$I$4:$I$500,'Asset Value'!$C$4:$C$500,$A356,'Asset Value'!$B$4:$B$500,$B356)/1000)</f>
        <v>12167.9316888046</v>
      </c>
      <c r="F356" s="9" t="n">
        <f aca="false">SUMIFS(Rent!$G$3:$G$500,Rent!$D$3:$D$500,$A356,Rent!$C$3:$C$500,$B356)/1000</f>
        <v>463.830151528123</v>
      </c>
      <c r="G356" s="9" t="n">
        <f aca="false">SUMIFS(Costs!$F$3:$F$500,Costs!$C$3:$C$500,$A356,Costs!$B$3:$B$500,"&gt;="&amp;DATE($B356,1,1),Costs!$B$3:$B$500,"&lt;="&amp;DATE($B356,12,31))/1000</f>
        <v>0</v>
      </c>
      <c r="H356" s="9" t="n">
        <f aca="false">SUMIFS('Partial Sales'!$F$3:$F$500,'Partial Sales'!$C$3:$C$500,$A356,'Partial Sales'!$B$3:$B$500,"&gt;="&amp;DATE($B356,1,1),'Partial Sales'!$B$3:$B$500,"&lt;="&amp;DATE($B356,12,31))/1000</f>
        <v>0</v>
      </c>
      <c r="I356" s="9" t="n">
        <f aca="false">SUMIFS('Partial Purchases'!$F$3:$F$500,'Partial Purchases'!$C$3:$C$500,$A356,'Partial Purchases'!$B$3:$B$500,"&gt;="&amp;DATE($B356,1,1),'Partial Purchases'!$B$3:$B$500,"&lt;="&amp;DATE($B356,12,31))/1000</f>
        <v>0</v>
      </c>
      <c r="J356" s="9" t="n">
        <f aca="false">C356*(D356+0.5*(G356-H356+I356-F356))</f>
        <v>-0</v>
      </c>
      <c r="K356" s="9" t="n">
        <f aca="false">C356*(E356-D356+H356-G356-I356)</f>
        <v>0</v>
      </c>
      <c r="L356" s="13" t="str">
        <f aca="false">IF(J356=0,"",C356*F356/J356)</f>
        <v/>
      </c>
      <c r="M356" s="13" t="str">
        <f aca="false">IF(J356=0,"",K356/J356)</f>
        <v/>
      </c>
      <c r="N356" s="13" t="str">
        <f aca="false">IF(J356=0,"",L356+M356)</f>
        <v/>
      </c>
    </row>
    <row r="357" customFormat="false" ht="15" hidden="false" customHeight="false" outlineLevel="0" collapsed="false">
      <c r="A357" s="8" t="s">
        <v>33</v>
      </c>
      <c r="B357" s="48" t="n">
        <v>2009</v>
      </c>
      <c r="C357" s="10" t="n">
        <f aca="false">IF(D357&gt;0,1,0)</f>
        <v>1</v>
      </c>
      <c r="D357" s="9" t="n">
        <f aca="false">IF(SUMIFS(Sales!$F$3:$F$500,Sales!$C$3:$C$500,$A357,Sales!$B$3:$B$500,"&lt;="&amp;DATE($B357-1,12,31))&gt;0,0,SUMIFS('Asset Value'!$I$4:$I$500,'Asset Value'!$C$4:$C$500,$A357,'Asset Value'!$B$4:$B$500,$B357-1)/1000)</f>
        <v>12167.9316888046</v>
      </c>
      <c r="E357" s="9" t="n">
        <f aca="false">IF(SUMIFS(Sales!$F$3:$F$500,Sales!$C$3:$C$500,$A357,Sales!$B$3:$B$500,"&gt;="&amp;DATE($B357,1,1),Sales!$B$3:$B$500,"&lt;="&amp;DATE($B357,12,31))&gt;0,SUMIFS(Sales!$F$3:$F$500,Sales!$C$3:$C$500,$A357,Sales!$B$3:$B$500,"&gt;="&amp;DATE($B357,1,1),Sales!$B$3:$B$500,"&lt;="&amp;DATE($B357,12,31))/1000,SUMIFS('Asset Value'!$I$4:$I$500,'Asset Value'!$C$4:$C$500,$A357,'Asset Value'!$B$4:$B$500,$B357)/1000)</f>
        <v>12544.6960667461</v>
      </c>
      <c r="F357" s="9" t="n">
        <f aca="false">SUMIFS(Rent!$G$3:$G$500,Rent!$D$3:$D$500,$A357,Rent!$C$3:$C$500,$B357)/1000</f>
        <v>544.788554355321</v>
      </c>
      <c r="G357" s="9" t="n">
        <f aca="false">SUMIFS(Costs!$F$3:$F$500,Costs!$C$3:$C$500,$A357,Costs!$B$3:$B$500,"&gt;="&amp;DATE($B357,1,1),Costs!$B$3:$B$500,"&lt;="&amp;DATE($B357,12,31))/1000</f>
        <v>0</v>
      </c>
      <c r="H357" s="9" t="n">
        <f aca="false">SUMIFS('Partial Sales'!$F$3:$F$500,'Partial Sales'!$C$3:$C$500,$A357,'Partial Sales'!$B$3:$B$500,"&gt;="&amp;DATE($B357,1,1),'Partial Sales'!$B$3:$B$500,"&lt;="&amp;DATE($B357,12,31))/1000</f>
        <v>0</v>
      </c>
      <c r="I357" s="9" t="n">
        <f aca="false">SUMIFS('Partial Purchases'!$F$3:$F$500,'Partial Purchases'!$C$3:$C$500,$A357,'Partial Purchases'!$B$3:$B$500,"&gt;="&amp;DATE($B357,1,1),'Partial Purchases'!$B$3:$B$500,"&lt;="&amp;DATE($B357,12,31))/1000</f>
        <v>0</v>
      </c>
      <c r="J357" s="9" t="n">
        <f aca="false">C357*(D357+0.5*(G357-H357+I357-F357))</f>
        <v>11895.5374116269</v>
      </c>
      <c r="K357" s="9" t="n">
        <f aca="false">C357*(E357-D357+H357-G357-I357)</f>
        <v>376.76437794157</v>
      </c>
      <c r="L357" s="13" t="n">
        <f aca="false">IF(J357=0,"",C357*F357/J357)</f>
        <v>0.045797725273247</v>
      </c>
      <c r="M357" s="13" t="n">
        <f aca="false">IF(J357=0,"",K357/J357)</f>
        <v>0.0316727496122466</v>
      </c>
      <c r="N357" s="13" t="n">
        <f aca="false">IF(J357=0,"",L357+M357)</f>
        <v>0.0774704748854936</v>
      </c>
    </row>
    <row r="358" customFormat="false" ht="15" hidden="false" customHeight="false" outlineLevel="0" collapsed="false">
      <c r="A358" s="8" t="s">
        <v>33</v>
      </c>
      <c r="B358" s="48" t="n">
        <v>2010</v>
      </c>
      <c r="C358" s="10" t="n">
        <f aca="false">IF(D358&gt;0,1,0)</f>
        <v>1</v>
      </c>
      <c r="D358" s="9" t="n">
        <f aca="false">IF(SUMIFS(Sales!$F$3:$F$500,Sales!$C$3:$C$500,$A358,Sales!$B$3:$B$500,"&lt;="&amp;DATE($B358-1,12,31))&gt;0,0,SUMIFS('Asset Value'!$I$4:$I$500,'Asset Value'!$C$4:$C$500,$A358,'Asset Value'!$B$4:$B$500,$B358-1)/1000)</f>
        <v>12544.6960667461</v>
      </c>
      <c r="E358" s="9" t="n">
        <f aca="false">IF(SUMIFS(Sales!$F$3:$F$500,Sales!$C$3:$C$500,$A358,Sales!$B$3:$B$500,"&gt;="&amp;DATE($B358,1,1),Sales!$B$3:$B$500,"&lt;="&amp;DATE($B358,12,31))&gt;0,SUMIFS(Sales!$F$3:$F$500,Sales!$C$3:$C$500,$A358,Sales!$B$3:$B$500,"&gt;="&amp;DATE($B358,1,1),Sales!$B$3:$B$500,"&lt;="&amp;DATE($B358,12,31))/1000,SUMIFS('Asset Value'!$I$4:$I$500,'Asset Value'!$C$4:$C$500,$A358,'Asset Value'!$B$4:$B$500,$B358)/1000)</f>
        <v>15871.9027582983</v>
      </c>
      <c r="F358" s="9" t="n">
        <f aca="false">SUMIFS(Rent!$G$3:$G$500,Rent!$D$3:$D$500,$A358,Rent!$C$3:$C$500,$B358)/1000</f>
        <v>0</v>
      </c>
      <c r="G358" s="9" t="n">
        <f aca="false">SUMIFS(Costs!$F$3:$F$500,Costs!$C$3:$C$500,$A358,Costs!$B$3:$B$500,"&gt;="&amp;DATE($B358,1,1),Costs!$B$3:$B$500,"&lt;="&amp;DATE($B358,12,31))/1000</f>
        <v>0</v>
      </c>
      <c r="H358" s="9" t="n">
        <f aca="false">SUMIFS('Partial Sales'!$F$3:$F$500,'Partial Sales'!$C$3:$C$500,$A358,'Partial Sales'!$B$3:$B$500,"&gt;="&amp;DATE($B358,1,1),'Partial Sales'!$B$3:$B$500,"&lt;="&amp;DATE($B358,12,31))/1000</f>
        <v>0</v>
      </c>
      <c r="I358" s="9" t="n">
        <f aca="false">SUMIFS('Partial Purchases'!$F$3:$F$500,'Partial Purchases'!$C$3:$C$500,$A358,'Partial Purchases'!$B$3:$B$500,"&gt;="&amp;DATE($B358,1,1),'Partial Purchases'!$B$3:$B$500,"&lt;="&amp;DATE($B358,12,31))/1000</f>
        <v>0</v>
      </c>
      <c r="J358" s="9" t="n">
        <f aca="false">C358*(D358+0.5*(G358-H358+I358-F358))</f>
        <v>12544.6960667461</v>
      </c>
      <c r="K358" s="9" t="n">
        <f aca="false">C358*(E358-D358+H358-G358-I358)</f>
        <v>3327.20669155214</v>
      </c>
      <c r="L358" s="13" t="n">
        <f aca="false">IF(J358=0,"",C358*F358/J358)</f>
        <v>0</v>
      </c>
      <c r="M358" s="13" t="n">
        <f aca="false">IF(J358=0,"",K358/J358)</f>
        <v>0.265228162870523</v>
      </c>
      <c r="N358" s="13" t="n">
        <f aca="false">IF(J358=0,"",L358+M358)</f>
        <v>0.265228162870523</v>
      </c>
    </row>
    <row r="359" customFormat="false" ht="15" hidden="false" customHeight="false" outlineLevel="0" collapsed="false">
      <c r="A359" s="8" t="s">
        <v>33</v>
      </c>
      <c r="B359" s="48" t="n">
        <v>2011</v>
      </c>
      <c r="C359" s="10" t="n">
        <f aca="false">IF(D359&gt;0,1,0)</f>
        <v>0</v>
      </c>
      <c r="D359" s="9" t="n">
        <f aca="false">IF(SUMIFS(Sales!$F$3:$F$500,Sales!$C$3:$C$500,$A359,Sales!$B$3:$B$500,"&lt;="&amp;DATE($B359-1,12,31))&gt;0,0,SUMIFS('Asset Value'!$I$4:$I$500,'Asset Value'!$C$4:$C$500,$A359,'Asset Value'!$B$4:$B$500,$B359-1)/1000)</f>
        <v>0</v>
      </c>
      <c r="E359" s="9" t="n">
        <f aca="false">IF(SUMIFS(Sales!$F$3:$F$500,Sales!$C$3:$C$500,$A359,Sales!$B$3:$B$500,"&gt;="&amp;DATE($B359,1,1),Sales!$B$3:$B$500,"&lt;="&amp;DATE($B359,12,31))&gt;0,SUMIFS(Sales!$F$3:$F$500,Sales!$C$3:$C$500,$A359,Sales!$B$3:$B$500,"&gt;="&amp;DATE($B359,1,1),Sales!$B$3:$B$500,"&lt;="&amp;DATE($B359,12,31))/1000,SUMIFS('Asset Value'!$I$4:$I$500,'Asset Value'!$C$4:$C$500,$A359,'Asset Value'!$B$4:$B$500,$B359)/1000)</f>
        <v>0</v>
      </c>
      <c r="F359" s="9" t="n">
        <f aca="false">SUMIFS(Rent!$G$3:$G$500,Rent!$D$3:$D$500,$A359,Rent!$C$3:$C$500,$B359)/1000</f>
        <v>0</v>
      </c>
      <c r="G359" s="9" t="n">
        <f aca="false">SUMIFS(Costs!$F$3:$F$500,Costs!$C$3:$C$500,$A359,Costs!$B$3:$B$500,"&gt;="&amp;DATE($B359,1,1),Costs!$B$3:$B$500,"&lt;="&amp;DATE($B359,12,31))/1000</f>
        <v>0</v>
      </c>
      <c r="H359" s="9" t="n">
        <f aca="false">SUMIFS('Partial Sales'!$F$3:$F$500,'Partial Sales'!$C$3:$C$500,$A359,'Partial Sales'!$B$3:$B$500,"&gt;="&amp;DATE($B359,1,1),'Partial Sales'!$B$3:$B$500,"&lt;="&amp;DATE($B359,12,31))/1000</f>
        <v>0</v>
      </c>
      <c r="I359" s="9" t="n">
        <f aca="false">SUMIFS('Partial Purchases'!$F$3:$F$500,'Partial Purchases'!$C$3:$C$500,$A359,'Partial Purchases'!$B$3:$B$500,"&gt;="&amp;DATE($B359,1,1),'Partial Purchases'!$B$3:$B$500,"&lt;="&amp;DATE($B359,12,31))/1000</f>
        <v>0</v>
      </c>
      <c r="J359" s="9" t="n">
        <f aca="false">C359*(D359+0.5*(G359-H359+I359-F359))</f>
        <v>0</v>
      </c>
      <c r="K359" s="9" t="n">
        <f aca="false">C359*(E359-D359+H359-G359-I359)</f>
        <v>0</v>
      </c>
      <c r="L359" s="13" t="str">
        <f aca="false">IF(J359=0,"",C359*F359/J359)</f>
        <v/>
      </c>
      <c r="M359" s="13" t="str">
        <f aca="false">IF(J359=0,"",K359/J359)</f>
        <v/>
      </c>
      <c r="N359" s="13" t="str">
        <f aca="false">IF(J359=0,"",L359+M359)</f>
        <v/>
      </c>
    </row>
    <row r="360" customFormat="false" ht="15" hidden="false" customHeight="false" outlineLevel="0" collapsed="false">
      <c r="A360" s="8" t="s">
        <v>33</v>
      </c>
      <c r="B360" s="48" t="n">
        <v>2012</v>
      </c>
      <c r="C360" s="10" t="n">
        <f aca="false">IF(D360&gt;0,1,0)</f>
        <v>0</v>
      </c>
      <c r="D360" s="9" t="n">
        <f aca="false">IF(SUMIFS(Sales!$F$3:$F$500,Sales!$C$3:$C$500,$A360,Sales!$B$3:$B$500,"&lt;="&amp;DATE($B360-1,12,31))&gt;0,0,SUMIFS('Asset Value'!$I$4:$I$500,'Asset Value'!$C$4:$C$500,$A360,'Asset Value'!$B$4:$B$500,$B360-1)/1000)</f>
        <v>0</v>
      </c>
      <c r="E360" s="9" t="n">
        <f aca="false">IF(SUMIFS(Sales!$F$3:$F$500,Sales!$C$3:$C$500,$A360,Sales!$B$3:$B$500,"&gt;="&amp;DATE($B360,1,1),Sales!$B$3:$B$500,"&lt;="&amp;DATE($B360,12,31))&gt;0,SUMIFS(Sales!$F$3:$F$500,Sales!$C$3:$C$500,$A360,Sales!$B$3:$B$500,"&gt;="&amp;DATE($B360,1,1),Sales!$B$3:$B$500,"&lt;="&amp;DATE($B360,12,31))/1000,SUMIFS('Asset Value'!$I$4:$I$500,'Asset Value'!$C$4:$C$500,$A360,'Asset Value'!$B$4:$B$500,$B360)/1000)</f>
        <v>0</v>
      </c>
      <c r="F360" s="9" t="n">
        <f aca="false">SUMIFS(Rent!$G$3:$G$500,Rent!$D$3:$D$500,$A360,Rent!$C$3:$C$500,$B360)/1000</f>
        <v>0</v>
      </c>
      <c r="G360" s="9" t="n">
        <f aca="false">SUMIFS(Costs!$F$3:$F$500,Costs!$C$3:$C$500,$A360,Costs!$B$3:$B$500,"&gt;="&amp;DATE($B360,1,1),Costs!$B$3:$B$500,"&lt;="&amp;DATE($B360,12,31))/1000</f>
        <v>0</v>
      </c>
      <c r="H360" s="9" t="n">
        <f aca="false">SUMIFS('Partial Sales'!$F$3:$F$500,'Partial Sales'!$C$3:$C$500,$A360,'Partial Sales'!$B$3:$B$500,"&gt;="&amp;DATE($B360,1,1),'Partial Sales'!$B$3:$B$500,"&lt;="&amp;DATE($B360,12,31))/1000</f>
        <v>0</v>
      </c>
      <c r="I360" s="9" t="n">
        <f aca="false">SUMIFS('Partial Purchases'!$F$3:$F$500,'Partial Purchases'!$C$3:$C$500,$A360,'Partial Purchases'!$B$3:$B$500,"&gt;="&amp;DATE($B360,1,1),'Partial Purchases'!$B$3:$B$500,"&lt;="&amp;DATE($B360,12,31))/1000</f>
        <v>0</v>
      </c>
      <c r="J360" s="9" t="n">
        <f aca="false">C360*(D360+0.5*(G360-H360+I360-F360))</f>
        <v>0</v>
      </c>
      <c r="K360" s="9" t="n">
        <f aca="false">C360*(E360-D360+H360-G360-I360)</f>
        <v>0</v>
      </c>
      <c r="L360" s="13" t="str">
        <f aca="false">IF(J360=0,"",C360*F360/J360)</f>
        <v/>
      </c>
      <c r="M360" s="13" t="str">
        <f aca="false">IF(J360=0,"",K360/J360)</f>
        <v/>
      </c>
      <c r="N360" s="13" t="str">
        <f aca="false">IF(J360=0,"",L360+M360)</f>
        <v/>
      </c>
    </row>
    <row r="361" customFormat="false" ht="15" hidden="false" customHeight="false" outlineLevel="0" collapsed="false">
      <c r="A361" s="8" t="s">
        <v>33</v>
      </c>
      <c r="B361" s="48" t="n">
        <v>2013</v>
      </c>
      <c r="C361" s="10" t="n">
        <f aca="false">IF(D361&gt;0,1,0)</f>
        <v>0</v>
      </c>
      <c r="D361" s="9" t="n">
        <f aca="false">IF(SUMIFS(Sales!$F$3:$F$500,Sales!$C$3:$C$500,$A361,Sales!$B$3:$B$500,"&lt;="&amp;DATE($B361-1,12,31))&gt;0,0,SUMIFS('Asset Value'!$I$4:$I$500,'Asset Value'!$C$4:$C$500,$A361,'Asset Value'!$B$4:$B$500,$B361-1)/1000)</f>
        <v>0</v>
      </c>
      <c r="E361" s="9" t="n">
        <f aca="false">IF(SUMIFS(Sales!$F$3:$F$500,Sales!$C$3:$C$500,$A361,Sales!$B$3:$B$500,"&gt;="&amp;DATE($B361,1,1),Sales!$B$3:$B$500,"&lt;="&amp;DATE($B361,12,31))&gt;0,SUMIFS(Sales!$F$3:$F$500,Sales!$C$3:$C$500,$A361,Sales!$B$3:$B$500,"&gt;="&amp;DATE($B361,1,1),Sales!$B$3:$B$500,"&lt;="&amp;DATE($B361,12,31))/1000,SUMIFS('Asset Value'!$I$4:$I$500,'Asset Value'!$C$4:$C$500,$A361,'Asset Value'!$B$4:$B$500,$B361)/1000)</f>
        <v>0</v>
      </c>
      <c r="F361" s="9" t="n">
        <f aca="false">SUMIFS(Rent!$G$3:$G$500,Rent!$D$3:$D$500,$A361,Rent!$C$3:$C$500,$B361)/1000</f>
        <v>0</v>
      </c>
      <c r="G361" s="9" t="n">
        <f aca="false">SUMIFS(Costs!$F$3:$F$500,Costs!$C$3:$C$500,$A361,Costs!$B$3:$B$500,"&gt;="&amp;DATE($B361,1,1),Costs!$B$3:$B$500,"&lt;="&amp;DATE($B361,12,31))/1000</f>
        <v>0</v>
      </c>
      <c r="H361" s="9" t="n">
        <f aca="false">SUMIFS('Partial Sales'!$F$3:$F$500,'Partial Sales'!$C$3:$C$500,$A361,'Partial Sales'!$B$3:$B$500,"&gt;="&amp;DATE($B361,1,1),'Partial Sales'!$B$3:$B$500,"&lt;="&amp;DATE($B361,12,31))/1000</f>
        <v>0</v>
      </c>
      <c r="I361" s="9" t="n">
        <f aca="false">SUMIFS('Partial Purchases'!$F$3:$F$500,'Partial Purchases'!$C$3:$C$500,$A361,'Partial Purchases'!$B$3:$B$500,"&gt;="&amp;DATE($B361,1,1),'Partial Purchases'!$B$3:$B$500,"&lt;="&amp;DATE($B361,12,31))/1000</f>
        <v>0</v>
      </c>
      <c r="J361" s="9" t="n">
        <f aca="false">C361*(D361+0.5*(G361-H361+I361-F361))</f>
        <v>0</v>
      </c>
      <c r="K361" s="9" t="n">
        <f aca="false">C361*(E361-D361+H361-G361-I361)</f>
        <v>0</v>
      </c>
      <c r="L361" s="13" t="str">
        <f aca="false">IF(J361=0,"",C361*F361/J361)</f>
        <v/>
      </c>
      <c r="M361" s="13" t="str">
        <f aca="false">IF(J361=0,"",K361/J361)</f>
        <v/>
      </c>
      <c r="N361" s="13" t="str">
        <f aca="false">IF(J361=0,"",L361+M361)</f>
        <v/>
      </c>
    </row>
    <row r="362" customFormat="false" ht="15" hidden="false" customHeight="false" outlineLevel="0" collapsed="false">
      <c r="A362" s="8" t="s">
        <v>33</v>
      </c>
      <c r="B362" s="48" t="n">
        <v>2014</v>
      </c>
      <c r="C362" s="10" t="n">
        <f aca="false">IF(D362&gt;0,1,0)</f>
        <v>0</v>
      </c>
      <c r="D362" s="9" t="n">
        <f aca="false">IF(SUMIFS(Sales!$F$3:$F$500,Sales!$C$3:$C$500,$A362,Sales!$B$3:$B$500,"&lt;="&amp;DATE($B362-1,12,31))&gt;0,0,SUMIFS('Asset Value'!$I$4:$I$500,'Asset Value'!$C$4:$C$500,$A362,'Asset Value'!$B$4:$B$500,$B362-1)/1000)</f>
        <v>0</v>
      </c>
      <c r="E362" s="9" t="n">
        <f aca="false">IF(SUMIFS(Sales!$F$3:$F$500,Sales!$C$3:$C$500,$A362,Sales!$B$3:$B$500,"&gt;="&amp;DATE($B362,1,1),Sales!$B$3:$B$500,"&lt;="&amp;DATE($B362,12,31))&gt;0,SUMIFS(Sales!$F$3:$F$500,Sales!$C$3:$C$500,$A362,Sales!$B$3:$B$500,"&gt;="&amp;DATE($B362,1,1),Sales!$B$3:$B$500,"&lt;="&amp;DATE($B362,12,31))/1000,SUMIFS('Asset Value'!$I$4:$I$500,'Asset Value'!$C$4:$C$500,$A362,'Asset Value'!$B$4:$B$500,$B362)/1000)</f>
        <v>0</v>
      </c>
      <c r="F362" s="9" t="n">
        <f aca="false">SUMIFS(Rent!$G$3:$G$500,Rent!$D$3:$D$500,$A362,Rent!$C$3:$C$500,$B362)/1000</f>
        <v>0</v>
      </c>
      <c r="G362" s="9" t="n">
        <f aca="false">SUMIFS(Costs!$F$3:$F$500,Costs!$C$3:$C$500,$A362,Costs!$B$3:$B$500,"&gt;="&amp;DATE($B362,1,1),Costs!$B$3:$B$500,"&lt;="&amp;DATE($B362,12,31))/1000</f>
        <v>0</v>
      </c>
      <c r="H362" s="9" t="n">
        <f aca="false">SUMIFS('Partial Sales'!$F$3:$F$500,'Partial Sales'!$C$3:$C$500,$A362,'Partial Sales'!$B$3:$B$500,"&gt;="&amp;DATE($B362,1,1),'Partial Sales'!$B$3:$B$500,"&lt;="&amp;DATE($B362,12,31))/1000</f>
        <v>0</v>
      </c>
      <c r="I362" s="9" t="n">
        <f aca="false">SUMIFS('Partial Purchases'!$F$3:$F$500,'Partial Purchases'!$C$3:$C$500,$A362,'Partial Purchases'!$B$3:$B$500,"&gt;="&amp;DATE($B362,1,1),'Partial Purchases'!$B$3:$B$500,"&lt;="&amp;DATE($B362,12,31))/1000</f>
        <v>0</v>
      </c>
      <c r="J362" s="9" t="n">
        <f aca="false">C362*(D362+0.5*(G362-H362+I362-F362))</f>
        <v>0</v>
      </c>
      <c r="K362" s="9" t="n">
        <f aca="false">C362*(E362-D362+H362-G362-I362)</f>
        <v>0</v>
      </c>
      <c r="L362" s="13" t="str">
        <f aca="false">IF(J362=0,"",C362*F362/J362)</f>
        <v/>
      </c>
      <c r="M362" s="13" t="str">
        <f aca="false">IF(J362=0,"",K362/J362)</f>
        <v/>
      </c>
      <c r="N362" s="13" t="str">
        <f aca="false">IF(J362=0,"",L362+M362)</f>
        <v/>
      </c>
    </row>
    <row r="363" customFormat="false" ht="15" hidden="false" customHeight="false" outlineLevel="0" collapsed="false">
      <c r="A363" s="49" t="s">
        <v>33</v>
      </c>
      <c r="B363" s="50" t="n">
        <v>2015</v>
      </c>
      <c r="C363" s="51" t="n">
        <f aca="false">IF(D363&gt;0,1,0)</f>
        <v>0</v>
      </c>
      <c r="D363" s="52" t="n">
        <f aca="false">IF(SUMIFS(Sales!$F$3:$F$500,Sales!$C$3:$C$500,$A363,Sales!$B$3:$B$500,"&lt;="&amp;DATE($B363-1,12,31))&gt;0,0,SUMIFS('Asset Value'!$I$4:$I$500,'Asset Value'!$C$4:$C$500,$A363,'Asset Value'!$B$4:$B$500,$B363-1)/1000)</f>
        <v>0</v>
      </c>
      <c r="E363" s="52" t="n">
        <f aca="false">IF(SUMIFS(Sales!$F$3:$F$500,Sales!$C$3:$C$500,$A363,Sales!$B$3:$B$500,"&gt;="&amp;DATE($B363,1,1),Sales!$B$3:$B$500,"&lt;="&amp;DATE($B363,12,31))&gt;0,SUMIFS(Sales!$F$3:$F$500,Sales!$C$3:$C$500,$A363,Sales!$B$3:$B$500,"&gt;="&amp;DATE($B363,1,1),Sales!$B$3:$B$500,"&lt;="&amp;DATE($B363,12,31))/1000,SUMIFS('Asset Value'!$I$4:$I$500,'Asset Value'!$C$4:$C$500,$A363,'Asset Value'!$B$4:$B$500,$B363)/1000)</f>
        <v>0</v>
      </c>
      <c r="F363" s="52" t="n">
        <f aca="false">SUMIFS(Rent!$G$3:$G$500,Rent!$D$3:$D$500,$A363,Rent!$C$3:$C$500,$B363)/1000</f>
        <v>0</v>
      </c>
      <c r="G363" s="52" t="n">
        <f aca="false">SUMIFS(Costs!$F$3:$F$500,Costs!$C$3:$C$500,$A363,Costs!$B$3:$B$500,"&gt;="&amp;DATE($B363,1,1),Costs!$B$3:$B$500,"&lt;="&amp;DATE($B363,12,31))/1000</f>
        <v>0</v>
      </c>
      <c r="H363" s="52" t="n">
        <f aca="false">SUMIFS('Partial Sales'!$F$3:$F$500,'Partial Sales'!$C$3:$C$500,$A363,'Partial Sales'!$B$3:$B$500,"&gt;="&amp;DATE($B363,1,1),'Partial Sales'!$B$3:$B$500,"&lt;="&amp;DATE($B363,12,31))/1000</f>
        <v>0</v>
      </c>
      <c r="I363" s="52" t="n">
        <f aca="false">SUMIFS('Partial Purchases'!$F$3:$F$500,'Partial Purchases'!$C$3:$C$500,$A363,'Partial Purchases'!$B$3:$B$500,"&gt;="&amp;DATE($B363,1,1),'Partial Purchases'!$B$3:$B$500,"&lt;="&amp;DATE($B363,12,31))/1000</f>
        <v>0</v>
      </c>
      <c r="J363" s="52" t="n">
        <f aca="false">C363*(D363+0.5*(G363-H363+I363-F363))</f>
        <v>0</v>
      </c>
      <c r="K363" s="52" t="n">
        <f aca="false">C363*(E363-D363+H363-G363-I363)</f>
        <v>0</v>
      </c>
      <c r="L363" s="46" t="str">
        <f aca="false">IF(J363=0,"",C363*F363/J363)</f>
        <v/>
      </c>
      <c r="M363" s="46" t="str">
        <f aca="false">IF(J363=0,"",K363/J363)</f>
        <v/>
      </c>
      <c r="N363" s="46" t="str">
        <f aca="false">IF(J363=0,"",L363+M363)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2026-10-09T15:19:24Z</dcterms:created>
  <dc:creator>Arromatte Caregnato, Joao</dc:creator>
  <dc:description/>
  <dc:language>en-US</dc:language>
  <cp:lastModifiedBy/>
  <dcterms:modified xsi:type="dcterms:W3CDTF">2026-10-09T21:43:11Z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