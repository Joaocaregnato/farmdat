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érie Temporal" sheetId="1" state="visible" r:id="rId3"/>
    <sheet name="Base longa" sheetId="2" state="visible" r:id="rId4"/>
    <sheet name="Notas" sheetId="3" state="visible" r:id="rId5"/>
  </sheets>
  <definedNames>
    <definedName function="false" hidden="true" localSheetId="1" name="_xlnm._FilterDatabase" vbProcedure="false">'Base longa'!$A$1:$D$72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2012–2014 e 2016 fecham exatamente. 2015 (+460) e 2017 (+20) diferem por leitura de imagem de baixa resolução.</t>
        </r>
      </text>
    </comment>
    <comment ref="E6" authorId="0">
      <text>
        <r>
          <rPr>
            <sz val="10"/>
            <rFont val="Arial"/>
            <family val="2"/>
          </rPr>
          <t xml:space="preserve">Leitura ambígua na imagem (13.617 vs 13.157). Com 13.157 a soma fecha exatamente em 75.303 (total reportado). Conferir no PDF original.</t>
        </r>
      </text>
    </comment>
    <comment ref="G7" authorId="0">
      <text>
        <r>
          <rPr>
            <sz val="10"/>
            <rFont val="Arial"/>
            <family val="2"/>
          </rPr>
          <t xml:space="preserve">Dígitos em negrito borrados na imagem. A soma de 2017 excede o total reportado (94.452) em 20 – algum desses valores pode estar com 1 dígito errado. Conferir no PDF.</t>
        </r>
      </text>
    </comment>
    <comment ref="G8" authorId="0">
      <text>
        <r>
          <rPr>
            <sz val="10"/>
            <rFont val="Arial"/>
            <family val="2"/>
          </rPr>
          <t xml:space="preserve">Dígitos em negrito borrados na imagem. A soma de 2017 excede o total reportado (94.452) em 20 – algum desses valores pode estar com 1 dígito errado. Conferir no PDF.</t>
        </r>
      </text>
    </comment>
    <comment ref="G9" authorId="0">
      <text>
        <r>
          <rPr>
            <sz val="10"/>
            <rFont val="Arial"/>
            <family val="2"/>
          </rPr>
          <t xml:space="preserve">Dígitos em negrito borrados na imagem. A soma de 2017 excede o total reportado (94.452) em 20 – algum desses valores pode estar com 1 dígito errado. Conferir no PDF.</t>
        </r>
      </text>
    </comment>
    <comment ref="G11" authorId="0">
      <text>
        <r>
          <rPr>
            <sz val="10"/>
            <rFont val="Arial"/>
            <family val="2"/>
          </rPr>
          <t xml:space="preserve">Dígitos em negrito borrados na imagem. A soma de 2017 excede o total reportado (94.452) em 20 – algum desses valores pode estar com 1 dígito errado. Conferir no PDF.</t>
        </r>
      </text>
    </comment>
    <comment ref="G12" authorId="0">
      <text>
        <r>
          <rPr>
            <sz val="10"/>
            <rFont val="Arial"/>
            <family val="2"/>
          </rPr>
          <t xml:space="preserve">Dígitos em negrito borrados na imagem. A soma de 2017 excede o total reportado (94.452) em 20 – algum desses valores pode estar com 1 dígito errado. Conferir no PDF.</t>
        </r>
      </text>
    </comment>
    <comment ref="G16" authorId="0">
      <text>
        <r>
          <rPr>
            <sz val="10"/>
            <rFont val="Arial"/>
            <family val="2"/>
          </rPr>
          <t xml:space="preserve">Dígitos em negrito borrados na imagem. A soma de 2017 excede o total reportado (94.452) em 20 – algum desses valores pode estar com 1 dígito errado. Conferir no PDF.</t>
        </r>
      </text>
    </comment>
  </commentList>
</comments>
</file>

<file path=xl/sharedStrings.xml><?xml version="1.0" encoding="utf-8"?>
<sst xmlns="http://schemas.openxmlformats.org/spreadsheetml/2006/main" count="183" uniqueCount="39">
  <si>
    <t xml:space="preserve">Arrendamento anual a pagar por fazenda (R$ mil) – preço anual em 31/dez de cada ano</t>
  </si>
  <si>
    <t xml:space="preserve">Fonte: Notas Explicativas às Demonstrações Financeiras SLC Agrícola – nota 14 (Saldos e transações com partes relacionadas), contratos de arrendamento a pagar. Valores digitados a partir da imagem (azul = entrada).</t>
  </si>
  <si>
    <t xml:space="preserve">Fazenda</t>
  </si>
  <si>
    <t xml:space="preserve">Safra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</si>
  <si>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</si>
  <si>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</si>
  <si>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</si>
  <si>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</si>
  <si>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</si>
  <si>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</si>
  <si>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Fazenda Planalto</t>
  </si>
  <si>
    <t xml:space="preserve">Fazenda Pamplona</t>
  </si>
  <si>
    <t xml:space="preserve">Fazenda Planeste</t>
  </si>
  <si>
    <t xml:space="preserve">Fazenda Panorama</t>
  </si>
  <si>
    <t xml:space="preserve">Fazenda Piratini</t>
  </si>
  <si>
    <t xml:space="preserve">Fazenda Palmares</t>
  </si>
  <si>
    <t xml:space="preserve">Fazenda Paiaguás</t>
  </si>
  <si>
    <t xml:space="preserve">Fazenda Pejuçara</t>
  </si>
  <si>
    <t xml:space="preserve">Fazenda Paineira</t>
  </si>
  <si>
    <t xml:space="preserve">Fazenda Parceiro</t>
  </si>
  <si>
    <t xml:space="preserve">Fazenda Perdizes</t>
  </si>
  <si>
    <t xml:space="preserve">Fazenda Parnaíba</t>
  </si>
  <si>
    <t xml:space="preserve">Fazenda Parnaguá</t>
  </si>
  <si>
    <t xml:space="preserve">Fazenda Planorte</t>
  </si>
  <si>
    <t xml:space="preserve">Total (soma das fazendas)</t>
  </si>
  <si>
    <t xml:space="preserve">Total reportado na nota</t>
  </si>
  <si>
    <t xml:space="preserve">Diferença (soma – reportado)</t>
  </si>
  <si>
    <t xml:space="preserve">Variação % do total reportado a.a.</t>
  </si>
  <si>
    <t xml:space="preserve">Paiaguás + Pejuçara (série comparável)</t>
  </si>
  <si>
    <t xml:space="preserve">Ano (31/dez)</t>
  </si>
  <si>
    <t xml:space="preserve">Arrendamento (R$ mil)</t>
  </si>
  <si>
    <t xml:space="preserve">Notas e premissas</t>
  </si>
  <si>
    <t xml:space="preserve">1) A imagem cobre as notas de 2012 a 2017 (safras 2012/13 a 2017/18). Não há dados de 2021 na imagem; a série começa em 2012 (assumi que '2021' era erro de digitação para 2012).</t>
  </si>
  <si>
    <t xml:space="preserve">2) Valores em R$ mil (notas 'em milhares de Reais'), preço anual do arrendamento em 31/dez de cada ano, referente à safra seguinte.</t>
  </si>
  <si>
    <t xml:space="preserve">3) Fonte dos anos: 2012 = tabela safra 2012/13; 2013 = tabela safra 2013/14 (total 57.285); 2014 = tabela safra 2014/15 (total 65.917); 2015 e 2016 = tabelas safra 2015/16 (total 75.303) e 2016/17 (total 104.237); 2017 = tabela safra 2017/18 (total 94.452). Colunas de comparativo foram usadas para conferência.</t>
  </si>
  <si>
    <t xml:space="preserve">4) Pejuçara: aparece separada em 2012–2013; a partir da tabela de 2014 foi incorporada a Paiaguás (Paiaguás 2013 reapresentado = 9.884 = 8.677 + 1.207). Use a linha 'Paiaguás + Pejuçara' para série comparável.</t>
  </si>
  <si>
    <t xml:space="preserve">5) Paineira: listada em 2012–2014; não aparece nas tabelas de 2015 em diante. '-' nas notas foi digitado como 0; célula vazia = fazenda não listada naquele ano.</t>
  </si>
  <si>
    <t xml:space="preserve">6) 'Fazenda Parnaguá' e 'Fazenda Planorte' foram lidas das imagens (grafia borrada).</t>
  </si>
  <si>
    <t xml:space="preserve">7) A imagem tem baixa resolução. Conciliação com o total reportado: 2012, 2013, 2014 e 2016 fecham exatamente; 2015 difere em +460 (provável Planalto = 13.157 em vez de 13.617) e 2017 difere em +20 (um dígito de algum valor em negrito). Células amarelas = conferir no PDF original.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</si>
</sst>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 arrendamento a pagar (R$ mil)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'Série Temporal'!A21</c:f>
              <c:strCache>
                <c:ptCount val="1"/>
                <c:pt idx="0">
                  <c:v>Total reportado na nota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'Série Temporal'!$B$4:$G$4</c:f>
              <c:strCach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strCache>
            </c:strRef>
          </c:cat>
          <c:val>
            <c:numRef>
              <c:f>'Série Temporal'!$B$21:$G$21</c:f>
              <c:numCache>
                <c:formatCode>#,##0;\(#,##0\);\-</c:formatCode>
                <c:ptCount val="6"/>
                <c:pt idx="0">
                  <c:v>64804</c:v>
                </c:pt>
                <c:pt idx="1">
                  <c:v>57285</c:v>
                </c:pt>
                <c:pt idx="2">
                  <c:v>65917</c:v>
                </c:pt>
                <c:pt idx="3">
                  <c:v>75303</c:v>
                </c:pt>
                <c:pt idx="4">
                  <c:v>104237</c:v>
                </c:pt>
                <c:pt idx="5">
                  <c:v>94452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19008"/>
        <c:axId val="96287077"/>
      </c:lineChart>
      <c:catAx>
        <c:axId val="361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87077"/>
        <c:crosses val="autoZero"/>
        <c:auto val="1"/>
        <c:lblAlgn val="ctr"/>
        <c:lblOffset val="100"/>
        <c:noMultiLvlLbl val="0"/>
      </c:catAx>
      <c:valAx>
        <c:axId val="96287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9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4</xdr:col>
      <xdr:colOff>614160</xdr:colOff>
      <xdr:row>41</xdr:row>
      <xdr:rowOff>21960</xdr:rowOff>
    </xdr:to>
    <xdr:graphicFrame>
      <xdr:nvGraphicFramePr>
        <xdr:cNvPr id="0" name="Chart 1"/>
        <xdr:cNvGraphicFramePr/>
      </xdr:nvGraphicFramePr>
      <xdr:xfrm>
        <a:off x="0" y="495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2012</v>
      </c>
      <c r="C4" s="3" t="n">
        <v>2013</v>
      </c>
      <c r="D4" s="3" t="n">
        <v>2014</v>
      </c>
      <c r="E4" s="3" t="n">
        <v>2015</v>
      </c>
      <c r="F4" s="3" t="n">
        <v>2016</v>
      </c>
      <c r="G4" s="3" t="n">
        <v>2017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n">
        <v>7795</v>
      </c>
      <c r="C6" s="7" t="n">
        <v>7483</v>
      </c>
      <c r="D6" s="7" t="n">
        <v>10660</v>
      </c>
      <c r="E6" s="8" t="n">
        <v>13617</v>
      </c>
      <c r="F6" s="7" t="n">
        <v>12883</v>
      </c>
      <c r="G6" s="7" t="n">
        <v>13426</v>
      </c>
    </row>
    <row r="7" customFormat="false" ht="15" hidden="false" customHeight="false" outlineLevel="0" collapsed="false">
      <c r="A7" s="6" t="s">
        <v>11</v>
      </c>
      <c r="B7" s="7" t="n">
        <v>6522</v>
      </c>
      <c r="C7" s="7" t="n">
        <v>5902</v>
      </c>
      <c r="D7" s="7" t="n">
        <v>6567</v>
      </c>
      <c r="E7" s="7" t="n">
        <v>8312</v>
      </c>
      <c r="F7" s="7" t="n">
        <v>7880</v>
      </c>
      <c r="G7" s="8" t="n">
        <v>8082</v>
      </c>
    </row>
    <row r="8" customFormat="false" ht="15" hidden="false" customHeight="false" outlineLevel="0" collapsed="false">
      <c r="A8" s="6" t="s">
        <v>12</v>
      </c>
      <c r="B8" s="7" t="n">
        <v>9821</v>
      </c>
      <c r="C8" s="7" t="n">
        <v>7371</v>
      </c>
      <c r="D8" s="7" t="n">
        <v>8241</v>
      </c>
      <c r="E8" s="7" t="n">
        <v>8358</v>
      </c>
      <c r="F8" s="7" t="n">
        <v>8831</v>
      </c>
      <c r="G8" s="8" t="n">
        <v>9594</v>
      </c>
    </row>
    <row r="9" customFormat="false" ht="15" hidden="false" customHeight="false" outlineLevel="0" collapsed="false">
      <c r="A9" s="6" t="s">
        <v>13</v>
      </c>
      <c r="B9" s="7" t="n">
        <v>7989</v>
      </c>
      <c r="C9" s="7" t="n">
        <v>5372</v>
      </c>
      <c r="D9" s="7" t="n">
        <v>5792</v>
      </c>
      <c r="E9" s="7" t="n">
        <v>6119</v>
      </c>
      <c r="F9" s="7" t="n">
        <v>6324</v>
      </c>
      <c r="G9" s="8" t="n">
        <v>6884</v>
      </c>
    </row>
    <row r="10" customFormat="false" ht="15" hidden="false" customHeight="false" outlineLevel="0" collapsed="false">
      <c r="A10" s="6" t="s">
        <v>14</v>
      </c>
      <c r="B10" s="7" t="n">
        <v>3466</v>
      </c>
      <c r="C10" s="7" t="n">
        <v>2818</v>
      </c>
      <c r="D10" s="7" t="n">
        <v>3235</v>
      </c>
      <c r="E10" s="7" t="n">
        <v>3602</v>
      </c>
      <c r="F10" s="7" t="n">
        <v>4044</v>
      </c>
      <c r="G10" s="7" t="n">
        <v>4044</v>
      </c>
    </row>
    <row r="11" customFormat="false" ht="15" hidden="false" customHeight="false" outlineLevel="0" collapsed="false">
      <c r="A11" s="6" t="s">
        <v>15</v>
      </c>
      <c r="B11" s="7" t="n">
        <v>7902</v>
      </c>
      <c r="C11" s="7" t="n">
        <v>7315</v>
      </c>
      <c r="D11" s="7" t="n">
        <v>7608</v>
      </c>
      <c r="E11" s="7" t="n">
        <v>10130</v>
      </c>
      <c r="F11" s="7" t="n">
        <v>9015</v>
      </c>
      <c r="G11" s="8" t="n">
        <v>8421</v>
      </c>
    </row>
    <row r="12" customFormat="false" ht="15" hidden="false" customHeight="false" outlineLevel="0" collapsed="false">
      <c r="A12" s="6" t="s">
        <v>16</v>
      </c>
      <c r="B12" s="7" t="n">
        <v>9251</v>
      </c>
      <c r="C12" s="7" t="n">
        <v>8677</v>
      </c>
      <c r="D12" s="7" t="n">
        <v>15146</v>
      </c>
      <c r="E12" s="7" t="n">
        <v>17733</v>
      </c>
      <c r="F12" s="7" t="n">
        <v>17954</v>
      </c>
      <c r="G12" s="8" t="n">
        <v>11862</v>
      </c>
    </row>
    <row r="13" customFormat="false" ht="15" hidden="false" customHeight="false" outlineLevel="0" collapsed="false">
      <c r="A13" s="6" t="s">
        <v>17</v>
      </c>
      <c r="B13" s="7" t="n">
        <v>1287</v>
      </c>
      <c r="C13" s="7" t="n">
        <v>1207</v>
      </c>
    </row>
    <row r="14" customFormat="false" ht="15" hidden="false" customHeight="false" outlineLevel="0" collapsed="false">
      <c r="A14" s="6" t="s">
        <v>18</v>
      </c>
      <c r="B14" s="7" t="n">
        <v>2533</v>
      </c>
      <c r="C14" s="7" t="n">
        <v>1965</v>
      </c>
      <c r="D14" s="7" t="n">
        <v>2688</v>
      </c>
    </row>
    <row r="15" customFormat="false" ht="15" hidden="false" customHeight="false" outlineLevel="0" collapsed="false">
      <c r="A15" s="6" t="s">
        <v>19</v>
      </c>
      <c r="B15" s="7" t="n">
        <v>2962</v>
      </c>
      <c r="C15" s="7" t="n">
        <v>2245</v>
      </c>
      <c r="D15" s="7" t="n">
        <v>657</v>
      </c>
      <c r="E15" s="7" t="n">
        <v>1217</v>
      </c>
      <c r="F15" s="7" t="n">
        <v>1136</v>
      </c>
      <c r="G15" s="7" t="n">
        <v>162</v>
      </c>
    </row>
    <row r="16" customFormat="false" ht="15" hidden="false" customHeight="false" outlineLevel="0" collapsed="false">
      <c r="A16" s="6" t="s">
        <v>20</v>
      </c>
      <c r="B16" s="7" t="n">
        <v>5276</v>
      </c>
      <c r="C16" s="7" t="n">
        <v>4830</v>
      </c>
      <c r="D16" s="7" t="n">
        <v>5172</v>
      </c>
      <c r="E16" s="7" t="n">
        <v>5930</v>
      </c>
      <c r="F16" s="7" t="n">
        <v>6274</v>
      </c>
      <c r="G16" s="8" t="n">
        <v>5326</v>
      </c>
    </row>
    <row r="17" customFormat="false" ht="15" hidden="false" customHeight="false" outlineLevel="0" collapsed="false">
      <c r="A17" s="6" t="s">
        <v>21</v>
      </c>
      <c r="D17" s="7" t="n">
        <v>151</v>
      </c>
      <c r="E17" s="7" t="n">
        <v>159</v>
      </c>
      <c r="F17" s="7" t="n">
        <v>14124</v>
      </c>
      <c r="G17" s="7" t="n">
        <v>12614</v>
      </c>
    </row>
    <row r="18" customFormat="false" ht="15" hidden="false" customHeight="false" outlineLevel="0" collapsed="false">
      <c r="A18" s="6" t="s">
        <v>22</v>
      </c>
      <c r="C18" s="7" t="n">
        <v>2100</v>
      </c>
      <c r="D18" s="7" t="n">
        <v>0</v>
      </c>
      <c r="E18" s="7" t="n">
        <v>586</v>
      </c>
      <c r="F18" s="7" t="n">
        <v>1064</v>
      </c>
      <c r="G18" s="7" t="n">
        <v>1420</v>
      </c>
    </row>
    <row r="19" customFormat="false" ht="15" hidden="false" customHeight="false" outlineLevel="0" collapsed="false">
      <c r="A19" s="6" t="s">
        <v>23</v>
      </c>
      <c r="E19" s="7" t="n">
        <v>0</v>
      </c>
      <c r="F19" s="7" t="n">
        <v>14708</v>
      </c>
      <c r="G19" s="7" t="n">
        <v>12637</v>
      </c>
    </row>
    <row r="20" customFormat="false" ht="15" hidden="false" customHeight="false" outlineLevel="0" collapsed="false">
      <c r="A20" s="4" t="s">
        <v>24</v>
      </c>
      <c r="B20" s="9" t="n">
        <f aca="false">SUM(B6:B19)</f>
        <v>64804</v>
      </c>
      <c r="C20" s="9" t="n">
        <f aca="false">SUM(C6:C19)</f>
        <v>57285</v>
      </c>
      <c r="D20" s="9" t="n">
        <f aca="false">SUM(D6:D19)</f>
        <v>65917</v>
      </c>
      <c r="E20" s="9" t="n">
        <f aca="false">SUM(E6:E19)</f>
        <v>75763</v>
      </c>
      <c r="F20" s="9" t="n">
        <f aca="false">SUM(F6:F19)</f>
        <v>104237</v>
      </c>
      <c r="G20" s="9" t="n">
        <f aca="false">SUM(G6:G19)</f>
        <v>94472</v>
      </c>
    </row>
    <row r="21" customFormat="false" ht="15" hidden="false" customHeight="false" outlineLevel="0" collapsed="false">
      <c r="A21" s="6" t="s">
        <v>25</v>
      </c>
      <c r="B21" s="7" t="n">
        <v>64804</v>
      </c>
      <c r="C21" s="7" t="n">
        <v>57285</v>
      </c>
      <c r="D21" s="7" t="n">
        <v>65917</v>
      </c>
      <c r="E21" s="7" t="n">
        <v>75303</v>
      </c>
      <c r="F21" s="7" t="n">
        <v>104237</v>
      </c>
      <c r="G21" s="7" t="n">
        <v>94452</v>
      </c>
    </row>
    <row r="22" customFormat="false" ht="15" hidden="false" customHeight="false" outlineLevel="0" collapsed="false">
      <c r="A22" s="6" t="s">
        <v>26</v>
      </c>
      <c r="B22" s="10" t="n">
        <f aca="false">B20-B21</f>
        <v>0</v>
      </c>
      <c r="C22" s="10" t="n">
        <f aca="false">C20-C21</f>
        <v>0</v>
      </c>
      <c r="D22" s="10" t="n">
        <f aca="false">D20-D21</f>
        <v>0</v>
      </c>
      <c r="E22" s="10" t="n">
        <f aca="false">E20-E21</f>
        <v>460</v>
      </c>
      <c r="F22" s="10" t="n">
        <f aca="false">F20-F21</f>
        <v>0</v>
      </c>
      <c r="G22" s="10" t="n">
        <f aca="false">G20-G21</f>
        <v>20</v>
      </c>
    </row>
    <row r="23" customFormat="false" ht="15" hidden="false" customHeight="false" outlineLevel="0" collapsed="false">
      <c r="A23" s="6" t="s">
        <v>27</v>
      </c>
      <c r="C23" s="11" t="n">
        <f aca="false">C21/B21-1</f>
        <v>-0.116026788469847</v>
      </c>
      <c r="D23" s="11" t="n">
        <f aca="false">D21/C21-1</f>
        <v>0.150685170638038</v>
      </c>
      <c r="E23" s="11" t="n">
        <f aca="false">E21/D21-1</f>
        <v>0.142391188919399</v>
      </c>
      <c r="F23" s="11" t="n">
        <f aca="false">F21/E21-1</f>
        <v>0.384234359852861</v>
      </c>
      <c r="G23" s="11" t="n">
        <f aca="false">G21/F21-1</f>
        <v>-0.0938726172088605</v>
      </c>
    </row>
    <row r="24" customFormat="false" ht="15" hidden="false" customHeight="false" outlineLevel="0" collapsed="false">
      <c r="A24" s="6" t="s">
        <v>28</v>
      </c>
      <c r="B24" s="10" t="n">
        <f aca="false">B12+B13</f>
        <v>10538</v>
      </c>
      <c r="C24" s="10" t="n">
        <f aca="false">C12+C13</f>
        <v>9884</v>
      </c>
      <c r="D24" s="10" t="n">
        <f aca="false">D12+D13</f>
        <v>15146</v>
      </c>
      <c r="E24" s="10" t="n">
        <f aca="false">E12+E13</f>
        <v>17733</v>
      </c>
      <c r="F24" s="10" t="n">
        <f aca="false">F12+F13</f>
        <v>17954</v>
      </c>
      <c r="G24" s="10" t="n">
        <f aca="false">G12+G13</f>
        <v>11862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2" t="s">
        <v>2</v>
      </c>
      <c r="B1" s="12" t="s">
        <v>29</v>
      </c>
      <c r="C1" s="12" t="s">
        <v>3</v>
      </c>
      <c r="D1" s="12" t="s">
        <v>30</v>
      </c>
    </row>
    <row r="2" customFormat="false" ht="15" hidden="false" customHeight="false" outlineLevel="0" collapsed="false">
      <c r="A2" s="6" t="s">
        <v>10</v>
      </c>
      <c r="B2" s="6" t="n">
        <v>2012</v>
      </c>
      <c r="C2" s="6" t="s">
        <v>4</v>
      </c>
      <c r="D2" s="13" t="n">
        <f aca="false">'Série Temporal'!B6</f>
        <v>7795</v>
      </c>
    </row>
    <row r="3" customFormat="false" ht="15" hidden="false" customHeight="false" outlineLevel="0" collapsed="false">
      <c r="A3" s="6" t="s">
        <v>10</v>
      </c>
      <c r="B3" s="6" t="n">
        <v>2013</v>
      </c>
      <c r="C3" s="6" t="s">
        <v>5</v>
      </c>
      <c r="D3" s="13" t="n">
        <f aca="false">'Série Temporal'!C6</f>
        <v>7483</v>
      </c>
    </row>
    <row r="4" customFormat="false" ht="15" hidden="false" customHeight="false" outlineLevel="0" collapsed="false">
      <c r="A4" s="6" t="s">
        <v>10</v>
      </c>
      <c r="B4" s="6" t="n">
        <v>2014</v>
      </c>
      <c r="C4" s="6" t="s">
        <v>6</v>
      </c>
      <c r="D4" s="13" t="n">
        <f aca="false">'Série Temporal'!D6</f>
        <v>10660</v>
      </c>
    </row>
    <row r="5" customFormat="false" ht="15" hidden="false" customHeight="false" outlineLevel="0" collapsed="false">
      <c r="A5" s="6" t="s">
        <v>10</v>
      </c>
      <c r="B5" s="6" t="n">
        <v>2015</v>
      </c>
      <c r="C5" s="6" t="s">
        <v>7</v>
      </c>
      <c r="D5" s="13" t="n">
        <f aca="false">'Série Temporal'!E6</f>
        <v>13617</v>
      </c>
    </row>
    <row r="6" customFormat="false" ht="15" hidden="false" customHeight="false" outlineLevel="0" collapsed="false">
      <c r="A6" s="6" t="s">
        <v>10</v>
      </c>
      <c r="B6" s="6" t="n">
        <v>2016</v>
      </c>
      <c r="C6" s="6" t="s">
        <v>8</v>
      </c>
      <c r="D6" s="13" t="n">
        <f aca="false">'Série Temporal'!F6</f>
        <v>12883</v>
      </c>
    </row>
    <row r="7" customFormat="false" ht="15" hidden="false" customHeight="false" outlineLevel="0" collapsed="false">
      <c r="A7" s="6" t="s">
        <v>10</v>
      </c>
      <c r="B7" s="6" t="n">
        <v>2017</v>
      </c>
      <c r="C7" s="6" t="s">
        <v>9</v>
      </c>
      <c r="D7" s="13" t="n">
        <f aca="false">'Série Temporal'!G6</f>
        <v>13426</v>
      </c>
    </row>
    <row r="8" customFormat="false" ht="15" hidden="false" customHeight="false" outlineLevel="0" collapsed="false">
      <c r="A8" s="6" t="s">
        <v>11</v>
      </c>
      <c r="B8" s="6" t="n">
        <v>2012</v>
      </c>
      <c r="C8" s="6" t="s">
        <v>4</v>
      </c>
      <c r="D8" s="13" t="n">
        <f aca="false">'Série Temporal'!B7</f>
        <v>6522</v>
      </c>
    </row>
    <row r="9" customFormat="false" ht="15" hidden="false" customHeight="false" outlineLevel="0" collapsed="false">
      <c r="A9" s="6" t="s">
        <v>11</v>
      </c>
      <c r="B9" s="6" t="n">
        <v>2013</v>
      </c>
      <c r="C9" s="6" t="s">
        <v>5</v>
      </c>
      <c r="D9" s="13" t="n">
        <f aca="false">'Série Temporal'!C7</f>
        <v>5902</v>
      </c>
    </row>
    <row r="10" customFormat="false" ht="15" hidden="false" customHeight="false" outlineLevel="0" collapsed="false">
      <c r="A10" s="6" t="s">
        <v>11</v>
      </c>
      <c r="B10" s="6" t="n">
        <v>2014</v>
      </c>
      <c r="C10" s="6" t="s">
        <v>6</v>
      </c>
      <c r="D10" s="13" t="n">
        <f aca="false">'Série Temporal'!D7</f>
        <v>6567</v>
      </c>
    </row>
    <row r="11" customFormat="false" ht="15" hidden="false" customHeight="false" outlineLevel="0" collapsed="false">
      <c r="A11" s="6" t="s">
        <v>11</v>
      </c>
      <c r="B11" s="6" t="n">
        <v>2015</v>
      </c>
      <c r="C11" s="6" t="s">
        <v>7</v>
      </c>
      <c r="D11" s="13" t="n">
        <f aca="false">'Série Temporal'!E7</f>
        <v>8312</v>
      </c>
    </row>
    <row r="12" customFormat="false" ht="15" hidden="false" customHeight="false" outlineLevel="0" collapsed="false">
      <c r="A12" s="6" t="s">
        <v>11</v>
      </c>
      <c r="B12" s="6" t="n">
        <v>2016</v>
      </c>
      <c r="C12" s="6" t="s">
        <v>8</v>
      </c>
      <c r="D12" s="13" t="n">
        <f aca="false">'Série Temporal'!F7</f>
        <v>7880</v>
      </c>
    </row>
    <row r="13" customFormat="false" ht="15" hidden="false" customHeight="false" outlineLevel="0" collapsed="false">
      <c r="A13" s="6" t="s">
        <v>11</v>
      </c>
      <c r="B13" s="6" t="n">
        <v>2017</v>
      </c>
      <c r="C13" s="6" t="s">
        <v>9</v>
      </c>
      <c r="D13" s="13" t="n">
        <f aca="false">'Série Temporal'!G7</f>
        <v>8082</v>
      </c>
    </row>
    <row r="14" customFormat="false" ht="15" hidden="false" customHeight="false" outlineLevel="0" collapsed="false">
      <c r="A14" s="6" t="s">
        <v>12</v>
      </c>
      <c r="B14" s="6" t="n">
        <v>2012</v>
      </c>
      <c r="C14" s="6" t="s">
        <v>4</v>
      </c>
      <c r="D14" s="13" t="n">
        <f aca="false">'Série Temporal'!B8</f>
        <v>9821</v>
      </c>
    </row>
    <row r="15" customFormat="false" ht="15" hidden="false" customHeight="false" outlineLevel="0" collapsed="false">
      <c r="A15" s="6" t="s">
        <v>12</v>
      </c>
      <c r="B15" s="6" t="n">
        <v>2013</v>
      </c>
      <c r="C15" s="6" t="s">
        <v>5</v>
      </c>
      <c r="D15" s="13" t="n">
        <f aca="false">'Série Temporal'!C8</f>
        <v>7371</v>
      </c>
    </row>
    <row r="16" customFormat="false" ht="15" hidden="false" customHeight="false" outlineLevel="0" collapsed="false">
      <c r="A16" s="6" t="s">
        <v>12</v>
      </c>
      <c r="B16" s="6" t="n">
        <v>2014</v>
      </c>
      <c r="C16" s="6" t="s">
        <v>6</v>
      </c>
      <c r="D16" s="13" t="n">
        <f aca="false">'Série Temporal'!D8</f>
        <v>8241</v>
      </c>
    </row>
    <row r="17" customFormat="false" ht="15" hidden="false" customHeight="false" outlineLevel="0" collapsed="false">
      <c r="A17" s="6" t="s">
        <v>12</v>
      </c>
      <c r="B17" s="6" t="n">
        <v>2015</v>
      </c>
      <c r="C17" s="6" t="s">
        <v>7</v>
      </c>
      <c r="D17" s="13" t="n">
        <f aca="false">'Série Temporal'!E8</f>
        <v>8358</v>
      </c>
    </row>
    <row r="18" customFormat="false" ht="15" hidden="false" customHeight="false" outlineLevel="0" collapsed="false">
      <c r="A18" s="6" t="s">
        <v>12</v>
      </c>
      <c r="B18" s="6" t="n">
        <v>2016</v>
      </c>
      <c r="C18" s="6" t="s">
        <v>8</v>
      </c>
      <c r="D18" s="13" t="n">
        <f aca="false">'Série Temporal'!F8</f>
        <v>8831</v>
      </c>
    </row>
    <row r="19" customFormat="false" ht="15" hidden="false" customHeight="false" outlineLevel="0" collapsed="false">
      <c r="A19" s="6" t="s">
        <v>12</v>
      </c>
      <c r="B19" s="6" t="n">
        <v>2017</v>
      </c>
      <c r="C19" s="6" t="s">
        <v>9</v>
      </c>
      <c r="D19" s="13" t="n">
        <f aca="false">'Série Temporal'!G8</f>
        <v>9594</v>
      </c>
    </row>
    <row r="20" customFormat="false" ht="15" hidden="false" customHeight="false" outlineLevel="0" collapsed="false">
      <c r="A20" s="6" t="s">
        <v>13</v>
      </c>
      <c r="B20" s="6" t="n">
        <v>2012</v>
      </c>
      <c r="C20" s="6" t="s">
        <v>4</v>
      </c>
      <c r="D20" s="13" t="n">
        <f aca="false">'Série Temporal'!B9</f>
        <v>7989</v>
      </c>
    </row>
    <row r="21" customFormat="false" ht="15" hidden="false" customHeight="false" outlineLevel="0" collapsed="false">
      <c r="A21" s="6" t="s">
        <v>13</v>
      </c>
      <c r="B21" s="6" t="n">
        <v>2013</v>
      </c>
      <c r="C21" s="6" t="s">
        <v>5</v>
      </c>
      <c r="D21" s="13" t="n">
        <f aca="false">'Série Temporal'!C9</f>
        <v>5372</v>
      </c>
    </row>
    <row r="22" customFormat="false" ht="15" hidden="false" customHeight="false" outlineLevel="0" collapsed="false">
      <c r="A22" s="6" t="s">
        <v>13</v>
      </c>
      <c r="B22" s="6" t="n">
        <v>2014</v>
      </c>
      <c r="C22" s="6" t="s">
        <v>6</v>
      </c>
      <c r="D22" s="13" t="n">
        <f aca="false">'Série Temporal'!D9</f>
        <v>5792</v>
      </c>
    </row>
    <row r="23" customFormat="false" ht="15" hidden="false" customHeight="false" outlineLevel="0" collapsed="false">
      <c r="A23" s="6" t="s">
        <v>13</v>
      </c>
      <c r="B23" s="6" t="n">
        <v>2015</v>
      </c>
      <c r="C23" s="6" t="s">
        <v>7</v>
      </c>
      <c r="D23" s="13" t="n">
        <f aca="false">'Série Temporal'!E9</f>
        <v>6119</v>
      </c>
    </row>
    <row r="24" customFormat="false" ht="15" hidden="false" customHeight="false" outlineLevel="0" collapsed="false">
      <c r="A24" s="6" t="s">
        <v>13</v>
      </c>
      <c r="B24" s="6" t="n">
        <v>2016</v>
      </c>
      <c r="C24" s="6" t="s">
        <v>8</v>
      </c>
      <c r="D24" s="13" t="n">
        <f aca="false">'Série Temporal'!F9</f>
        <v>6324</v>
      </c>
    </row>
    <row r="25" customFormat="false" ht="15" hidden="false" customHeight="false" outlineLevel="0" collapsed="false">
      <c r="A25" s="6" t="s">
        <v>13</v>
      </c>
      <c r="B25" s="6" t="n">
        <v>2017</v>
      </c>
      <c r="C25" s="6" t="s">
        <v>9</v>
      </c>
      <c r="D25" s="13" t="n">
        <f aca="false">'Série Temporal'!G9</f>
        <v>6884</v>
      </c>
    </row>
    <row r="26" customFormat="false" ht="15" hidden="false" customHeight="false" outlineLevel="0" collapsed="false">
      <c r="A26" s="6" t="s">
        <v>14</v>
      </c>
      <c r="B26" s="6" t="n">
        <v>2012</v>
      </c>
      <c r="C26" s="6" t="s">
        <v>4</v>
      </c>
      <c r="D26" s="13" t="n">
        <f aca="false">'Série Temporal'!B10</f>
        <v>3466</v>
      </c>
    </row>
    <row r="27" customFormat="false" ht="15" hidden="false" customHeight="false" outlineLevel="0" collapsed="false">
      <c r="A27" s="6" t="s">
        <v>14</v>
      </c>
      <c r="B27" s="6" t="n">
        <v>2013</v>
      </c>
      <c r="C27" s="6" t="s">
        <v>5</v>
      </c>
      <c r="D27" s="13" t="n">
        <f aca="false">'Série Temporal'!C10</f>
        <v>2818</v>
      </c>
    </row>
    <row r="28" customFormat="false" ht="15" hidden="false" customHeight="false" outlineLevel="0" collapsed="false">
      <c r="A28" s="6" t="s">
        <v>14</v>
      </c>
      <c r="B28" s="6" t="n">
        <v>2014</v>
      </c>
      <c r="C28" s="6" t="s">
        <v>6</v>
      </c>
      <c r="D28" s="13" t="n">
        <f aca="false">'Série Temporal'!D10</f>
        <v>3235</v>
      </c>
    </row>
    <row r="29" customFormat="false" ht="15" hidden="false" customHeight="false" outlineLevel="0" collapsed="false">
      <c r="A29" s="6" t="s">
        <v>14</v>
      </c>
      <c r="B29" s="6" t="n">
        <v>2015</v>
      </c>
      <c r="C29" s="6" t="s">
        <v>7</v>
      </c>
      <c r="D29" s="13" t="n">
        <f aca="false">'Série Temporal'!E10</f>
        <v>3602</v>
      </c>
    </row>
    <row r="30" customFormat="false" ht="15" hidden="false" customHeight="false" outlineLevel="0" collapsed="false">
      <c r="A30" s="6" t="s">
        <v>14</v>
      </c>
      <c r="B30" s="6" t="n">
        <v>2016</v>
      </c>
      <c r="C30" s="6" t="s">
        <v>8</v>
      </c>
      <c r="D30" s="13" t="n">
        <f aca="false">'Série Temporal'!F10</f>
        <v>4044</v>
      </c>
    </row>
    <row r="31" customFormat="false" ht="15" hidden="false" customHeight="false" outlineLevel="0" collapsed="false">
      <c r="A31" s="6" t="s">
        <v>14</v>
      </c>
      <c r="B31" s="6" t="n">
        <v>2017</v>
      </c>
      <c r="C31" s="6" t="s">
        <v>9</v>
      </c>
      <c r="D31" s="13" t="n">
        <f aca="false">'Série Temporal'!G10</f>
        <v>4044</v>
      </c>
    </row>
    <row r="32" customFormat="false" ht="15" hidden="false" customHeight="false" outlineLevel="0" collapsed="false">
      <c r="A32" s="6" t="s">
        <v>15</v>
      </c>
      <c r="B32" s="6" t="n">
        <v>2012</v>
      </c>
      <c r="C32" s="6" t="s">
        <v>4</v>
      </c>
      <c r="D32" s="13" t="n">
        <f aca="false">'Série Temporal'!B11</f>
        <v>7902</v>
      </c>
    </row>
    <row r="33" customFormat="false" ht="15" hidden="false" customHeight="false" outlineLevel="0" collapsed="false">
      <c r="A33" s="6" t="s">
        <v>15</v>
      </c>
      <c r="B33" s="6" t="n">
        <v>2013</v>
      </c>
      <c r="C33" s="6" t="s">
        <v>5</v>
      </c>
      <c r="D33" s="13" t="n">
        <f aca="false">'Série Temporal'!C11</f>
        <v>7315</v>
      </c>
    </row>
    <row r="34" customFormat="false" ht="15" hidden="false" customHeight="false" outlineLevel="0" collapsed="false">
      <c r="A34" s="6" t="s">
        <v>15</v>
      </c>
      <c r="B34" s="6" t="n">
        <v>2014</v>
      </c>
      <c r="C34" s="6" t="s">
        <v>6</v>
      </c>
      <c r="D34" s="13" t="n">
        <f aca="false">'Série Temporal'!D11</f>
        <v>7608</v>
      </c>
    </row>
    <row r="35" customFormat="false" ht="15" hidden="false" customHeight="false" outlineLevel="0" collapsed="false">
      <c r="A35" s="6" t="s">
        <v>15</v>
      </c>
      <c r="B35" s="6" t="n">
        <v>2015</v>
      </c>
      <c r="C35" s="6" t="s">
        <v>7</v>
      </c>
      <c r="D35" s="13" t="n">
        <f aca="false">'Série Temporal'!E11</f>
        <v>10130</v>
      </c>
    </row>
    <row r="36" customFormat="false" ht="15" hidden="false" customHeight="false" outlineLevel="0" collapsed="false">
      <c r="A36" s="6" t="s">
        <v>15</v>
      </c>
      <c r="B36" s="6" t="n">
        <v>2016</v>
      </c>
      <c r="C36" s="6" t="s">
        <v>8</v>
      </c>
      <c r="D36" s="13" t="n">
        <f aca="false">'Série Temporal'!F11</f>
        <v>9015</v>
      </c>
    </row>
    <row r="37" customFormat="false" ht="15" hidden="false" customHeight="false" outlineLevel="0" collapsed="false">
      <c r="A37" s="6" t="s">
        <v>15</v>
      </c>
      <c r="B37" s="6" t="n">
        <v>2017</v>
      </c>
      <c r="C37" s="6" t="s">
        <v>9</v>
      </c>
      <c r="D37" s="13" t="n">
        <f aca="false">'Série Temporal'!G11</f>
        <v>8421</v>
      </c>
    </row>
    <row r="38" customFormat="false" ht="15" hidden="false" customHeight="false" outlineLevel="0" collapsed="false">
      <c r="A38" s="6" t="s">
        <v>16</v>
      </c>
      <c r="B38" s="6" t="n">
        <v>2012</v>
      </c>
      <c r="C38" s="6" t="s">
        <v>4</v>
      </c>
      <c r="D38" s="13" t="n">
        <f aca="false">'Série Temporal'!B12</f>
        <v>9251</v>
      </c>
    </row>
    <row r="39" customFormat="false" ht="15" hidden="false" customHeight="false" outlineLevel="0" collapsed="false">
      <c r="A39" s="6" t="s">
        <v>16</v>
      </c>
      <c r="B39" s="6" t="n">
        <v>2013</v>
      </c>
      <c r="C39" s="6" t="s">
        <v>5</v>
      </c>
      <c r="D39" s="13" t="n">
        <f aca="false">'Série Temporal'!C12</f>
        <v>8677</v>
      </c>
    </row>
    <row r="40" customFormat="false" ht="15" hidden="false" customHeight="false" outlineLevel="0" collapsed="false">
      <c r="A40" s="6" t="s">
        <v>16</v>
      </c>
      <c r="B40" s="6" t="n">
        <v>2014</v>
      </c>
      <c r="C40" s="6" t="s">
        <v>6</v>
      </c>
      <c r="D40" s="13" t="n">
        <f aca="false">'Série Temporal'!D12</f>
        <v>15146</v>
      </c>
    </row>
    <row r="41" customFormat="false" ht="15" hidden="false" customHeight="false" outlineLevel="0" collapsed="false">
      <c r="A41" s="6" t="s">
        <v>16</v>
      </c>
      <c r="B41" s="6" t="n">
        <v>2015</v>
      </c>
      <c r="C41" s="6" t="s">
        <v>7</v>
      </c>
      <c r="D41" s="13" t="n">
        <f aca="false">'Série Temporal'!E12</f>
        <v>17733</v>
      </c>
    </row>
    <row r="42" customFormat="false" ht="15" hidden="false" customHeight="false" outlineLevel="0" collapsed="false">
      <c r="A42" s="6" t="s">
        <v>16</v>
      </c>
      <c r="B42" s="6" t="n">
        <v>2016</v>
      </c>
      <c r="C42" s="6" t="s">
        <v>8</v>
      </c>
      <c r="D42" s="13" t="n">
        <f aca="false">'Série Temporal'!F12</f>
        <v>17954</v>
      </c>
    </row>
    <row r="43" customFormat="false" ht="15" hidden="false" customHeight="false" outlineLevel="0" collapsed="false">
      <c r="A43" s="6" t="s">
        <v>16</v>
      </c>
      <c r="B43" s="6" t="n">
        <v>2017</v>
      </c>
      <c r="C43" s="6" t="s">
        <v>9</v>
      </c>
      <c r="D43" s="13" t="n">
        <f aca="false">'Série Temporal'!G12</f>
        <v>11862</v>
      </c>
    </row>
    <row r="44" customFormat="false" ht="15" hidden="false" customHeight="false" outlineLevel="0" collapsed="false">
      <c r="A44" s="6" t="s">
        <v>17</v>
      </c>
      <c r="B44" s="6" t="n">
        <v>2012</v>
      </c>
      <c r="C44" s="6" t="s">
        <v>4</v>
      </c>
      <c r="D44" s="13" t="n">
        <f aca="false">'Série Temporal'!B13</f>
        <v>1287</v>
      </c>
    </row>
    <row r="45" customFormat="false" ht="15" hidden="false" customHeight="false" outlineLevel="0" collapsed="false">
      <c r="A45" s="6" t="s">
        <v>17</v>
      </c>
      <c r="B45" s="6" t="n">
        <v>2013</v>
      </c>
      <c r="C45" s="6" t="s">
        <v>5</v>
      </c>
      <c r="D45" s="13" t="n">
        <f aca="false">'Série Temporal'!C13</f>
        <v>1207</v>
      </c>
    </row>
    <row r="46" customFormat="false" ht="15" hidden="false" customHeight="false" outlineLevel="0" collapsed="false">
      <c r="A46" s="6" t="s">
        <v>18</v>
      </c>
      <c r="B46" s="6" t="n">
        <v>2012</v>
      </c>
      <c r="C46" s="6" t="s">
        <v>4</v>
      </c>
      <c r="D46" s="13" t="n">
        <f aca="false">'Série Temporal'!B14</f>
        <v>2533</v>
      </c>
    </row>
    <row r="47" customFormat="false" ht="15" hidden="false" customHeight="false" outlineLevel="0" collapsed="false">
      <c r="A47" s="6" t="s">
        <v>18</v>
      </c>
      <c r="B47" s="6" t="n">
        <v>2013</v>
      </c>
      <c r="C47" s="6" t="s">
        <v>5</v>
      </c>
      <c r="D47" s="13" t="n">
        <f aca="false">'Série Temporal'!C14</f>
        <v>1965</v>
      </c>
    </row>
    <row r="48" customFormat="false" ht="15" hidden="false" customHeight="false" outlineLevel="0" collapsed="false">
      <c r="A48" s="6" t="s">
        <v>18</v>
      </c>
      <c r="B48" s="6" t="n">
        <v>2014</v>
      </c>
      <c r="C48" s="6" t="s">
        <v>6</v>
      </c>
      <c r="D48" s="13" t="n">
        <f aca="false">'Série Temporal'!D14</f>
        <v>2688</v>
      </c>
    </row>
    <row r="49" customFormat="false" ht="15" hidden="false" customHeight="false" outlineLevel="0" collapsed="false">
      <c r="A49" s="6" t="s">
        <v>19</v>
      </c>
      <c r="B49" s="6" t="n">
        <v>2012</v>
      </c>
      <c r="C49" s="6" t="s">
        <v>4</v>
      </c>
      <c r="D49" s="13" t="n">
        <f aca="false">'Série Temporal'!B15</f>
        <v>2962</v>
      </c>
    </row>
    <row r="50" customFormat="false" ht="15" hidden="false" customHeight="false" outlineLevel="0" collapsed="false">
      <c r="A50" s="6" t="s">
        <v>19</v>
      </c>
      <c r="B50" s="6" t="n">
        <v>2013</v>
      </c>
      <c r="C50" s="6" t="s">
        <v>5</v>
      </c>
      <c r="D50" s="13" t="n">
        <f aca="false">'Série Temporal'!C15</f>
        <v>2245</v>
      </c>
    </row>
    <row r="51" customFormat="false" ht="15" hidden="false" customHeight="false" outlineLevel="0" collapsed="false">
      <c r="A51" s="6" t="s">
        <v>19</v>
      </c>
      <c r="B51" s="6" t="n">
        <v>2014</v>
      </c>
      <c r="C51" s="6" t="s">
        <v>6</v>
      </c>
      <c r="D51" s="13" t="n">
        <f aca="false">'Série Temporal'!D15</f>
        <v>657</v>
      </c>
    </row>
    <row r="52" customFormat="false" ht="15" hidden="false" customHeight="false" outlineLevel="0" collapsed="false">
      <c r="A52" s="6" t="s">
        <v>19</v>
      </c>
      <c r="B52" s="6" t="n">
        <v>2015</v>
      </c>
      <c r="C52" s="6" t="s">
        <v>7</v>
      </c>
      <c r="D52" s="13" t="n">
        <f aca="false">'Série Temporal'!E15</f>
        <v>1217</v>
      </c>
    </row>
    <row r="53" customFormat="false" ht="15" hidden="false" customHeight="false" outlineLevel="0" collapsed="false">
      <c r="A53" s="6" t="s">
        <v>19</v>
      </c>
      <c r="B53" s="6" t="n">
        <v>2016</v>
      </c>
      <c r="C53" s="6" t="s">
        <v>8</v>
      </c>
      <c r="D53" s="13" t="n">
        <f aca="false">'Série Temporal'!F15</f>
        <v>1136</v>
      </c>
    </row>
    <row r="54" customFormat="false" ht="15" hidden="false" customHeight="false" outlineLevel="0" collapsed="false">
      <c r="A54" s="6" t="s">
        <v>19</v>
      </c>
      <c r="B54" s="6" t="n">
        <v>2017</v>
      </c>
      <c r="C54" s="6" t="s">
        <v>9</v>
      </c>
      <c r="D54" s="13" t="n">
        <f aca="false">'Série Temporal'!G15</f>
        <v>162</v>
      </c>
    </row>
    <row r="55" customFormat="false" ht="15" hidden="false" customHeight="false" outlineLevel="0" collapsed="false">
      <c r="A55" s="6" t="s">
        <v>20</v>
      </c>
      <c r="B55" s="6" t="n">
        <v>2012</v>
      </c>
      <c r="C55" s="6" t="s">
        <v>4</v>
      </c>
      <c r="D55" s="13" t="n">
        <f aca="false">'Série Temporal'!B16</f>
        <v>5276</v>
      </c>
    </row>
    <row r="56" customFormat="false" ht="15" hidden="false" customHeight="false" outlineLevel="0" collapsed="false">
      <c r="A56" s="6" t="s">
        <v>20</v>
      </c>
      <c r="B56" s="6" t="n">
        <v>2013</v>
      </c>
      <c r="C56" s="6" t="s">
        <v>5</v>
      </c>
      <c r="D56" s="13" t="n">
        <f aca="false">'Série Temporal'!C16</f>
        <v>4830</v>
      </c>
    </row>
    <row r="57" customFormat="false" ht="15" hidden="false" customHeight="false" outlineLevel="0" collapsed="false">
      <c r="A57" s="6" t="s">
        <v>20</v>
      </c>
      <c r="B57" s="6" t="n">
        <v>2014</v>
      </c>
      <c r="C57" s="6" t="s">
        <v>6</v>
      </c>
      <c r="D57" s="13" t="n">
        <f aca="false">'Série Temporal'!D16</f>
        <v>5172</v>
      </c>
    </row>
    <row r="58" customFormat="false" ht="15" hidden="false" customHeight="false" outlineLevel="0" collapsed="false">
      <c r="A58" s="6" t="s">
        <v>20</v>
      </c>
      <c r="B58" s="6" t="n">
        <v>2015</v>
      </c>
      <c r="C58" s="6" t="s">
        <v>7</v>
      </c>
      <c r="D58" s="13" t="n">
        <f aca="false">'Série Temporal'!E16</f>
        <v>5930</v>
      </c>
    </row>
    <row r="59" customFormat="false" ht="15" hidden="false" customHeight="false" outlineLevel="0" collapsed="false">
      <c r="A59" s="6" t="s">
        <v>20</v>
      </c>
      <c r="B59" s="6" t="n">
        <v>2016</v>
      </c>
      <c r="C59" s="6" t="s">
        <v>8</v>
      </c>
      <c r="D59" s="13" t="n">
        <f aca="false">'Série Temporal'!F16</f>
        <v>6274</v>
      </c>
    </row>
    <row r="60" customFormat="false" ht="15" hidden="false" customHeight="false" outlineLevel="0" collapsed="false">
      <c r="A60" s="6" t="s">
        <v>20</v>
      </c>
      <c r="B60" s="6" t="n">
        <v>2017</v>
      </c>
      <c r="C60" s="6" t="s">
        <v>9</v>
      </c>
      <c r="D60" s="13" t="n">
        <f aca="false">'Série Temporal'!G16</f>
        <v>5326</v>
      </c>
    </row>
    <row r="61" customFormat="false" ht="15" hidden="false" customHeight="false" outlineLevel="0" collapsed="false">
      <c r="A61" s="6" t="s">
        <v>21</v>
      </c>
      <c r="B61" s="6" t="n">
        <v>2014</v>
      </c>
      <c r="C61" s="6" t="s">
        <v>6</v>
      </c>
      <c r="D61" s="13" t="n">
        <f aca="false">'Série Temporal'!D17</f>
        <v>151</v>
      </c>
    </row>
    <row r="62" customFormat="false" ht="15" hidden="false" customHeight="false" outlineLevel="0" collapsed="false">
      <c r="A62" s="6" t="s">
        <v>21</v>
      </c>
      <c r="B62" s="6" t="n">
        <v>2015</v>
      </c>
      <c r="C62" s="6" t="s">
        <v>7</v>
      </c>
      <c r="D62" s="13" t="n">
        <f aca="false">'Série Temporal'!E17</f>
        <v>159</v>
      </c>
    </row>
    <row r="63" customFormat="false" ht="15" hidden="false" customHeight="false" outlineLevel="0" collapsed="false">
      <c r="A63" s="6" t="s">
        <v>21</v>
      </c>
      <c r="B63" s="6" t="n">
        <v>2016</v>
      </c>
      <c r="C63" s="6" t="s">
        <v>8</v>
      </c>
      <c r="D63" s="13" t="n">
        <f aca="false">'Série Temporal'!F17</f>
        <v>14124</v>
      </c>
    </row>
    <row r="64" customFormat="false" ht="15" hidden="false" customHeight="false" outlineLevel="0" collapsed="false">
      <c r="A64" s="6" t="s">
        <v>21</v>
      </c>
      <c r="B64" s="6" t="n">
        <v>2017</v>
      </c>
      <c r="C64" s="6" t="s">
        <v>9</v>
      </c>
      <c r="D64" s="13" t="n">
        <f aca="false">'Série Temporal'!G17</f>
        <v>12614</v>
      </c>
    </row>
    <row r="65" customFormat="false" ht="15" hidden="false" customHeight="false" outlineLevel="0" collapsed="false">
      <c r="A65" s="6" t="s">
        <v>22</v>
      </c>
      <c r="B65" s="6" t="n">
        <v>2013</v>
      </c>
      <c r="C65" s="6" t="s">
        <v>5</v>
      </c>
      <c r="D65" s="13" t="n">
        <f aca="false">'Série Temporal'!C18</f>
        <v>2100</v>
      </c>
    </row>
    <row r="66" customFormat="false" ht="15" hidden="false" customHeight="false" outlineLevel="0" collapsed="false">
      <c r="A66" s="6" t="s">
        <v>22</v>
      </c>
      <c r="B66" s="6" t="n">
        <v>2014</v>
      </c>
      <c r="C66" s="6" t="s">
        <v>6</v>
      </c>
      <c r="D66" s="13" t="n">
        <f aca="false">'Série Temporal'!D18</f>
        <v>0</v>
      </c>
    </row>
    <row r="67" customFormat="false" ht="15" hidden="false" customHeight="false" outlineLevel="0" collapsed="false">
      <c r="A67" s="6" t="s">
        <v>22</v>
      </c>
      <c r="B67" s="6" t="n">
        <v>2015</v>
      </c>
      <c r="C67" s="6" t="s">
        <v>7</v>
      </c>
      <c r="D67" s="13" t="n">
        <f aca="false">'Série Temporal'!E18</f>
        <v>586</v>
      </c>
    </row>
    <row r="68" customFormat="false" ht="15" hidden="false" customHeight="false" outlineLevel="0" collapsed="false">
      <c r="A68" s="6" t="s">
        <v>22</v>
      </c>
      <c r="B68" s="6" t="n">
        <v>2016</v>
      </c>
      <c r="C68" s="6" t="s">
        <v>8</v>
      </c>
      <c r="D68" s="13" t="n">
        <f aca="false">'Série Temporal'!F18</f>
        <v>1064</v>
      </c>
    </row>
    <row r="69" customFormat="false" ht="15" hidden="false" customHeight="false" outlineLevel="0" collapsed="false">
      <c r="A69" s="6" t="s">
        <v>22</v>
      </c>
      <c r="B69" s="6" t="n">
        <v>2017</v>
      </c>
      <c r="C69" s="6" t="s">
        <v>9</v>
      </c>
      <c r="D69" s="13" t="n">
        <f aca="false">'Série Temporal'!G18</f>
        <v>1420</v>
      </c>
    </row>
    <row r="70" customFormat="false" ht="15" hidden="false" customHeight="false" outlineLevel="0" collapsed="false">
      <c r="A70" s="6" t="s">
        <v>23</v>
      </c>
      <c r="B70" s="6" t="n">
        <v>2015</v>
      </c>
      <c r="C70" s="6" t="s">
        <v>7</v>
      </c>
      <c r="D70" s="13" t="n">
        <f aca="false">'Série Temporal'!E19</f>
        <v>0</v>
      </c>
    </row>
    <row r="71" customFormat="false" ht="15" hidden="false" customHeight="false" outlineLevel="0" collapsed="false">
      <c r="A71" s="6" t="s">
        <v>23</v>
      </c>
      <c r="B71" s="6" t="n">
        <v>2016</v>
      </c>
      <c r="C71" s="6" t="s">
        <v>8</v>
      </c>
      <c r="D71" s="13" t="n">
        <f aca="false">'Série Temporal'!F19</f>
        <v>14708</v>
      </c>
    </row>
    <row r="72" customFormat="false" ht="15" hidden="false" customHeight="false" outlineLevel="0" collapsed="false">
      <c r="A72" s="6" t="s">
        <v>23</v>
      </c>
      <c r="B72" s="6" t="n">
        <v>2017</v>
      </c>
      <c r="C72" s="6" t="s">
        <v>9</v>
      </c>
      <c r="D72" s="13" t="n">
        <f aca="false">'Série Temporal'!G19</f>
        <v>12637</v>
      </c>
    </row>
  </sheetData>
  <autoFilter ref="A1:D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4" t="s">
        <v>31</v>
      </c>
    </row>
    <row r="2" customFormat="false" ht="23.85" hidden="false" customHeight="false" outlineLevel="0" collapsed="false">
      <c r="A2" s="15" t="s">
        <v>32</v>
      </c>
    </row>
    <row r="3" customFormat="false" ht="15" hidden="false" customHeight="false" outlineLevel="0" collapsed="false">
      <c r="A3" s="15" t="s">
        <v>33</v>
      </c>
    </row>
    <row r="4" customFormat="false" ht="23.85" hidden="false" customHeight="false" outlineLevel="0" collapsed="false">
      <c r="A4" s="15" t="s">
        <v>34</v>
      </c>
    </row>
    <row r="5" customFormat="false" ht="23.85" hidden="false" customHeight="false" outlineLevel="0" collapsed="false">
      <c r="A5" s="15" t="s">
        <v>35</v>
      </c>
    </row>
    <row r="6" customFormat="false" ht="15" hidden="false" customHeight="false" outlineLevel="0" collapsed="false">
      <c r="A6" s="15" t="s">
        <v>36</v>
      </c>
    </row>
    <row r="7" customFormat="false" ht="15" hidden="false" customHeight="false" outlineLevel="0" collapsed="false">
      <c r="A7" s="15" t="s">
        <v>37</v>
      </c>
    </row>
    <row r="8" customFormat="false" ht="23.85" hidden="false" customHeight="false" outlineLevel="0" collapsed="false">
      <c r="A8" s="1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2026-10-09T06:31:39Z</dcterms:created>
  <dc:creator>openpyxl</dc:creator>
  <dc:description/>
  <dc:language>en-US</dc:language>
  <cp:lastModifiedBy/>
  <dcterms:modified xsi:type="dcterms:W3CDTF">2026-10-09T06:31:45Z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